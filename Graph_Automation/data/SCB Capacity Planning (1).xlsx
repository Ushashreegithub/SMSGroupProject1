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yak\Downloads\"/>
    </mc:Choice>
  </mc:AlternateContent>
  <xr:revisionPtr revIDLastSave="0" documentId="13_ncr:1_{83D724E6-7CAD-4F20-B8C7-E117EB42A9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CB-CP" sheetId="17" r:id="rId1"/>
    <sheet name="SUMMARY-CP" sheetId="40" r:id="rId2"/>
    <sheet name="SCB ACTUAL" sheetId="38" r:id="rId3"/>
    <sheet name="SCB PLAN" sheetId="37" r:id="rId4"/>
    <sheet name="TS" sheetId="58" r:id="rId5"/>
    <sheet name="NPK" sheetId="39" r:id="rId6"/>
    <sheet name="Welding" sheetId="45" r:id="rId7"/>
    <sheet name="Machining" sheetId="50" r:id="rId8"/>
    <sheet name="Assembly" sheetId="52" r:id="rId9"/>
    <sheet name="Plan Vs Actual" sheetId="22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\A">#REF!</definedName>
    <definedName name="\B">#REF!</definedName>
    <definedName name="\BUR">#REF!</definedName>
    <definedName name="\C">#REF!</definedName>
    <definedName name="\D">#REF!</definedName>
    <definedName name="\F">#REF!</definedName>
    <definedName name="\FOREX">#REF!</definedName>
    <definedName name="\g">#REF!</definedName>
    <definedName name="\M">#REF!</definedName>
    <definedName name="\O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\Z">#REF!</definedName>
    <definedName name="____c" localSheetId="1" hidden="1">{#N/A,#N/A,FALSE,"AESTR_K"}</definedName>
    <definedName name="____c" localSheetId="4" hidden="1">{#N/A,#N/A,FALSE,"AESTR_K"}</definedName>
    <definedName name="____c" hidden="1">{#N/A,#N/A,FALSE,"AESTR_K"}</definedName>
    <definedName name="___c" localSheetId="1" hidden="1">{#N/A,#N/A,FALSE,"AESTR_K"}</definedName>
    <definedName name="___c" localSheetId="4" hidden="1">{#N/A,#N/A,FALSE,"AESTR_K"}</definedName>
    <definedName name="___c" hidden="1">{#N/A,#N/A,FALSE,"AESTR_K"}</definedName>
    <definedName name="__123Graph_A" localSheetId="4" hidden="1">[1]TABLO!#REF!</definedName>
    <definedName name="__123Graph_A" hidden="1">#REF!</definedName>
    <definedName name="__123Graph_ARISK" hidden="1">#REF!</definedName>
    <definedName name="__123Graph_B" localSheetId="4" hidden="1">[2]MATRIX!#REF!</definedName>
    <definedName name="__123Graph_B" hidden="1">#REF!</definedName>
    <definedName name="__123Graph_BRISK" hidden="1">#REF!</definedName>
    <definedName name="__123Graph_D" localSheetId="4" hidden="1">[2]MATRIX!#REF!</definedName>
    <definedName name="__123Graph_D" hidden="1">#REF!</definedName>
    <definedName name="__123Graph_F" localSheetId="4" hidden="1">[2]MATRIX!#REF!</definedName>
    <definedName name="__123Graph_F" hidden="1">#REF!</definedName>
    <definedName name="__123Graph_X" localSheetId="4" hidden="1">[2]MATRIX!#REF!</definedName>
    <definedName name="__123Graph_X" hidden="1">#REF!</definedName>
    <definedName name="__c" localSheetId="1" hidden="1">{#N/A,#N/A,FALSE,"AESTR_K"}</definedName>
    <definedName name="__c" localSheetId="4" hidden="1">{#N/A,#N/A,FALSE,"AESTR_K"}</definedName>
    <definedName name="__c" hidden="1">{#N/A,#N/A,FALSE,"AESTR_K"}</definedName>
    <definedName name="_1">#REF!</definedName>
    <definedName name="_1_????????">#REF!</definedName>
    <definedName name="_10A6" localSheetId="4">[3]LOAN!#REF!</definedName>
    <definedName name="_10A6">#REF!</definedName>
    <definedName name="_11">#REF!</definedName>
    <definedName name="_11A66" localSheetId="4">[3]LOAN!#REF!</definedName>
    <definedName name="_11A66">#REF!</definedName>
    <definedName name="_123Graph_ARISK5" hidden="1">#REF!</definedName>
    <definedName name="_123Graph_BRISK43" hidden="1">#REF!</definedName>
    <definedName name="_12EFF">#REF!</definedName>
    <definedName name="_13PORTFO">#REF!</definedName>
    <definedName name="_2_????????????12">#REF!</definedName>
    <definedName name="_2000_0630100000_Umsatzerlöse">#REF!</definedName>
    <definedName name="_2000_0630160000_Konsortialanteile_Umsatzerlöse__UPL__verb.">#REF!</definedName>
    <definedName name="_2000_0630160100_Untervergabe_an_verb._Unternehmen__UPL">#REF!</definedName>
    <definedName name="_2000_0630180000_Umsatzerlöse__UPL">#REF!</definedName>
    <definedName name="_2000_0630440000_Auftragskosten__UKV">#REF!</definedName>
    <definedName name="_2000_0630440010_Auftragskosten_des_Umsatzes__UKV">#REF!</definedName>
    <definedName name="_2000_0630440020_Konsortialanteile_in_Auftragskosten__UKV">#REF!</definedName>
    <definedName name="_2000_0630440021_Untervergabe_an_verb._Unternehmen__UKV">#REF!</definedName>
    <definedName name="_2000_0630440030_Auftragskosten_des_Umsatzes_für_ZG__UKV">#REF!</definedName>
    <definedName name="_2000_0630450000_Auflösung_Rückst._Nachlaufkosten__UKV">#REF!</definedName>
    <definedName name="_2000_0630460000_Deckungsabweichung__UKV">#REF!</definedName>
    <definedName name="_2000_0630470000_Garantiekosten__UKV">#REF!</definedName>
    <definedName name="_2000_0630480000_Forschung_und_Entwicklung__UKV">#REF!</definedName>
    <definedName name="_2000_0630490000_Vertriebskosten__UKV">#REF!</definedName>
    <definedName name="_2000_0630500000_Sonstige_betriebliche_Erträge">#REF!</definedName>
    <definedName name="_2000_0630500010_Ertr.aus_dem_Abgang_von_Gegenst._des_AV">#REF!</definedName>
    <definedName name="_2000_0630500022_Ertr.aus_der_Zuschreib._zu_Gegenst._d._Finanz">#REF!</definedName>
    <definedName name="_2000_0630500023_Ertr.aus_der_Zuschreib._Goodwill">#REF!</definedName>
    <definedName name="_2000_0630500030_Ertr.aus_der_Aufl.von_Rückstellungen">#REF!</definedName>
    <definedName name="_2000_0630500040_Ertr.aus_der_Aufl.des_Sonderp.mit_Rueckl.Ant.">#REF!</definedName>
    <definedName name="_2000_0630500300_Ertr.aus_dem_Abgang_von_Gegenst._des_AV__UKV">#REF!</definedName>
    <definedName name="_2000_0630500305_Ertr.aus_dem_Abgang_von_Finanzanlagever._UKV">#REF!</definedName>
    <definedName name="_2000_0630500310_Ertr.aus_Wertaufholung_Anlageverm.__UKV">#REF!</definedName>
    <definedName name="_2000_0630500320_Garantierückstellung_Auflösung__UKV">#REF!</definedName>
    <definedName name="_2000_0630500330_Auflösung_sonstige_Rückstellung__UKV">#REF!</definedName>
    <definedName name="_2000_0630500335_Auflösung_poc_Rückstellung__UKV">#REF!</definedName>
    <definedName name="_2000_0630500340_Kursgewinne_Ford._und_Verb._UKV">#REF!</definedName>
    <definedName name="_2000_0630500350_WB_auf_Forderungen_Auflösung__UKV">#REF!</definedName>
    <definedName name="_2000_0630500360_Ertr._aus_Änderungen_Bewertungsmeth.__UKV">#REF!</definedName>
    <definedName name="_2000_0630500370_Management_fees_Ertrag__UKV">#REF!</definedName>
    <definedName name="_2000_0630500380_Ertr._aus_Umlagen__UKV">#REF!</definedName>
    <definedName name="_2000_0630500390_Umlagen_KöSt.__Solz__UKV">#REF!</definedName>
    <definedName name="_2000_0630500400_Umlagen_Gewerbeertragsteuer__UKV">#REF!</definedName>
    <definedName name="_2000_0630500410_Umlagen_im_Ausland_gez._Steuern__UKV">#REF!</definedName>
    <definedName name="_2000_0630500420_sonst._Erträge_aus_Steuerumlagen__UKV">#REF!</definedName>
    <definedName name="_2000_0630500430_Erh._Zuschüsse__Verlustausgl.__UKV">#REF!</definedName>
    <definedName name="_2000_0630500440_Ertr._aus_WP_und_Ausleihungen_FAV__UKV">#REF!</definedName>
    <definedName name="_2000_0630500450_Ertr._aus_Ford._LieLei__Wechseldiskont__UKV">#REF!</definedName>
    <definedName name="_2000_0630500460_Ertr._aus_Steuerzinsen__UKV">#REF!</definedName>
    <definedName name="_2000_0630500470_kalkulatorische_Zinsen__UKV">#REF!</definedName>
    <definedName name="_2000_0630500480_übriger_neutraler_Ertrag__UKV">#REF!</definedName>
    <definedName name="_2000_0630510000_Erträge_Umrechnung_währungsbedingt">#REF!</definedName>
    <definedName name="_2000_0630520000_Erträge_Umrechnung_zeitl._oder_sachlich">#REF!</definedName>
    <definedName name="_2000_0630610070_Veränderung_Rückst._f._drohende_Verluste">#REF!</definedName>
    <definedName name="_2000_0630610100_UMRECHNUNGSDIFFER._AUFWANDSKONSOLIDIERUNG">#REF!</definedName>
    <definedName name="_2000_0630811000_AfA_auf_immaterielle_Verm.gegenst._planmäßig">#REF!</definedName>
    <definedName name="_2000_0630821000_AfA_auf_Sachanlagen__planmäßig">#REF!</definedName>
    <definedName name="_2000_0630890000_AfA_auf_imm._VG_und_Sachanlagen__für_UPL">#REF!</definedName>
    <definedName name="_2000_0630900000_Sonstige_betriebliche_Aufwendungen">#REF!</definedName>
    <definedName name="_2000_0630910000_Sonstige_betriebliche_Aufwendungen">#REF!</definedName>
    <definedName name="_2000_0630910600_Einstellung_in_Sonderposten_mit_Rücklageant.">#REF!</definedName>
    <definedName name="_2000_0630910700_Verluste_aus_dem_Abgang_von_Gegenständen_AV.">#REF!</definedName>
    <definedName name="_2000_0630911900_Zuf.zu_Rückst._die_n.anderen_GUV_Pos.zugeordn">#REF!</definedName>
    <definedName name="_2000_0630919900_Sonstige_Aufwendungen">#REF!</definedName>
    <definedName name="_2000_0630920000_AUFWEND._UMRECHNUNG_WÄHRUNGSBEDINGT">#REF!</definedName>
    <definedName name="_2000_0630930000_Aufwendungen_Umrechnung_GuV">#REF!</definedName>
    <definedName name="_2000_0630950100_Verluste_aus_Abgang_Gegenständen_AV__UKV">#REF!</definedName>
    <definedName name="_2000_0630950110_Forderungsausfälle__UKV">#REF!</definedName>
    <definedName name="_2000_0630950120_WB_auf_Forderungen_Bildung__UKV">#REF!</definedName>
    <definedName name="_2000_0630950130_Veränderung_PWB_Ford.__UKV">#REF!</definedName>
    <definedName name="_2000_0630950140_Aufwendungen_aus_Umlagen__UKV">#REF!</definedName>
    <definedName name="_2000_0630950150_Management_fees_Aufwand__UKV">#REF!</definedName>
    <definedName name="_2000_0630950160_Aufw._für_Zuschüsse__Verlustausgleich__UKV">#REF!</definedName>
    <definedName name="_2000_0630950170_Aufw._Änderungen_Bewertungsmeth.__UKV">#REF!</definedName>
    <definedName name="_2000_0630950180_Aufw._Umstrukturierungen__Abfind._UKV">#REF!</definedName>
    <definedName name="_2000_0630950190_nicht_zuordenbare_Aufw._Personal__UKV">#REF!</definedName>
    <definedName name="_2000_0630950200_Bildung_Garantierückstellungen__UKV">#REF!</definedName>
    <definedName name="_2000_0630950210_Bildung_sonstige_Rückstellung__UKV">#REF!</definedName>
    <definedName name="_2000_0630950215_Bildung_poc_Rückstellung__UKV">#REF!</definedName>
    <definedName name="_2000_0630950220_Kursverluste_Ford._und_Verb.__UKV">#REF!</definedName>
    <definedName name="_2000_0630950230_Rechts___Prüfungs__u._Beratungskost.__UKV">#REF!</definedName>
    <definedName name="_2000_0630950240_Finanzierungskosten__Kosten_Geldverk.__UKV">#REF!</definedName>
    <definedName name="_2000_0630950250_Aufwendungen_aus_Steuerzinsen__UKV">#REF!</definedName>
    <definedName name="_2000_0630950260_Zinsanteil_Leasingaufwendungen__UKV">#REF!</definedName>
    <definedName name="_2000_0630950270_übriger_neutraler_Aufwand__UKV">#REF!</definedName>
    <definedName name="_2000_0630950280_Abschreibungen_Ausleihungen__UKV">#REF!</definedName>
    <definedName name="_2000_0630950290_kalkulatorische_Abschreibungen__UKV">#REF!</definedName>
    <definedName name="_2000_0630950300_bilanz._Abschreibungen_SAV__UKV">#REF!</definedName>
    <definedName name="_2000_0630950310_bilanz._Abschreibungen_immat.__UKV">#REF!</definedName>
    <definedName name="_2000_0640000000_Beteiligungsergebnis">#REF!</definedName>
    <definedName name="_2000_0640101000_Erträge_aus_E_A_V___konsol._Unternehmen">#REF!</definedName>
    <definedName name="_2000_0640200000_Erträge_aus_Beteiligungen">#REF!</definedName>
    <definedName name="_2000_0640203000_Erträge_aus_Beteiligungen_sonstige_Gesellsch.">#REF!</definedName>
    <definedName name="_2000_0640211110_Erträge_abgeführt___KÖSt_Gutschrift__9_16">#REF!</definedName>
    <definedName name="_2000_0640211120_Erträge_abgeführt_incl._KapErtragSt_o._KÖSt_G">#REF!</definedName>
    <definedName name="_2000_0640212320_Ertr.nicht_abgef._incl._KapErtragSt_o._KÖSt_G">#REF!</definedName>
    <definedName name="_2000_0640230000_Wertaufholung_auf_Beteiligungen__UKV">#REF!</definedName>
    <definedName name="_2000_0640301000_Aufw._aus_Verlustübernahmen_konsol._Untern.">#REF!</definedName>
    <definedName name="_2000_0640302000_Aufw._aus_Verlustübernahmen_n._k._Unternehmen">#REF!</definedName>
    <definedName name="_2000_0640303000_Aufw._aus_Verlustübernahmen_sst._Gesellschaft">#REF!</definedName>
    <definedName name="_2000_0641000000_Saldo_WB_auf_Vorräte__UKV">#REF!</definedName>
    <definedName name="_2000_0641000100_Bildung_WB_auf_Vorräte__UKV">#REF!</definedName>
    <definedName name="_2000_0641000200_Auflösung_WB_auf_Vorräte__UKV">#REF!</definedName>
    <definedName name="_2000_0642001000_Abschreibungen_auf_Finanzanlagen">#REF!</definedName>
    <definedName name="_2000_0642001100_AfA_auf_Finanzanlagen_außerplanm._TeilwertAfA">#REF!</definedName>
    <definedName name="_2000_0642001400_AfA_auf_Anteile_verb._Unternehmen__UKV">#REF!</definedName>
    <definedName name="_2000_0642001500_AfA_auf_Beteiligungen__UKV">#REF!</definedName>
    <definedName name="_2000_0642002100_AfA_auf_Wertpapiere_außerplanm._TeilwertAfA">#REF!</definedName>
    <definedName name="_2000_0643000000_Zinsergebnis">#REF!</definedName>
    <definedName name="_2000_0643100000_Zinserträge">#REF!</definedName>
    <definedName name="_2000_0643110000_Erträge_aus_WP_des_UV__UKV">#REF!</definedName>
    <definedName name="_2000_0643120000_Erträge_aus_Ford._verb._Unt._Finanz__UKV">#REF!</definedName>
    <definedName name="_2000_0643130000_Erträge_aus_Bankguthaben__UKV">#REF!</definedName>
    <definedName name="_2000_0643140000_Wertaufholung_WP_des_UV__SWAPS__UKV">#REF!</definedName>
    <definedName name="_2000_0643150000_Zins__Diskontertrag__UKV">#REF!</definedName>
    <definedName name="_2000_0643200000_Zinsen_und_ähnliche_Aufwendungen">#REF!</definedName>
    <definedName name="_2000_0643207000_Zinsaufwendungen_für_Pensionsrückstellungen">#REF!</definedName>
    <definedName name="_2000_0643208000_ZINSAUFWENDUNGEN_UMRECHNUNG_AUFWANDSKONS.">#REF!</definedName>
    <definedName name="_2000_0643220000_Zinsaufwand_Verb._Kreditinstitute__UKV">#REF!</definedName>
    <definedName name="_2000_0643230000_Zinsaufwand_Verb._verb._Unt._Finanz.__UKV">#REF!</definedName>
    <definedName name="_2000_0643240000_Zinsaufwand_für_Finanzgeschäfte__UKV">#REF!</definedName>
    <definedName name="_2000_0643250000_Zinsaufwand_aus_passivem_RAP__UKV">#REF!</definedName>
    <definedName name="_2000_0643260000_Zins__Diskontaufwand__UKV">#REF!</definedName>
    <definedName name="_2000_0644000000_Verwaltungskosten__UKV">#REF!</definedName>
    <definedName name="_2000_0646000100_Zuführung_Verlustrückstellungen">#REF!</definedName>
    <definedName name="_2000_0646000200_Auflösung_Verlustrückstellungen">#REF!</definedName>
    <definedName name="_2000_0647000000_nicht_verrechnete_Engineeringkosten__UKV">#REF!</definedName>
    <definedName name="_2000_0648000000_sonstige_Periodenkosten__UKV">#REF!</definedName>
    <definedName name="_2000_0648001000_SONSTIGE_PERIODENKOSTEN_VERRECHNUNGSSET_UKV">#REF!</definedName>
    <definedName name="_2000_0649000000_Ergebnis_der_gewöhnlichen__Geschäftstätigkeit">#REF!</definedName>
    <definedName name="_2000_0660000000_Steuern_vom_Einkommen_und_Ertrag">#REF!</definedName>
    <definedName name="_2000_0660001000_Körperschaftsteuer">#REF!</definedName>
    <definedName name="_2000_0660001100_KSt__Originärer_Aufwand_des_lfd._Jahres">#REF!</definedName>
    <definedName name="_2000_0660001200_KSt__Nachz._Erstatt._Vorjahre_Originäre_KSt">#REF!</definedName>
    <definedName name="_2000_0660001300_KSt___Umlagen_Organschaft_lfd.Jahr_Vorjahre">#REF!</definedName>
    <definedName name="_2000_0660002000_Gewerbeertragsteuer">#REF!</definedName>
    <definedName name="_2000_0660002100_GewErtragSt_Originärer_Aufwand_lfd._Jahr">#REF!</definedName>
    <definedName name="_2000_0660002200_GewErtragSt_Nachz._Erst.f.Vorjahre_Originär">#REF!</definedName>
    <definedName name="_2000_0660003000_Im_Ausland_gezahlte_Ertragsteuern">#REF!</definedName>
    <definedName name="_2000_0660003100_ausl._Ertragsteuern_Originärer_Aufw._lfd.Jahr">#REF!</definedName>
    <definedName name="_2000_0660003200_ausl._Ertragst._Nachz.__Erstatt.Vorjahre_orig">#REF!</definedName>
    <definedName name="_2000_0660004000_Sonstige">#REF!</definedName>
    <definedName name="_2000_0660004100_Sonstige_Ertragsteuern_laufendes_Jahr">#REF!</definedName>
    <definedName name="_2000_0660004200_Sonstige_Ertragsteuern_Nachz._Erst._Vorj.">#REF!</definedName>
    <definedName name="_2000_0660008000_Latente_Steuern">#REF!</definedName>
    <definedName name="_2000_0660008100_Zuführung_Rückstellungen_latente_Steuern">#REF!</definedName>
    <definedName name="_2000_0660008200_Inanspr._Aufl._Rückstellung_latente_St.">#REF!</definedName>
    <definedName name="_2000_0660009000_Steuern_vom_Einkommen_und_Ertrag__UPL">#REF!</definedName>
    <definedName name="_2000_0660200000_Jahresüberschuss_Jahresfehlbetrag">#REF!</definedName>
    <definedName name="_2000_0664000000_Betriebsergebnis_I">#REF!</definedName>
    <definedName name="_2000_0665000000_Betriebsergebnis_II">#REF!</definedName>
    <definedName name="_26.03.92">#REF!,#REF!</definedName>
    <definedName name="_3_????????????3">#REF!</definedName>
    <definedName name="_4_???????????12">#REF!</definedName>
    <definedName name="_5">#REF!</definedName>
    <definedName name="_5_???????????3">#REF!</definedName>
    <definedName name="_55">#REF!</definedName>
    <definedName name="_6">#REF!</definedName>
    <definedName name="_6_????????12" localSheetId="4">'[4]Transactions with Hazera'!#REF!</definedName>
    <definedName name="_6_????????12">#REF!</definedName>
    <definedName name="_66">#REF!</definedName>
    <definedName name="_7">#REF!</definedName>
    <definedName name="_7_??????_???_????">#REF!</definedName>
    <definedName name="_77">#REF!</definedName>
    <definedName name="_8_??????_???_???????">#REF!</definedName>
    <definedName name="_9_1">#REF!</definedName>
    <definedName name="_c" localSheetId="1" hidden="1">{#N/A,#N/A,FALSE,"AESTR_K"}</definedName>
    <definedName name="_c" localSheetId="4" hidden="1">{#N/A,#N/A,FALSE,"AESTR_K"}</definedName>
    <definedName name="_c" hidden="1">{#N/A,#N/A,FALSE,"AESTR_K"}</definedName>
    <definedName name="_C68000">#REF!</definedName>
    <definedName name="_C69999">#REF!</definedName>
    <definedName name="_C70000">#REF!</definedName>
    <definedName name="_C80000">#REF!</definedName>
    <definedName name="_C99999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DAT25" localSheetId="4">'[5]250-251-252'!#REF!</definedName>
    <definedName name="_DAT25">#REF!</definedName>
    <definedName name="_DAT27" localSheetId="4">'[5]250-251-252'!#REF!</definedName>
    <definedName name="_DAT27">#REF!</definedName>
    <definedName name="_DAT29" localSheetId="4">'[5]250-251-252'!#REF!</definedName>
    <definedName name="_DAT29">#REF!</definedName>
    <definedName name="_DAT31" localSheetId="4">'[5]250-251-252'!#REF!</definedName>
    <definedName name="_DAT31">#REF!</definedName>
    <definedName name="_DAT33" localSheetId="4">'[5]250-251-252'!#REF!</definedName>
    <definedName name="_DAT33">#REF!</definedName>
    <definedName name="_DAT35" localSheetId="4">'[5]250-251-252'!#REF!</definedName>
    <definedName name="_DAT35">#REF!</definedName>
    <definedName name="_Dist_Bin" hidden="1">#REF!</definedName>
    <definedName name="_Dist_Values" hidden="1">#REF!</definedName>
    <definedName name="_Fill" hidden="1">#REF!</definedName>
    <definedName name="_xlnm._FilterDatabase" localSheetId="9" hidden="1">'Plan Vs Actual'!$A$2:$AY$25</definedName>
    <definedName name="_xlnm._FilterDatabase" localSheetId="0" hidden="1">'SCB-CP'!$A$2:$CL$198</definedName>
    <definedName name="_xlnm._FilterDatabase" localSheetId="4" hidden="1">TS!$A$1:$E$221</definedName>
    <definedName name="_ı34">#REF!</definedName>
    <definedName name="_Key1" hidden="1">#REF!</definedName>
    <definedName name="_Key2" hidden="1">#REF!</definedName>
    <definedName name="_M" localSheetId="4">[6]Eingaben!$A$18</definedName>
    <definedName name="_M">#REF!</definedName>
    <definedName name="_Man10">#REF!</definedName>
    <definedName name="_MST1">#REF!</definedName>
    <definedName name="_MST2">#REF!</definedName>
    <definedName name="_MST3">#REF!</definedName>
    <definedName name="_Order1" hidden="1">0</definedName>
    <definedName name="_Order2" hidden="1">0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17">#REF!</definedName>
    <definedName name="_PG18">#REF!</definedName>
    <definedName name="_PG19">#REF!</definedName>
    <definedName name="_PG2">#REF!</definedName>
    <definedName name="_PG20">#REF!</definedName>
    <definedName name="_PG21">#REF!</definedName>
    <definedName name="_PG22">#REF!</definedName>
    <definedName name="_PG23">#REF!</definedName>
    <definedName name="_PG24">#REF!</definedName>
    <definedName name="_PG25">#REF!</definedName>
    <definedName name="_PG26">#REF!</definedName>
    <definedName name="_PG27">#REF!</definedName>
    <definedName name="_PG28">#REF!</definedName>
    <definedName name="_PG29">#REF!</definedName>
    <definedName name="_PG3">#REF!</definedName>
    <definedName name="_PG30">#REF!</definedName>
    <definedName name="_PG31">#REF!</definedName>
    <definedName name="_PG35">#REF!</definedName>
    <definedName name="_PG36">#REF!</definedName>
    <definedName name="_pg37">#REF!</definedName>
    <definedName name="_PG3701">#REF!</definedName>
    <definedName name="_PG3702">#REF!</definedName>
    <definedName name="_PG3703">#REF!</definedName>
    <definedName name="_PG3704">#REF!</definedName>
    <definedName name="_PG3705">#REF!</definedName>
    <definedName name="_PG3706">#REF!</definedName>
    <definedName name="_PG3707">#REF!</definedName>
    <definedName name="_PG38">#REF!</definedName>
    <definedName name="_PG39">#REF!</definedName>
    <definedName name="_PG4">#REF!</definedName>
    <definedName name="_pg40">#REF!</definedName>
    <definedName name="_pg41">#REF!</definedName>
    <definedName name="_PG6">#REF!</definedName>
    <definedName name="_PG7">#REF!</definedName>
    <definedName name="_PG8">#REF!</definedName>
    <definedName name="_PG9">#REF!</definedName>
    <definedName name="_POS3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ms2" localSheetId="1" hidden="1">{#N/A,#N/A,FALSE,"AESTR_K"}</definedName>
    <definedName name="_sms2" localSheetId="4" hidden="1">{#N/A,#N/A,FALSE,"AESTR_K"}</definedName>
    <definedName name="_sms2" hidden="1">{#N/A,#N/A,FALSE,"AESTR_K"}</definedName>
    <definedName name="_Sort" hidden="1">#REF!</definedName>
    <definedName name="a" localSheetId="1" hidden="1">{#N/A,#N/A,FALSE,"AESTR_K"}</definedName>
    <definedName name="a" localSheetId="4" hidden="1">{#N/A,#N/A,FALSE,"AESTR_K"}</definedName>
    <definedName name="a" hidden="1">{#N/A,#N/A,FALSE,"AESTR_K"}</definedName>
    <definedName name="A_GJ" localSheetId="4">[7]Header!$D$12</definedName>
    <definedName name="A_GJ">#REF!</definedName>
    <definedName name="A1_100">#REF!</definedName>
    <definedName name="A3_100">#REF!</definedName>
    <definedName name="AA" localSheetId="4">[8]PL!#REF!</definedName>
    <definedName name="AA">#REF!</definedName>
    <definedName name="aaa" localSheetId="1" hidden="1">{#N/A,#N/A,FALSE,"AESTR_K"}</definedName>
    <definedName name="aaa" localSheetId="4" hidden="1">{#N/A,#N/A,FALSE,"AESTR_K"}</definedName>
    <definedName name="aaa" hidden="1">{#N/A,#N/A,FALSE,"AESTR_K"}</definedName>
    <definedName name="aaaa" localSheetId="1" hidden="1">{#N/A,#N/A,FALSE,"AESTR_K"}</definedName>
    <definedName name="aaaa" localSheetId="4" hidden="1">{#N/A,#N/A,FALSE,"AESTR_K"}</definedName>
    <definedName name="aaaa" hidden="1">{#N/A,#N/A,FALSE,"AESTR_K"}</definedName>
    <definedName name="aaaaa" localSheetId="1" hidden="1">{#N/A,#N/A,FALSE,"AESTR_K"}</definedName>
    <definedName name="aaaaa" localSheetId="4" hidden="1">{#N/A,#N/A,FALSE,"AESTR_K"}</definedName>
    <definedName name="aaaaa" hidden="1">{#N/A,#N/A,FALSE,"AESTR_K"}</definedName>
    <definedName name="aaaaaa" localSheetId="1" hidden="1">{#N/A,#N/A,FALSE,"AESTR_K"}</definedName>
    <definedName name="aaaaaa" localSheetId="4" hidden="1">{#N/A,#N/A,FALSE,"AESTR_K"}</definedName>
    <definedName name="aaaaaa" hidden="1">{#N/A,#N/A,FALSE,"AESTR_K"}</definedName>
    <definedName name="aaaaaaaaaaa" localSheetId="1" hidden="1">{#N/A,#N/A,FALSE,"AESTR_K"}</definedName>
    <definedName name="aaaaaaaaaaa" localSheetId="4" hidden="1">{#N/A,#N/A,FALSE,"AESTR_K"}</definedName>
    <definedName name="aaaaaaaaaaa" hidden="1">{#N/A,#N/A,FALSE,"AESTR_K"}</definedName>
    <definedName name="aaaaaaaaaaaaaaaaaaa" localSheetId="1" hidden="1">{#N/A,#N/A,FALSE,"AESTR_K"}</definedName>
    <definedName name="aaaaaaaaaaaaaaaaaaa" localSheetId="4" hidden="1">{#N/A,#N/A,FALSE,"AESTR_K"}</definedName>
    <definedName name="aaaaaaaaaaaaaaaaaaa" hidden="1">{#N/A,#N/A,FALSE,"AESTR_K"}</definedName>
    <definedName name="aaaaaaaaaaaaaaaaaaaaaaaaa" localSheetId="1" hidden="1">{#N/A,#N/A,FALSE,"AESTR_K"}</definedName>
    <definedName name="aaaaaaaaaaaaaaaaaaaaaaaaa" localSheetId="4" hidden="1">{#N/A,#N/A,FALSE,"AESTR_K"}</definedName>
    <definedName name="aaaaaaaaaaaaaaaaaaaaaaaaa" hidden="1">{#N/A,#N/A,FALSE,"AESTR_K"}</definedName>
    <definedName name="aaaaaaaaaaaaaaaaaaaaaaaaaaaaaaaaaaaa" localSheetId="1" hidden="1">{#N/A,#N/A,FALSE,"AESTR_K"}</definedName>
    <definedName name="aaaaaaaaaaaaaaaaaaaaaaaaaaaaaaaaaaaa" localSheetId="4" hidden="1">{#N/A,#N/A,FALSE,"AESTR_K"}</definedName>
    <definedName name="aaaaaaaaaaaaaaaaaaaaaaaaaaaaaaaaaaaa" hidden="1">{#N/A,#N/A,FALSE,"AESTR_K"}</definedName>
    <definedName name="aaaaaaaaaaaaaaaaaaaaaaaaaaaaaaaaaaaaaaaaaaaaa" localSheetId="1" hidden="1">{#N/A,#N/A,FALSE,"AESTR_K"}</definedName>
    <definedName name="aaaaaaaaaaaaaaaaaaaaaaaaaaaaaaaaaaaaaaaaaaaaa" localSheetId="4" hidden="1">{#N/A,#N/A,FALSE,"AESTR_K"}</definedName>
    <definedName name="aaaaaaaaaaaaaaaaaaaaaaaaaaaaaaaaaaaaaaaaaaaaa" hidden="1">{#N/A,#N/A,FALSE,"AESTR_K"}</definedName>
    <definedName name="account" localSheetId="4">[9]ledger_bin!$A$9:$W$92</definedName>
    <definedName name="account">#REF!</definedName>
    <definedName name="ADA" localSheetId="4">[10]ADANA!$B$6:$G$400</definedName>
    <definedName name="ADA">#REF!</definedName>
    <definedName name="ADASAT" localSheetId="4">[10]ADASATIS!$B$6:$AR$4177</definedName>
    <definedName name="ADASAT">#REF!</definedName>
    <definedName name="adshahahsdh" localSheetId="4">'[4]Transactions with Hazera'!#REF!</definedName>
    <definedName name="adshahahsdh">#REF!</definedName>
    <definedName name="advances">#REF!</definedName>
    <definedName name="AeRpRow">#REF!</definedName>
    <definedName name="AKOL">#REF!</definedName>
    <definedName name="AKTİF">#REF!</definedName>
    <definedName name="Alış_kuru">#REF!</definedName>
    <definedName name="Alış_Tarihi">#REF!</definedName>
    <definedName name="AMBAR">#REF!</definedName>
    <definedName name="AmortismanEnflasyon">#REF!</definedName>
    <definedName name="Angest" localSheetId="4">[11]Pers!$A$11:$IV$11,[11]Pers!$A$16:$IV$16,[11]Pers!$A$21:$IV$21,[11]Pers!$A$26:$IV$26</definedName>
    <definedName name="Angest">#REF!,#REF!,#REF!,#REF!</definedName>
    <definedName name="arb" localSheetId="4">[11]Pers!$A$12:$IV$12,[11]Pers!$A$17:$IV$17,[11]Pers!$A$22:$IV$22,[11]Pers!$A$27:$IV$27</definedName>
    <definedName name="arb">#REF!,#REF!,#REF!,#REF!</definedName>
    <definedName name="Arbeitsstunden">#REF!</definedName>
    <definedName name="Arbeitstage">#REF!</definedName>
    <definedName name="AS" localSheetId="4">[12]Header!#REF!</definedName>
    <definedName name="AS">#REF!</definedName>
    <definedName name="AS2DocOpenMode" hidden="1">"AS2DocumentEdit"</definedName>
    <definedName name="asdasd" localSheetId="4">[13]CFSheet!$D$6</definedName>
    <definedName name="asdasd">#REF!</definedName>
    <definedName name="asdf" localSheetId="1" hidden="1">{#N/A,#N/A,FALSE,"AESTR_K"}</definedName>
    <definedName name="asdf" localSheetId="4" hidden="1">{#N/A,#N/A,FALSE,"AESTR_K"}</definedName>
    <definedName name="asdf" hidden="1">{#N/A,#N/A,FALSE,"AESTR_K"}</definedName>
    <definedName name="ASSET">#REF!</definedName>
    <definedName name="ASSETS">#REF!</definedName>
    <definedName name="Aufzeichnung1">#REF!</definedName>
    <definedName name="Aufzeichnung2">#REF!</definedName>
    <definedName name="Aufzeichnung3">#REF!</definedName>
    <definedName name="Aufzeichnung4">#REF!</definedName>
    <definedName name="_xlnm.Auto_Open" localSheetId="4">[14]FORMSRK!$A$1</definedName>
    <definedName name="_xlnm.Auto_Open">#REF!</definedName>
    <definedName name="awdqasfdc" localSheetId="1" hidden="1">{#N/A,#N/A,FALSE,"AESTR_K"}</definedName>
    <definedName name="awdqasfdc" localSheetId="4" hidden="1">{#N/A,#N/A,FALSE,"AESTR_K"}</definedName>
    <definedName name="awdqasfdc" hidden="1">{#N/A,#N/A,FALSE,"AESTR_K"}</definedName>
    <definedName name="azubi" localSheetId="4">[11]Pers!$A$13:$IV$13,[11]Pers!$A$18:$IV$18,[11]Pers!$A$23:$IV$23,[11]Pers!$A$28:$IV$28</definedName>
    <definedName name="azubi">#REF!,#REF!,#REF!,#REF!</definedName>
    <definedName name="azvfaktor">#REF!</definedName>
    <definedName name="b" localSheetId="1" hidden="1">{#N/A,#N/A,FALSE,"AESTR_K"}</definedName>
    <definedName name="b" localSheetId="4" hidden="1">{#N/A,#N/A,FALSE,"AESTR_K"}</definedName>
    <definedName name="b" hidden="1">{#N/A,#N/A,FALSE,"AESTR_K"}</definedName>
    <definedName name="B_Q_M_12_D_L">#REF!</definedName>
    <definedName name="B1_100">#REF!</definedName>
    <definedName name="B2_100">#REF!</definedName>
    <definedName name="B3_100">#REF!</definedName>
    <definedName name="BA" localSheetId="4">[15]START!$F$5</definedName>
    <definedName name="BA">#REF!</definedName>
    <definedName name="Band" localSheetId="4">[16]START!$F$4</definedName>
    <definedName name="Band">#REF!</definedName>
    <definedName name="Barrel_length">#REF!</definedName>
    <definedName name="BASIC" localSheetId="4">[17]Sheet1!$A$2:$G$107</definedName>
    <definedName name="BASIC">#REF!</definedName>
    <definedName name="bbbbb" localSheetId="1" hidden="1">{#N/A,#N/A,FALSE,"AESTR_K"}</definedName>
    <definedName name="bbbbb" localSheetId="4" hidden="1">{#N/A,#N/A,FALSE,"AESTR_K"}</definedName>
    <definedName name="bbbbb" hidden="1">{#N/A,#N/A,FALSE,"AESTR_K"}</definedName>
    <definedName name="BI">#REF!</definedName>
    <definedName name="BORDERS" localSheetId="4">'[18]Straightening Temp.'!$G$4:$I$22,'[18]Straightening Temp.'!$B$4:$D$22,'[18]Straightening Temp.'!$L$4:$N$22,'[18]Straightening Temp.'!$Q$4:$S$22,'[18]Straightening Temp.'!$V$4:$X$22,'[18]Straightening Temp.'!$AA$4:$AC$22,'[18]Straightening Temp.'!$B$28:$D$46,'[18]Straightening Temp.'!$G$28:$I$46,'[18]Straightening Temp.'!$L$28:$N$46,'[18]Straightening Temp.'!$Q$28:$S$46,'[18]Straightening Temp.'!$V$28:$X$46,'[18]Straightening Temp.'!$AA$28:$AC$46</definedName>
    <definedName name="BORDERS">#REF!,#REF!,#REF!,#REF!,#REF!,#REF!,#REF!,#REF!,#REF!,#REF!,#REF!,#REF!</definedName>
    <definedName name="BORDERS2" localSheetId="4">'[19]Straightening Temp.'!$G$4:$I$22,'[19]Straightening Temp.'!$B$4:$D$22,'[19]Straightening Temp.'!$L$4:$N$22,'[19]Straightening Temp.'!$Q$4:$S$22,'[19]Straightening Temp.'!$V$4:$X$22,'[19]Straightening Temp.'!$AA$4:$AC$22,'[19]Straightening Temp.'!$B$28:$D$46,'[19]Straightening Temp.'!$G$28:$I$46,'[19]Straightening Temp.'!$L$28:$N$46,'[19]Straightening Temp.'!$Q$28:$S$46,'[19]Straightening Temp.'!$V$28:$X$46,'[19]Straightening Temp.'!$AA$28:$AC$46</definedName>
    <definedName name="BORDERS2">#REF!,#REF!,#REF!,#REF!,#REF!,#REF!,#REF!,#REF!,#REF!,#REF!,#REF!,#REF!</definedName>
    <definedName name="BORU_ICMAL">#REF!</definedName>
    <definedName name="BORU_ORT_UCRET">#REF!</definedName>
    <definedName name="BORU_PAZ">#REF!</definedName>
    <definedName name="Boveleth" localSheetId="1" hidden="1">{#N/A,#N/A,FALSE,"AESTR_K"}</definedName>
    <definedName name="Boveleth" localSheetId="4" hidden="1">{#N/A,#N/A,FALSE,"AESTR_K"}</definedName>
    <definedName name="Boveleth" hidden="1">{#N/A,#N/A,FALSE,"AESTR_K"}</definedName>
    <definedName name="BS">#REF!</definedName>
    <definedName name="BSTDM">#REF!</definedName>
    <definedName name="buch" localSheetId="4">[20]B!$C$3</definedName>
    <definedName name="buch">#REF!</definedName>
    <definedName name="budpl">#REF!</definedName>
    <definedName name="bulent">#REF!,#REF!,#REF!</definedName>
    <definedName name="CALC">#REF!</definedName>
    <definedName name="CALC3">#REF!</definedName>
    <definedName name="CALCWIT">#REF!</definedName>
    <definedName name="ÇALKONTROL" localSheetId="4">[10]BCALISMATABLOSU!$B$6:$B$620</definedName>
    <definedName name="ÇALKONTROL">#REF!</definedName>
    <definedName name="CheckArea">#REF!</definedName>
    <definedName name="CheckList">#REF!</definedName>
    <definedName name="checkvorjahr">#REF!</definedName>
    <definedName name="Chk_Col1">#REF!</definedName>
    <definedName name="Chk_DescCol">#REF!</definedName>
    <definedName name="Chk_HDescCol">#REF!</definedName>
    <definedName name="Chk_IdCol">#REF!</definedName>
    <definedName name="Chk_ItCol">#REF!</definedName>
    <definedName name="Chk_Op_Col1">#REF!</definedName>
    <definedName name="Chk_Op_DescCol">#REF!</definedName>
    <definedName name="Chk_Op_HdescCol">#REF!</definedName>
    <definedName name="Chk_Op_IdCol">#REF!</definedName>
    <definedName name="Chk_Op_ItCol">#REF!</definedName>
    <definedName name="CHKHULPCEL">#REF!</definedName>
    <definedName name="CIZGI">#REF!</definedName>
    <definedName name="CK">#REF!</definedName>
    <definedName name="CODEINST">#REF!</definedName>
    <definedName name="col1_dif_item">#REF!</definedName>
    <definedName name="Col1_Roe_Multiplier">#REF!</definedName>
    <definedName name="company" localSheetId="4">[21]settings!$A$20:$A$33</definedName>
    <definedName name="company">#REF!</definedName>
    <definedName name="compNo" localSheetId="4">[21]settings!$B$20:$B$33</definedName>
    <definedName name="compNo">#REF!</definedName>
    <definedName name="conscol">#REF!</definedName>
    <definedName name="Copper">#REF!</definedName>
    <definedName name="COPPER2">#REF!</definedName>
    <definedName name="CTRCOMBINE">#REF!</definedName>
    <definedName name="CUHARDNESS" localSheetId="4">'[22]Baffle Plate'!$B$32:$C$33,'[22]Baffle Plate'!$E$32:$F$33,'[22]Baffle Plate'!$H$32:$I$33,'[22]Baffle Plate'!$K$32:$L$33,'[22]Baffle Plate'!$N$32:$O$33,'[22]Baffle Plate'!$Q$32:$R$33,'[22]Baffle Plate'!$T$32:$U$33,'[22]Baffle Plate'!$W$32:$X$33</definedName>
    <definedName name="CUHARDNESS">#REF!,#REF!,#REF!,#REF!,#REF!,#REF!,#REF!,#REF!</definedName>
    <definedName name="cur" localSheetId="4">[20]D!$C$5</definedName>
    <definedName name="cur">#REF!</definedName>
    <definedName name="CUV_ISLET">#REF!</definedName>
    <definedName name="D_100">#REF!</definedName>
    <definedName name="DAT_TYD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6">#REF!</definedName>
    <definedName name="DATA7">#REF!</definedName>
    <definedName name="DATA8">#REF!</definedName>
    <definedName name="DATA9">#REF!</definedName>
    <definedName name="datab">#REF!</definedName>
    <definedName name="_xlnm.Database">#REF!</definedName>
    <definedName name="date">#REF!</definedName>
    <definedName name="DATEN" localSheetId="4">'[23]P&amp;L:Details2'!$A$1:$J$94</definedName>
    <definedName name="DATEN">#REF!</definedName>
    <definedName name="Daten2">#REF!</definedName>
    <definedName name="dc">#REF!</definedName>
    <definedName name="dd">#REF!</definedName>
    <definedName name="ddd">#REF!</definedName>
    <definedName name="dddd">#REF!</definedName>
    <definedName name="de" localSheetId="1" hidden="1">{#N/A,#N/A,TRUE,"Sales Comparison";#N/A,#N/A,TRUE,"Cum. Summary FFR";#N/A,#N/A,TRUE,"Monthly Summary FFR";#N/A,#N/A,TRUE,"Cum. Summary TL";#N/A,#N/A,TRUE,"Monthly Summary TL"}</definedName>
    <definedName name="de" localSheetId="4" hidden="1">{#N/A,#N/A,TRUE,"Sales Comparison";#N/A,#N/A,TRUE,"Cum. Summary FFR";#N/A,#N/A,TRUE,"Monthly Summary FFR";#N/A,#N/A,TRUE,"Cum. Summary TL";#N/A,#N/A,TRUE,"Monthly Summary TL"}</definedName>
    <definedName name="de" hidden="1">{#N/A,#N/A,TRUE,"Sales Comparison";#N/A,#N/A,TRUE,"Cum. Summary FFR";#N/A,#N/A,TRUE,"Monthly Summary FFR";#N/A,#N/A,TRUE,"Cum. Summary TL";#N/A,#N/A,TRUE,"Monthly Summary TL"}</definedName>
    <definedName name="DECEMBER">#REF!</definedName>
    <definedName name="DEFERRED_TAX" localSheetId="4">[24]financials!#REF!</definedName>
    <definedName name="DEFERRED_TAX">#REF!</definedName>
    <definedName name="DEGERLEME">#REF!</definedName>
    <definedName name="Değerleme_Kuru">#REF!</definedName>
    <definedName name="Değerleme_Tarihi">#REF!</definedName>
    <definedName name="DEM">#REF!</definedName>
    <definedName name="DENEME">#REF!</definedName>
    <definedName name="Desc_chk_col1">#REF!</definedName>
    <definedName name="desc_chk_desccol">#REF!</definedName>
    <definedName name="desc_chk_idcol">#REF!</definedName>
    <definedName name="desc_chk_itcol">#REF!</definedName>
    <definedName name="desc_chk_op_desccol">#REF!</definedName>
    <definedName name="desc_chk_op_itcol">#REF!</definedName>
    <definedName name="desc_Col1">#REF!</definedName>
    <definedName name="desc_Col2">#REF!</definedName>
    <definedName name="desc_Col3">#REF!</definedName>
    <definedName name="desc_Col4">#REF!</definedName>
    <definedName name="desc_Col5">#REF!</definedName>
    <definedName name="Desc_fncol">#REF!</definedName>
    <definedName name="Desc_hfncol">#REF!</definedName>
    <definedName name="Desc_idcol">#REF!</definedName>
    <definedName name="Desc_itcol">#REF!</definedName>
    <definedName name="desccol">#REF!</definedName>
    <definedName name="DF">#REF!</definedName>
    <definedName name="dfdklfseklfjsdlfjdklfd" localSheetId="1" hidden="1">{#N/A,#N/A,FALSE,"AESTR_K"}</definedName>
    <definedName name="dfdklfseklfjsdlfjdklfd" localSheetId="4" hidden="1">{#N/A,#N/A,FALSE,"AESTR_K"}</definedName>
    <definedName name="dfdklfseklfjsdlfjdklfd" hidden="1">{#N/A,#N/A,FALSE,"AESTR_K"}</definedName>
    <definedName name="dgg">#REF!</definedName>
    <definedName name="Difference_in_Interests_NetOff">#REF!</definedName>
    <definedName name="dinttotal">#REF!</definedName>
    <definedName name="DOKUZ">#REF!</definedName>
    <definedName name="DÖNEM">#REF!</definedName>
    <definedName name="doof" localSheetId="1" hidden="1">{#N/A,#N/A,FALSE,"AESTR_K"}</definedName>
    <definedName name="doof" localSheetId="4" hidden="1">{#N/A,#N/A,FALSE,"AESTR_K"}</definedName>
    <definedName name="doof" hidden="1">{#N/A,#N/A,FALSE,"AESTR_K"}</definedName>
    <definedName name="dor_2">#REF!</definedName>
    <definedName name="dor_3">#REF!</definedName>
    <definedName name="doris_5">#REF!</definedName>
    <definedName name="doris_6">#REF!</definedName>
    <definedName name="doris_7">#REF!</definedName>
    <definedName name="DruckbereichHM">#REF!</definedName>
    <definedName name="DruckbereichNPK">#REF!</definedName>
    <definedName name="Drucken" localSheetId="1">#N/A</definedName>
    <definedName name="Drucken" localSheetId="4">TS!Drucken</definedName>
    <definedName name="Drucken">#N/A</definedName>
    <definedName name="DS">#REF!</definedName>
    <definedName name="dsad">#REF!</definedName>
    <definedName name="DSPBEWAAR">#REF!</definedName>
    <definedName name="DSPGIST">#REF!</definedName>
    <definedName name="dss">#REF!</definedName>
    <definedName name="Dtcol1">#REF!</definedName>
    <definedName name="Dtcol3">#REF!</definedName>
    <definedName name="Dtcol4">#REF!</definedName>
    <definedName name="Dtcol5">#REF!</definedName>
    <definedName name="DTROW">#REF!</definedName>
    <definedName name="DUCAS">#REF!</definedName>
    <definedName name="Durchschnitt1">#REF!</definedName>
    <definedName name="Durchschnitt2">#REF!</definedName>
    <definedName name="E1_100">#REF!</definedName>
    <definedName name="E2_100">#REF!</definedName>
    <definedName name="EDSAT" localSheetId="4">[10]EDSATIS!$B$6:$AS$4969</definedName>
    <definedName name="EDSAT">#REF!</definedName>
    <definedName name="ee">#REF!</definedName>
    <definedName name="EENHEID_TXT">#REF!</definedName>
    <definedName name="EFFACE" localSheetId="4">[25]COMMENTO!#REF!</definedName>
    <definedName name="EFFACE">#REF!</definedName>
    <definedName name="ELEKTRIK">#REF!</definedName>
    <definedName name="ENDEKS">#REF!</definedName>
    <definedName name="Endyear">#REF!</definedName>
    <definedName name="Endyear1">#REF!</definedName>
    <definedName name="ENJEKSIYON">#REF!</definedName>
    <definedName name="Ergebnis_Nutzwertanalyse">#REF!</definedName>
    <definedName name="ESHOTSON">#REF!</definedName>
    <definedName name="EuA" localSheetId="4">[26]START!$F$4</definedName>
    <definedName name="EuA">#REF!</definedName>
    <definedName name="EURO">#REF!</definedName>
    <definedName name="eva_3">#REF!</definedName>
    <definedName name="EXTRAWORK" localSheetId="4">'[27]Baffle Plate'!$B$32:$C$33,'[27]Baffle Plate'!$E$32:$F$33,'[27]Baffle Plate'!$H$32:$I$33,'[27]Baffle Plate'!$K$32:$L$33,'[27]Baffle Plate'!$N$32:$O$33,'[27]Baffle Plate'!$Q$32:$R$33,'[27]Baffle Plate'!$T$32:$U$33,'[27]Baffle Plate'!$W$32:$X$33</definedName>
    <definedName name="EXTRAWORK">#REF!,#REF!,#REF!,#REF!,#REF!,#REF!,#REF!,#REF!</definedName>
    <definedName name="extrawork1" localSheetId="4">'[28]Straightening Temp.'!$G$4:$I$22,'[28]Straightening Temp.'!$B$4:$D$22,'[28]Straightening Temp.'!$L$4:$N$22,'[28]Straightening Temp.'!$Q$4:$S$22,'[28]Straightening Temp.'!$V$4:$X$22,'[28]Straightening Temp.'!$AA$4:$AC$22,'[28]Straightening Temp.'!$B$28:$D$46,'[28]Straightening Temp.'!$G$28:$I$46,'[28]Straightening Temp.'!$L$28:$N$46,'[28]Straightening Temp.'!$Q$28:$S$46,'[28]Straightening Temp.'!$V$28:$X$46,'[28]Straightening Temp.'!$AA$28:$AC$46</definedName>
    <definedName name="extrawork1">#REF!,#REF!,#REF!,#REF!,#REF!,#REF!,#REF!,#REF!,#REF!,#REF!,#REF!,#REF!</definedName>
    <definedName name="f" localSheetId="1" hidden="1">{#N/A,#N/A,FALSE,"AESTR_K"}</definedName>
    <definedName name="f" localSheetId="4" hidden="1">{#N/A,#N/A,FALSE,"AESTR_K"}</definedName>
    <definedName name="f" hidden="1">{#N/A,#N/A,FALSE,"AESTR_K"}</definedName>
    <definedName name="F_100">#REF!</definedName>
    <definedName name="F8002_11">#REF!</definedName>
    <definedName name="F8002_12">#REF!</definedName>
    <definedName name="F8002_21">#REF!</definedName>
    <definedName name="F8002_31">#REF!</definedName>
    <definedName name="F8002_32">#REF!</definedName>
    <definedName name="F8002_41">#REF!</definedName>
    <definedName name="F8002_51">#REF!</definedName>
    <definedName name="F8010_11">#REF!</definedName>
    <definedName name="F8010_12">#REF!</definedName>
    <definedName name="F8010_13">#REF!</definedName>
    <definedName name="F8015_11">#REF!</definedName>
    <definedName name="F8015_12">#REF!</definedName>
    <definedName name="FAde" localSheetId="1" hidden="1">{#N/A,#N/A,TRUE,"Sales Comparison";#N/A,#N/A,TRUE,"Cum. Summary FFR";#N/A,#N/A,TRUE,"Monthly Summary FFR";#N/A,#N/A,TRUE,"Cum. Summary TL";#N/A,#N/A,TRUE,"Monthly Summary TL"}</definedName>
    <definedName name="FAde" localSheetId="4" hidden="1">{#N/A,#N/A,TRUE,"Sales Comparison";#N/A,#N/A,TRUE,"Cum. Summary FFR";#N/A,#N/A,TRUE,"Monthly Summary FFR";#N/A,#N/A,TRUE,"Cum. Summary TL";#N/A,#N/A,TRUE,"Monthly Summary TL"}</definedName>
    <definedName name="FAde" hidden="1">{#N/A,#N/A,TRUE,"Sales Comparison";#N/A,#N/A,TRUE,"Cum. Summary FFR";#N/A,#N/A,TRUE,"Monthly Summary FFR";#N/A,#N/A,TRUE,"Cum. Summary TL";#N/A,#N/A,TRUE,"Monthly Summary TL"}</definedName>
    <definedName name="faiz" localSheetId="4">'[29]06.99 yat.döv.faiz'!$B$3:$Q$46</definedName>
    <definedName name="faiz">#REF!</definedName>
    <definedName name="FaktF3" localSheetId="4">'[30]NPK MW 99_00'!$S$2</definedName>
    <definedName name="FaktF3">#REF!</definedName>
    <definedName name="Faktorf3">#REF!</definedName>
    <definedName name="fcast" localSheetId="4">[23]Header!#REF!</definedName>
    <definedName name="fcast">#REF!</definedName>
    <definedName name="feed_cw">#REF!</definedName>
    <definedName name="feed_f">#REF!</definedName>
    <definedName name="feed_journal">#REF!</definedName>
    <definedName name="feed_r">#REF!</definedName>
    <definedName name="feed_saw">#REF!</definedName>
    <definedName name="ff">#REF!</definedName>
    <definedName name="FINANCIAL_RATIO_ANALYSIS">#REF!</definedName>
    <definedName name="Flux_consumption">#REF!</definedName>
    <definedName name="Flux_cost_per_kg">#REF!</definedName>
    <definedName name="Fncol">#REF!</definedName>
    <definedName name="form_daten" localSheetId="4">[31]pcepl!$K$15:$L$20,[31]pcepl!$K$22:$L$24,[31]pcepl!$K$26:$L$29,[31]pcepl!$K$31:$L$34,[31]pcepl!$K$37:$L$38,[31]pcepl!$K$39:$L$40,[31]pcepl!$K$42:$L$72</definedName>
    <definedName name="form_daten">#REF!,#REF!,#REF!,#REF!,#REF!,#REF!,#REF!</definedName>
    <definedName name="form_schicht">"Text 17"</definedName>
    <definedName name="form_zahlenformat" localSheetId="4">[31]pcepl!$K$15:$L$20,[31]pcepl!$K$22:$L$24,[31]pcepl!$K$26:$L$29,[31]pcepl!$K$31:$L$34,[31]pcepl!$K$37:$L$38,[31]pcepl!$K$39:$L$40,[31]pcepl!$K$42:$L$72</definedName>
    <definedName name="form_zahlenformat">#REF!,#REF!,#REF!,#REF!,#REF!,#REF!,#REF!</definedName>
    <definedName name="Formatauswahl">#REF!</definedName>
    <definedName name="FORWARD_İŞLEMLERİ_GELİR_GİDER_REESKONT_TABLOSU">#REF!</definedName>
    <definedName name="FRPRINT">#REF!</definedName>
    <definedName name="fw" localSheetId="4">[11]D!$C$5</definedName>
    <definedName name="fw">#REF!</definedName>
    <definedName name="FWD">#REF!</definedName>
    <definedName name="g">#REF!</definedName>
    <definedName name="G1_100">#REF!</definedName>
    <definedName name="G2_100">#REF!</definedName>
    <definedName name="Gate">#REF!</definedName>
    <definedName name="GATE_IRR" localSheetId="4">'[32]MAIN GATE (IRR)'!$A$3:$F$22</definedName>
    <definedName name="GATE_IRR">#REF!</definedName>
    <definedName name="gb">#REF!</definedName>
    <definedName name="GEBSAT" localSheetId="4">[10]GEBSATIS!$B$6:$CH$6131</definedName>
    <definedName name="GEBSAT">#REF!</definedName>
    <definedName name="GEN_MUD">#REF!</definedName>
    <definedName name="Gesellschaft" localSheetId="4">[33]Header!#REF!</definedName>
    <definedName name="Gesellschaft">#REF!</definedName>
    <definedName name="gg" localSheetId="4">[12]Header!#REF!</definedName>
    <definedName name="gg">#REF!</definedName>
    <definedName name="gggggg">#REF!</definedName>
    <definedName name="GJ">#REF!</definedName>
    <definedName name="goghjogh">#REF!</definedName>
    <definedName name="Grafik" localSheetId="1">#N/A</definedName>
    <definedName name="Grafik" localSheetId="4">TS!Grafik</definedName>
    <definedName name="Grafik">#N/A</definedName>
    <definedName name="GSTFORM">#REF!</definedName>
    <definedName name="GSTHULPCEL">#REF!</definedName>
    <definedName name="GSTKOLOM">#REF!</definedName>
    <definedName name="GSTMSTRANGE">#REF!</definedName>
    <definedName name="GSTPOSTID">#REF!</definedName>
    <definedName name="GSTWAARDE">#REF!</definedName>
    <definedName name="GSTZKTRANGE">#REF!</definedName>
    <definedName name="GULEURCHECK">#REF!</definedName>
    <definedName name="h" localSheetId="1" hidden="1">{#N/A,#N/A,FALSE,"AESTR_K"}</definedName>
    <definedName name="h" localSheetId="4" hidden="1">{#N/A,#N/A,FALSE,"AESTR_K"}</definedName>
    <definedName name="h" hidden="1">{#N/A,#N/A,FALSE,"AESTR_K"}</definedName>
    <definedName name="H1_100">#REF!</definedName>
    <definedName name="H2_100">#REF!</definedName>
    <definedName name="hdesc_chk_desccol">#REF!</definedName>
    <definedName name="hdesc_chk_idcol">#REF!</definedName>
    <definedName name="hdesc_chk_itcol">#REF!</definedName>
    <definedName name="hdesc_chk_op_desccol">#REF!</definedName>
    <definedName name="Hdesc_Col1">#REF!</definedName>
    <definedName name="Hdesc_Col1_ae">#REF!</definedName>
    <definedName name="Hdesc_Col2">#REF!</definedName>
    <definedName name="Hdesc_Col2_ae">#REF!</definedName>
    <definedName name="Hdesc_Col3">#REF!</definedName>
    <definedName name="Hdesc_Col3_ae">#REF!</definedName>
    <definedName name="Hdesc_Col4">#REF!</definedName>
    <definedName name="Hdesc_Col4_ae">#REF!</definedName>
    <definedName name="Hdesc_Col5">#REF!</definedName>
    <definedName name="Hdesc_Col5_ae">#REF!</definedName>
    <definedName name="HDesc_hfncol">#REF!</definedName>
    <definedName name="HDesc_idcol">#REF!</definedName>
    <definedName name="HDesc_itcol">#REF!</definedName>
    <definedName name="hdesccol">#REF!</definedName>
    <definedName name="Heat_treatment_costs">#REF!</definedName>
    <definedName name="Heat_treatment_time">#REF!</definedName>
    <definedName name="Heating_costs">#REF!</definedName>
    <definedName name="HELP" localSheetId="4">'[22]Baffle Plate'!$B$32:$C$33,'[22]Baffle Plate'!$E$32:$F$33,'[22]Baffle Plate'!$H$32:$I$33,'[22]Baffle Plate'!$K$32:$L$33,'[22]Baffle Plate'!$N$32:$O$33,'[22]Baffle Plate'!$Q$32:$R$33,'[22]Baffle Plate'!$T$32:$U$33,'[22]Baffle Plate'!$W$32:$X$33</definedName>
    <definedName name="HELP">#REF!,#REF!,#REF!,#REF!,#REF!,#REF!,#REF!,#REF!</definedName>
    <definedName name="HELP2" localSheetId="4">'[34]Baffle Plate'!$B$32:$C$33,'[34]Baffle Plate'!$E$32:$F$33,'[34]Baffle Plate'!$H$32:$I$33,'[34]Baffle Plate'!$K$32:$L$33,'[34]Baffle Plate'!$N$32:$O$33,'[34]Baffle Plate'!$Q$32:$R$33,'[34]Baffle Plate'!$T$32:$U$33,'[34]Baffle Plate'!$W$32:$X$33</definedName>
    <definedName name="HELP2">#REF!,#REF!,#REF!,#REF!,#REF!,#REF!,#REF!,#REF!</definedName>
    <definedName name="hfncol">#REF!</definedName>
    <definedName name="hhhhhh" localSheetId="1" hidden="1">{#N/A,#N/A,FALSE,"AESTR_K"}</definedName>
    <definedName name="hhhhhh" localSheetId="4" hidden="1">{#N/A,#N/A,FALSE,"AESTR_K"}</definedName>
    <definedName name="hhhhhh" hidden="1">{#N/A,#N/A,FALSE,"AESTR_K"}</definedName>
    <definedName name="HİSSE_KODU">#REF!</definedName>
    <definedName name="hourly_rate_heat_treatment">#REF!</definedName>
    <definedName name="hourly_rate_journal_welding">#REF!</definedName>
    <definedName name="hourly_rate_machining">#REF!</definedName>
    <definedName name="hourly_rate_pre_heating">#REF!</definedName>
    <definedName name="hourly_rate_roll_welding">#REF!</definedName>
    <definedName name="HPM">#REF!</definedName>
    <definedName name="hprintheaders">#REF!</definedName>
    <definedName name="HShowRange1">#REF!</definedName>
    <definedName name="hTag">#REF!</definedName>
    <definedName name="HZ12SON">#REF!</definedName>
    <definedName name="HZ20SON">#REF!</definedName>
    <definedName name="I" localSheetId="4">[35]PL!#REF!</definedName>
    <definedName name="I">#REF!</definedName>
    <definedName name="Ia">#REF!</definedName>
    <definedName name="ICMAL">#REF!</definedName>
    <definedName name="IDARE">#REF!</definedName>
    <definedName name="idcol">#REF!</definedName>
    <definedName name="İİ" localSheetId="4">'[29]06.99 yat.döv.faiz'!$B$334</definedName>
    <definedName name="İİ">#REF!</definedName>
    <definedName name="Ij" localSheetId="4">[36]PL!#REF!</definedName>
    <definedName name="Ij">#REF!</definedName>
    <definedName name="IMPFORM">#REF!</definedName>
    <definedName name="IMPKOLOM">#REF!</definedName>
    <definedName name="IMPMSTRANGE">#REF!</definedName>
    <definedName name="IMPZTRANGE">#REF!</definedName>
    <definedName name="incomeasof">#REF!</definedName>
    <definedName name="incr05">#REF!</definedName>
    <definedName name="ind">#REF!</definedName>
    <definedName name="index">#REF!</definedName>
    <definedName name="index1">#REF!</definedName>
    <definedName name="index2">#REF!</definedName>
    <definedName name="INDEXX" localSheetId="1" hidden="1">Main.SAPF4Help()</definedName>
    <definedName name="INDEXX" localSheetId="4" hidden="1">Main.SAPF4Help()</definedName>
    <definedName name="INDEXX" hidden="1">Main.SAPF4Help()</definedName>
    <definedName name="indices">#REF!</definedName>
    <definedName name="INDROW">#REF!</definedName>
    <definedName name="Inner_ø">#REF!</definedName>
    <definedName name="inv">#REF!</definedName>
    <definedName name="IOAAECOL">#REF!</definedName>
    <definedName name="IOAAEROW">#REF!</definedName>
    <definedName name="IP" localSheetId="4">[26]START!$F$16</definedName>
    <definedName name="IP">#REF!</definedName>
    <definedName name="IRRALAN" localSheetId="4">[37]IRR!$AD$2:$AK$18</definedName>
    <definedName name="IRRALAN">#REF!</definedName>
    <definedName name="ist" localSheetId="1" hidden="1">{#N/A,#N/A,FALSE,"AESTR_K"}</definedName>
    <definedName name="ist" localSheetId="4" hidden="1">{#N/A,#N/A,FALSE,"AESTR_K"}</definedName>
    <definedName name="ist" hidden="1">{#N/A,#N/A,FALSE,"AESTR_K"}</definedName>
    <definedName name="itcol">#REF!</definedName>
    <definedName name="ittypecol">#REF!</definedName>
    <definedName name="IZSAT" localSheetId="4">[10]IZSATIS!$B$6:$CD$5541</definedName>
    <definedName name="IZSAT">#REF!</definedName>
    <definedName name="J710LDC">#REF!</definedName>
    <definedName name="J710LFe">#REF!</definedName>
    <definedName name="J710LFm">#REF!</definedName>
    <definedName name="J710RHe">#REF!</definedName>
    <definedName name="J710RHm">#REF!</definedName>
    <definedName name="J711JSWII">#REF!</definedName>
    <definedName name="J805BOF">#REF!</definedName>
    <definedName name="J805SRU">#REF!</definedName>
    <definedName name="Jahr_aktuell">YEAR(TODAY())</definedName>
    <definedName name="JJ">#REF!</definedName>
    <definedName name="Journal_length">#REF!</definedName>
    <definedName name="Journal_ø">#REF!</definedName>
    <definedName name="Journal_Radius">#REF!</definedName>
    <definedName name="Journal_welding_costs">#REF!</definedName>
    <definedName name="JPYK" localSheetId="4">'[38]FORWARD-CLİENT'!#REF!</definedName>
    <definedName name="JPYK">#REF!</definedName>
    <definedName name="ju">#REF!</definedName>
    <definedName name="KALIP_ISLET">#REF!</definedName>
    <definedName name="KALIPHANE">#REF!</definedName>
    <definedName name="KAPLAMA">#REF!</definedName>
    <definedName name="katsayi">#REF!</definedName>
    <definedName name="KATSAYITABLOSU" localSheetId="4">[39]Sayfa1!$C$1:$D$65536</definedName>
    <definedName name="KATSAYITABLOSU">#REF!</definedName>
    <definedName name="KEES">#REF!</definedName>
    <definedName name="KESİN_ALIMLAR">#REF!</definedName>
    <definedName name="KEUS">#REF!</definedName>
    <definedName name="Komisyon">#REF!</definedName>
    <definedName name="Krankenstand">#REF!</definedName>
    <definedName name="KREDİ">#REF!</definedName>
    <definedName name="kur" localSheetId="4">'[29]06.99 yat.döv.faiz'!$B$49:$P$102</definedName>
    <definedName name="kur">#REF!</definedName>
    <definedName name="L" localSheetId="4">[40]Start!$H$4</definedName>
    <definedName name="L">#REF!</definedName>
    <definedName name="L1_100">#REF!</definedName>
    <definedName name="Labels">#REF!</definedName>
    <definedName name="LİAB">#REF!</definedName>
    <definedName name="LIABILITIES">#REF!</definedName>
    <definedName name="LINE" localSheetId="4">[37]Lineer!$AG$2:$AN$20</definedName>
    <definedName name="LINE">#REF!</definedName>
    <definedName name="LOJİSTIK">#REF!</definedName>
    <definedName name="LSTHEDGE">#REF!</definedName>
    <definedName name="LSTHEDGESTART">#REF!</definedName>
    <definedName name="LSTINPUT">#REF!</definedName>
    <definedName name="LSTINPUTSTART">#REF!</definedName>
    <definedName name="LSTLEFT">#REF!</definedName>
    <definedName name="LSTLEFTSTART">#REF!</definedName>
    <definedName name="LSTSIGN">#REF!</definedName>
    <definedName name="LSTSIGNSTART">#REF!</definedName>
    <definedName name="M.1_100">#REF!</definedName>
    <definedName name="MA">#REF!</definedName>
    <definedName name="Machining_costs">#REF!</definedName>
    <definedName name="Machining_time">#REF!</definedName>
    <definedName name="MAK_BAKIM">#REF!</definedName>
    <definedName name="man_1">#REF!</definedName>
    <definedName name="man_2">#REF!</definedName>
    <definedName name="Man_20">#REF!</definedName>
    <definedName name="Man_21">#REF!</definedName>
    <definedName name="Man_22">#REF!</definedName>
    <definedName name="man_4">#REF!</definedName>
    <definedName name="mann_1">#REF!</definedName>
    <definedName name="manni_6">#REF!</definedName>
    <definedName name="manni_7">#REF!</definedName>
    <definedName name="mat_begin">#REF!</definedName>
    <definedName name="mat_desccol">#REF!</definedName>
    <definedName name="mat_hdesccol">#REF!</definedName>
    <definedName name="mat_list">#REF!</definedName>
    <definedName name="mat_start">#REF!</definedName>
    <definedName name="matrix">#REF!</definedName>
    <definedName name="Melting_rate">#REF!</definedName>
    <definedName name="menge" localSheetId="4">[11]Vor!#REF!</definedName>
    <definedName name="menge">#REF!</definedName>
    <definedName name="MIKSER">#REF!</definedName>
    <definedName name="MİKTAR06Q1" localSheetId="4">'[41]Q1 2006'!$G$1:$G$65536</definedName>
    <definedName name="MİKTAR06Q1">#REF!</definedName>
    <definedName name="mill1">#REF!</definedName>
    <definedName name="mill10a">#REF!</definedName>
    <definedName name="mill11a">#REF!</definedName>
    <definedName name="mill11b">#REF!</definedName>
    <definedName name="mill12a">#REF!</definedName>
    <definedName name="mill12b">#REF!</definedName>
    <definedName name="mill12c">#REF!</definedName>
    <definedName name="mill12d">#REF!</definedName>
    <definedName name="mill12e">#REF!</definedName>
    <definedName name="mill13a">#REF!</definedName>
    <definedName name="mill13b">#REF!</definedName>
    <definedName name="mill13c">#REF!</definedName>
    <definedName name="mill13d">#REF!</definedName>
    <definedName name="mill14a">#REF!</definedName>
    <definedName name="mill15a">#REF!</definedName>
    <definedName name="mill15b">#REF!</definedName>
    <definedName name="mill15c">#REF!</definedName>
    <definedName name="mill16a">#REF!</definedName>
    <definedName name="mill16b">#REF!</definedName>
    <definedName name="mill16c">#REF!</definedName>
    <definedName name="mill16d">#REF!</definedName>
    <definedName name="mill17a">#REF!</definedName>
    <definedName name="mill17b">#REF!</definedName>
    <definedName name="mill17c">#REF!</definedName>
    <definedName name="mill17d">#REF!</definedName>
    <definedName name="mill17e">#REF!</definedName>
    <definedName name="mill18a">#REF!</definedName>
    <definedName name="mill18b">#REF!</definedName>
    <definedName name="mill19a">#REF!</definedName>
    <definedName name="mill19b">#REF!</definedName>
    <definedName name="mill19c">#REF!</definedName>
    <definedName name="mill1a">#REF!</definedName>
    <definedName name="mill1b">#REF!</definedName>
    <definedName name="mill2">#REF!</definedName>
    <definedName name="mill20a">#REF!</definedName>
    <definedName name="mill20b">#REF!</definedName>
    <definedName name="mill21a">#REF!</definedName>
    <definedName name="mill21b">#REF!</definedName>
    <definedName name="mill21c">#REF!</definedName>
    <definedName name="mill22a">#REF!</definedName>
    <definedName name="mill22b">#REF!</definedName>
    <definedName name="mill22c">#REF!</definedName>
    <definedName name="mill23a">#REF!</definedName>
    <definedName name="mill23b">#REF!</definedName>
    <definedName name="mill23c">#REF!</definedName>
    <definedName name="mill24a">#REF!</definedName>
    <definedName name="mill24b">#REF!</definedName>
    <definedName name="mill2a">#REF!</definedName>
    <definedName name="mill2b">#REF!</definedName>
    <definedName name="mill2c">#REF!</definedName>
    <definedName name="mill3a">#REF!</definedName>
    <definedName name="mill3b">#REF!</definedName>
    <definedName name="mill4a">#REF!</definedName>
    <definedName name="mill4b">#REF!</definedName>
    <definedName name="mill4c">#REF!</definedName>
    <definedName name="mill5a">#REF!</definedName>
    <definedName name="mill5b">#REF!</definedName>
    <definedName name="mill5c">#REF!</definedName>
    <definedName name="mill5d">#REF!</definedName>
    <definedName name="mill6a">#REF!</definedName>
    <definedName name="mill6b">#REF!</definedName>
    <definedName name="mill7a">#REF!</definedName>
    <definedName name="mill7b">#REF!</definedName>
    <definedName name="mill7c">#REF!</definedName>
    <definedName name="mill7d">#REF!</definedName>
    <definedName name="mill8a">#REF!</definedName>
    <definedName name="mill8b">#REF!</definedName>
    <definedName name="mill8c">#REF!</definedName>
    <definedName name="mill9a">#REF!</definedName>
    <definedName name="mill9b">#REF!</definedName>
    <definedName name="mm">#REF!</definedName>
    <definedName name="mmmmm">#REF!</definedName>
    <definedName name="MN" localSheetId="4">[42]Start!$I$6</definedName>
    <definedName name="MN">#REF!</definedName>
    <definedName name="MODELIO">#REF!</definedName>
    <definedName name="Monat" localSheetId="4">[42]Start!$E$7</definedName>
    <definedName name="Monat">#REF!</definedName>
    <definedName name="monika" localSheetId="1" hidden="1">{#N/A,#N/A,FALSE,"AESTR_K"}</definedName>
    <definedName name="monika" localSheetId="4" hidden="1">{#N/A,#N/A,FALSE,"AESTR_K"}</definedName>
    <definedName name="monika" hidden="1">{#N/A,#N/A,FALSE,"AESTR_K"}</definedName>
    <definedName name="Months">#REF!</definedName>
    <definedName name="MTMALAN" localSheetId="4">[37]MTM!$AC$2:$AJ$20</definedName>
    <definedName name="MTMALAN">#REF!</definedName>
    <definedName name="N">#REF!</definedName>
    <definedName name="nn" localSheetId="4">[43]Header!$C$19</definedName>
    <definedName name="nn">#REF!</definedName>
    <definedName name="No._of_heat_treatments">#REF!</definedName>
    <definedName name="No._of_journals_to_weld">#REF!</definedName>
    <definedName name="No._of_lathe_cuts_finishing">#REF!</definedName>
    <definedName name="No._of_lathe_cuts_roughing">#REF!</definedName>
    <definedName name="No._of_pre_heatings">#REF!</definedName>
    <definedName name="NPKAufteilungFürHM">#REF!</definedName>
    <definedName name="NPKproJahr">#REF!</definedName>
    <definedName name="NUMBERS" localSheetId="4">'[22]Baffle Plate'!$B$32:$C$33,'[22]Baffle Plate'!$E$32:$F$33,'[22]Baffle Plate'!$H$32:$I$33,'[22]Baffle Plate'!$K$32:$L$33,'[22]Baffle Plate'!$N$32:$O$33,'[22]Baffle Plate'!$Q$32:$R$33,'[22]Baffle Plate'!$T$32:$U$33,'[22]Baffle Plate'!$W$32:$X$33</definedName>
    <definedName name="NUMBERS">#REF!,#REF!,#REF!,#REF!,#REF!,#REF!,#REF!,#REF!</definedName>
    <definedName name="NUMBERS2" localSheetId="4">'[27]Baffle Plate'!$B$32:$C$33,'[27]Baffle Plate'!$E$32:$F$33,'[27]Baffle Plate'!$H$32:$I$33,'[27]Baffle Plate'!$K$32:$L$33,'[27]Baffle Plate'!$N$32:$O$33,'[27]Baffle Plate'!$Q$32:$R$33,'[27]Baffle Plate'!$T$32:$U$33,'[27]Baffle Plate'!$W$32:$X$33</definedName>
    <definedName name="NUMBERS2">#REF!,#REF!,#REF!,#REF!,#REF!,#REF!,#REF!,#REF!</definedName>
    <definedName name="NUMMER" localSheetId="4">[6]START!$E$8:$H$19</definedName>
    <definedName name="NUMMER">#REF!</definedName>
    <definedName name="ODTROW">#REF!</definedName>
    <definedName name="offseat" localSheetId="4">'[44]1'!#REF!</definedName>
    <definedName name="offseat">#REF!</definedName>
    <definedName name="ol">#REF!</definedName>
    <definedName name="ON">#REF!</definedName>
    <definedName name="ONALTI">#REF!</definedName>
    <definedName name="ONBEŞ">#REF!</definedName>
    <definedName name="ONBIR">#REF!</definedName>
    <definedName name="ONDOKUZ">#REF!</definedName>
    <definedName name="ONDÖRT">#REF!</definedName>
    <definedName name="ONIKI">#REF!</definedName>
    <definedName name="ONSEKIZ">#REF!</definedName>
    <definedName name="ONUÇ">#REF!</definedName>
    <definedName name="ONYEDİ">#REF!</definedName>
    <definedName name="opppppp" localSheetId="1" hidden="1">Main.SAPF4Help()</definedName>
    <definedName name="opppppp" localSheetId="4" hidden="1">Main.SAPF4Help()</definedName>
    <definedName name="opppppp" hidden="1">Main.SAPF4Help()</definedName>
    <definedName name="p" localSheetId="4">[45]Start!$A$4</definedName>
    <definedName name="p">#REF!</definedName>
    <definedName name="P_GJ" localSheetId="4">[33]Header!$E$14</definedName>
    <definedName name="P_GJ">#REF!</definedName>
    <definedName name="PASİF">#REF!</definedName>
    <definedName name="Peter" localSheetId="1" hidden="1">{#N/A,#N/A,FALSE,"AESTR_K"}</definedName>
    <definedName name="Peter" localSheetId="4" hidden="1">{#N/A,#N/A,FALSE,"AESTR_K"}</definedName>
    <definedName name="Peter" hidden="1">{#N/A,#N/A,FALSE,"AESTR_K"}</definedName>
    <definedName name="PG_GBALU" localSheetId="4">[21]settings!$G$67:$G$70</definedName>
    <definedName name="PG_GBALU">#REF!</definedName>
    <definedName name="PG_GBBAL" localSheetId="4">[46]settings!$G$67:$G$70</definedName>
    <definedName name="PG_GBBAL">#REF!</definedName>
    <definedName name="PG_GBBAN" localSheetId="4">[21]settings!$L$67:$L$70</definedName>
    <definedName name="PG_GBBAN">#REF!</definedName>
    <definedName name="PG_GBKAL" localSheetId="4">[21]settings!$C$67:$C$70</definedName>
    <definedName name="PG_GBKAL">#REF!</definedName>
    <definedName name="PG_GBSEV" localSheetId="4">[21]settings!$C$77:$C$80</definedName>
    <definedName name="PG_GBSEV">#REF!</definedName>
    <definedName name="PG_GBSSR" localSheetId="4">[46]settings!$C$57:$C$61</definedName>
    <definedName name="PG_GBSSR">#REF!</definedName>
    <definedName name="PG_GBSTR" localSheetId="4">[21]settings!$G$57:$G$61</definedName>
    <definedName name="PG_GBSTR">#REF!</definedName>
    <definedName name="PG_GBSTS" comment="Neu = Hüttentechnik, Metallurgie" localSheetId="4">[21]settings!$C$57:$C$61</definedName>
    <definedName name="PG_GBSTS" comment="Neu = Hüttentechnik, Metallurgie">#REF!</definedName>
    <definedName name="PG_GBWFW" localSheetId="4">[21]settings!$L$57:$L$63</definedName>
    <definedName name="PG_GBWFW">#REF!</definedName>
    <definedName name="pg_list">#REF!</definedName>
    <definedName name="PGALL">#REF!</definedName>
    <definedName name="PhaseII">#REF!</definedName>
    <definedName name="pl">#REF!</definedName>
    <definedName name="Plan" localSheetId="4">[16]START!$F$12</definedName>
    <definedName name="Plan">#REF!</definedName>
    <definedName name="Plantyp" localSheetId="4">[21]settings!$G$12:$G$14</definedName>
    <definedName name="Plantyp">#REF!</definedName>
    <definedName name="PLtest">#REF!</definedName>
    <definedName name="PLVAR">#REF!</definedName>
    <definedName name="PORTF2" localSheetId="4">[25]COMMENTO!#REF!</definedName>
    <definedName name="PORTF2">#REF!</definedName>
    <definedName name="PORTF3" localSheetId="4">[25]COMMENTO!#REF!</definedName>
    <definedName name="PORTF3">#REF!</definedName>
    <definedName name="PORTF4" localSheetId="4">[25]COMMENTO!#REF!</definedName>
    <definedName name="PORTF4">#REF!</definedName>
    <definedName name="PORTFOLIO" localSheetId="4">[25]COMMENTO!#REF!</definedName>
    <definedName name="PORTFOLIO">#REF!</definedName>
    <definedName name="POSITION">#REF!</definedName>
    <definedName name="Pre_heating_costs">#REF!</definedName>
    <definedName name="Pre_heating_time">#REF!</definedName>
    <definedName name="preismu" localSheetId="4">[11]Vor!#REF!</definedName>
    <definedName name="preismu">#REF!</definedName>
    <definedName name="preistu" localSheetId="4">[11]Vor!#REF!</definedName>
    <definedName name="preistu">#REF!</definedName>
    <definedName name="PRICES" localSheetId="4">[47]EQUITIES!$EG$3:$EJ$69</definedName>
    <definedName name="PRICES">#REF!</definedName>
    <definedName name="PRICETAB" localSheetId="4">[47]PRICES!$A$3:$D$66</definedName>
    <definedName name="PRICETAB">#REF!</definedName>
    <definedName name="PRINT">#REF!</definedName>
    <definedName name="_xlnm.Print_Area">#REF!</definedName>
    <definedName name="Print_Area_MI">#REF!</definedName>
    <definedName name="Print_Titles_MI">#REF!,#REF!</definedName>
    <definedName name="PRINT1">#REF!</definedName>
    <definedName name="PRINT2">#REF!</definedName>
    <definedName name="PRINTHEADERS">#REF!</definedName>
    <definedName name="PRNFOOTER">#REF!</definedName>
    <definedName name="PRNHULPCEL">#REF!</definedName>
    <definedName name="Q.1_100">#REF!</definedName>
    <definedName name="Quartal" localSheetId="4">[33]Header!$E$9</definedName>
    <definedName name="Quartal">#REF!</definedName>
    <definedName name="Query1">#REF!</definedName>
    <definedName name="Query6" localSheetId="4">'[48]ppe register at 31.12.2002'!$B$2:$L$29400</definedName>
    <definedName name="Query6">#REF!</definedName>
    <definedName name="Query7" localSheetId="4">'[49]ppe disposals in 2002'!$B$3:$M$129</definedName>
    <definedName name="Query7">#REF!</definedName>
    <definedName name="RATE">#REF!</definedName>
    <definedName name="RATES" localSheetId="4">[47]EQUITIES!$DR$5:$EE$69</definedName>
    <definedName name="RATES">#REF!</definedName>
    <definedName name="READ">#REF!</definedName>
    <definedName name="realfn">#REF!</definedName>
    <definedName name="_xlnm.Recorder" localSheetId="4">[50]ALTMENP!$B$3:$B$17</definedName>
    <definedName name="_xlnm.Recorder">#REF!</definedName>
    <definedName name="REPOLAR">#REF!</definedName>
    <definedName name="REPOSIRALAMA" localSheetId="4">[51]!REPOSIRALAMA</definedName>
    <definedName name="REPOSIRALAMA">#REF!</definedName>
    <definedName name="RepUL" localSheetId="4">[52]Header!$E$19</definedName>
    <definedName name="RepUL">#REF!</definedName>
    <definedName name="RoeRng1">#REF!</definedName>
    <definedName name="Roll_barrel_ø">#REF!</definedName>
    <definedName name="Roll_conditions">#REF!</definedName>
    <definedName name="rt">#REF!</definedName>
    <definedName name="RTROW">#REF!</definedName>
    <definedName name="run_on_off_m">#REF!</definedName>
    <definedName name="run_on_off_w">#REF!</definedName>
    <definedName name="SalApr05" localSheetId="4">[53]Sheet1!$Z$4:$AU$121</definedName>
    <definedName name="SalApr05">#REF!</definedName>
    <definedName name="Salstr05">#REF!</definedName>
    <definedName name="SAPBEXrevision" hidden="1">1</definedName>
    <definedName name="SAPBEXsysID" hidden="1">"B33"</definedName>
    <definedName name="SAPBEXwbID" hidden="1">"3NKFADI6M8L0F88DR5Z6W5Z4K"</definedName>
    <definedName name="SAPFuncF4Help" localSheetId="1" hidden="1">Main.SAPF4Help()</definedName>
    <definedName name="SAPFuncF4Help" localSheetId="4" hidden="1">Main.SAPF4Help()</definedName>
    <definedName name="SAPFuncF4Help" hidden="1">Main.SAPF4Help()</definedName>
    <definedName name="SAPRangePOPER_Tabelle10_Tabelle10D1" localSheetId="4">[54]Header!#REF!</definedName>
    <definedName name="SAPRangePOPER_Tabelle10_Tabelle10D1">#REF!</definedName>
    <definedName name="SAPRangePOPER_Tabelle11_Tabelle11D1" localSheetId="4">[54]Header!#REF!</definedName>
    <definedName name="SAPRangePOPER_Tabelle11_Tabelle11D1">#REF!</definedName>
    <definedName name="SAPRangePOPER_Tabelle13_Tabelle13D1" localSheetId="4">[54]Header!#REF!</definedName>
    <definedName name="SAPRangePOPER_Tabelle13_Tabelle13D1">#REF!</definedName>
    <definedName name="SAPRangePOPER_Tabelle15_Tabelle15D1" localSheetId="4">[54]Header!#REF!</definedName>
    <definedName name="SAPRangePOPER_Tabelle15_Tabelle15D1">#REF!</definedName>
    <definedName name="SAPRangePOPER_Tabelle16_Tabelle16D1" localSheetId="4">[54]Header!#REF!</definedName>
    <definedName name="SAPRangePOPER_Tabelle16_Tabelle16D1">#REF!</definedName>
    <definedName name="SAPRangePOPER_Tabelle17_Tabelle17D1" localSheetId="4">[54]Header!#REF!</definedName>
    <definedName name="SAPRangePOPER_Tabelle17_Tabelle17D1">#REF!</definedName>
    <definedName name="SAPRangePOPER_Tabelle18_Tabelle18D1" localSheetId="4">[54]Header!#REF!</definedName>
    <definedName name="SAPRangePOPER_Tabelle18_Tabelle18D1">#REF!</definedName>
    <definedName name="SAPRangePOPER_Tabelle23_Tabelle23D1" localSheetId="4">[54]Header!#REF!</definedName>
    <definedName name="SAPRangePOPER_Tabelle23_Tabelle23D1">#REF!</definedName>
    <definedName name="SAPRangePOPER_Tabelle24_Tabelle24D1" localSheetId="4">[54]Header!#REF!</definedName>
    <definedName name="SAPRangePOPER_Tabelle24_Tabelle24D1">#REF!</definedName>
    <definedName name="SAPRangePOPER_Tabelle25_Tabelle25D1" localSheetId="4">[54]Header!#REF!</definedName>
    <definedName name="SAPRangePOPER_Tabelle25_Tabelle25D1">#REF!</definedName>
    <definedName name="SAPRangePOPER_Tabelle26_Tabelle26D1" localSheetId="4">[54]Header!#REF!</definedName>
    <definedName name="SAPRangePOPER_Tabelle26_Tabelle26D1">#REF!</definedName>
    <definedName name="SAPRangePOPER_Tabelle27_Tabelle27D1" localSheetId="4">[54]Header!#REF!</definedName>
    <definedName name="SAPRangePOPER_Tabelle27_Tabelle27D1">#REF!</definedName>
    <definedName name="SAPRangePOPER_Tabelle28_Tabelle28D1" localSheetId="4">[54]Header!#REF!</definedName>
    <definedName name="SAPRangePOPER_Tabelle28_Tabelle28D1">#REF!</definedName>
    <definedName name="SAPRangePOPER_Tabelle29_Tabelle29D1" localSheetId="4">[54]Header!#REF!</definedName>
    <definedName name="SAPRangePOPER_Tabelle29_Tabelle29D1">#REF!</definedName>
    <definedName name="SAPRangePOPER_Tabelle30_Tabelle30D1" localSheetId="4">[54]Header!#REF!</definedName>
    <definedName name="SAPRangePOPER_Tabelle30_Tabelle30D1">#REF!</definedName>
    <definedName name="SAPRangePOPER_Tabelle31_Tabelle31D1" localSheetId="4">[54]Header!#REF!</definedName>
    <definedName name="SAPRangePOPER_Tabelle31_Tabelle31D1">#REF!</definedName>
    <definedName name="SAPRangePOPER_Tabelle32_Tabelle32D1" localSheetId="4">[54]Header!#REF!</definedName>
    <definedName name="SAPRangePOPER_Tabelle32_Tabelle32D1">#REF!</definedName>
    <definedName name="SAPRangePOPER_Tabelle33_Tabelle33D1" localSheetId="4">[54]Header!#REF!</definedName>
    <definedName name="SAPRangePOPER_Tabelle33_Tabelle33D1">#REF!</definedName>
    <definedName name="SAPRangePOPER_Tabelle34_Tabelle34D1" localSheetId="4">[54]Header!#REF!</definedName>
    <definedName name="SAPRangePOPER_Tabelle34_Tabelle34D1">#REF!</definedName>
    <definedName name="SAPRangePOPER_Tabelle35_Tabelle35D1" localSheetId="4">[54]Header!#REF!</definedName>
    <definedName name="SAPRangePOPER_Tabelle35_Tabelle35D1">#REF!</definedName>
    <definedName name="SAPRangePOPER_Tabelle36_Tabelle36D1" localSheetId="4">[54]Header!#REF!</definedName>
    <definedName name="SAPRangePOPER_Tabelle36_Tabelle36D1">#REF!</definedName>
    <definedName name="SAPRangePOPER_Tabelle37_Tabelle37D1" localSheetId="4">[54]Header!#REF!</definedName>
    <definedName name="SAPRangePOPER_Tabelle37_Tabelle37D1">#REF!</definedName>
    <definedName name="SAPRangePOPER_Tabelle38_Tabelle38D1" localSheetId="4">[54]Header!#REF!</definedName>
    <definedName name="SAPRangePOPER_Tabelle38_Tabelle38D1">#REF!</definedName>
    <definedName name="SAPRangePOPER_Tabelle39_Tabelle39D1" localSheetId="4">[54]Header!#REF!</definedName>
    <definedName name="SAPRangePOPER_Tabelle39_Tabelle39D1">#REF!</definedName>
    <definedName name="SAPRangePOPER_Tabelle40_Tabelle40D1" localSheetId="4">[54]Header!#REF!</definedName>
    <definedName name="SAPRangePOPER_Tabelle40_Tabelle40D1">#REF!</definedName>
    <definedName name="SAPRangePOPER_Tabelle41_Tabelle41D1" localSheetId="4">[54]Header!#REF!</definedName>
    <definedName name="SAPRangePOPER_Tabelle41_Tabelle41D1">#REF!</definedName>
    <definedName name="SAPRangePOPER_Tabelle43_Tabelle43D1" localSheetId="4">[54]Header!#REF!</definedName>
    <definedName name="SAPRangePOPER_Tabelle43_Tabelle43D1">#REF!</definedName>
    <definedName name="SAPRangePOPER_Tabelle54_Tabelle54D1" localSheetId="4">[54]Header!#REF!</definedName>
    <definedName name="SAPRangePOPER_Tabelle54_Tabelle54D1">#REF!</definedName>
    <definedName name="SAPRangePOPER_Tabelle55_Tabelle55D1" localSheetId="4">[54]Header!#REF!</definedName>
    <definedName name="SAPRangePOPER_Tabelle55_Tabelle55D1">#REF!</definedName>
    <definedName name="SAPRangePOPER_Tabelle59_Tabelle59D1" localSheetId="4">[54]Header!#REF!</definedName>
    <definedName name="SAPRangePOPER_Tabelle59_Tabelle59D1">#REF!</definedName>
    <definedName name="SAPRangePOPER_Tabelle60_Tabelle60D1" localSheetId="4">[54]Header!#REF!</definedName>
    <definedName name="SAPRangePOPER_Tabelle60_Tabelle60D1">#REF!</definedName>
    <definedName name="SAPRangePOPER_Tabelle61_Tabelle61D1" localSheetId="4">[54]Header!#REF!</definedName>
    <definedName name="SAPRangePOPER_Tabelle61_Tabelle61D1">#REF!</definedName>
    <definedName name="SATIS" localSheetId="4">'[10]SATIŞ ÇALIŞMA'!#REF!</definedName>
    <definedName name="SATIS">#REF!</definedName>
    <definedName name="SATIŞ" localSheetId="4">'[10]SATIŞ ÇALIŞMA'!$B$6:$G$500</definedName>
    <definedName name="SATIŞ">#REF!</definedName>
    <definedName name="SATKONTROL">#REF!</definedName>
    <definedName name="Scan_conditions">#REF!</definedName>
    <definedName name="SD" localSheetId="4">[12]Header!#REF!</definedName>
    <definedName name="SD">#REF!</definedName>
    <definedName name="SDSD" localSheetId="4">'[32]MAIN GATE'!$A$3:$P$22</definedName>
    <definedName name="SDSD">#REF!</definedName>
    <definedName name="SEKIZ">#REF!</definedName>
    <definedName name="Service" localSheetId="4">'[55]START SERV'!$A$11</definedName>
    <definedName name="Service">#REF!</definedName>
    <definedName name="SetinWBDt">#REF!</definedName>
    <definedName name="SHIT" localSheetId="4">'[34]Baffle Plate'!$B$32:$C$33,'[34]Baffle Plate'!$E$32:$F$33,'[34]Baffle Plate'!$H$32:$I$33,'[34]Baffle Plate'!$K$32:$L$33,'[34]Baffle Plate'!$N$32:$O$33,'[34]Baffle Plate'!$Q$32:$R$33,'[34]Baffle Plate'!$T$32:$U$33,'[34]Baffle Plate'!$W$32:$X$33</definedName>
    <definedName name="SHIT">#REF!,#REF!,#REF!,#REF!,#REF!,#REF!,#REF!,#REF!</definedName>
    <definedName name="showrange1">#REF!</definedName>
    <definedName name="SIGN">#REF!</definedName>
    <definedName name="signcol">#REF!</definedName>
    <definedName name="sms" localSheetId="1" hidden="1">{#N/A,#N/A,FALSE,"AESTR_K"}</definedName>
    <definedName name="sms" localSheetId="4" hidden="1">{#N/A,#N/A,FALSE,"AESTR_K"}</definedName>
    <definedName name="sms" hidden="1">{#N/A,#N/A,FALSE,"AESTR_K"}</definedName>
    <definedName name="SP" localSheetId="4">'[55]START SP'!$A$11</definedName>
    <definedName name="SP">#REF!</definedName>
    <definedName name="SS" localSheetId="4">[56]PL!#REF!</definedName>
    <definedName name="SS">#REF!</definedName>
    <definedName name="Stahl" localSheetId="4">[57]START!$A$11</definedName>
    <definedName name="Stahl">#REF!</definedName>
    <definedName name="stichtag" localSheetId="4">[11]D!$C$3</definedName>
    <definedName name="stichtag">#REF!</definedName>
    <definedName name="STOP">#REF!</definedName>
    <definedName name="SUBCHKGEVULD">#REF!</definedName>
    <definedName name="SUBELER">#REF!</definedName>
    <definedName name="SUBGISTFOUT1">#REF!</definedName>
    <definedName name="SUBGISTLEEG">#REF!</definedName>
    <definedName name="summe">#REF!</definedName>
    <definedName name="systemcopy">#REF!</definedName>
    <definedName name="systemeditcontrolAA">#REF!</definedName>
    <definedName name="t">#REF!,#REF!</definedName>
    <definedName name="TAB_CF">#REF!</definedName>
    <definedName name="TABLE">#REF!</definedName>
    <definedName name="TABLE00">#REF!</definedName>
    <definedName name="tablecol">#REF!</definedName>
    <definedName name="TanThickDefault">#REF!</definedName>
    <definedName name="TanthicknessBF">#REF!</definedName>
    <definedName name="TanthicknessBFA">#REF!</definedName>
    <definedName name="TCMBFiyat">#REF!</definedName>
    <definedName name="td_col1">#REF!</definedName>
    <definedName name="td_col2">#REF!</definedName>
    <definedName name="td_col3">#REF!</definedName>
    <definedName name="td_col4">#REF!</definedName>
    <definedName name="td_col5">#REF!</definedName>
    <definedName name="td_desccol">#REF!</definedName>
    <definedName name="td_hdesccol">#REF!</definedName>
    <definedName name="td_idcol">#REF!</definedName>
    <definedName name="td_itcol">#REF!</definedName>
    <definedName name="td_list">#REF!</definedName>
    <definedName name="TD_PG">#REF!</definedName>
    <definedName name="TD_TABLECOL">#REF!</definedName>
    <definedName name="TDDTROW">#REF!</definedName>
    <definedName name="TDINDROW">#REF!</definedName>
    <definedName name="TDIO">#REF!</definedName>
    <definedName name="TDIOAAEROW">#REF!</definedName>
    <definedName name="TDODTROW">#REF!</definedName>
    <definedName name="tdrprow">#REF!</definedName>
    <definedName name="TDRTROW">#REF!</definedName>
    <definedName name="tech.Kapa.ohne.Korrektur">#REF!</definedName>
    <definedName name="tel" localSheetId="4">[20]B!$C$4</definedName>
    <definedName name="tel">#REF!</definedName>
    <definedName name="test" localSheetId="1" hidden="1">{#N/A,#N/A,FALSE,"AESTR_K"}</definedName>
    <definedName name="test" localSheetId="4" hidden="1">{#N/A,#N/A,FALSE,"AESTR_K"}</definedName>
    <definedName name="test" hidden="1">{#N/A,#N/A,FALSE,"AESTR_K"}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SVIK_ORAN">#REF!</definedName>
    <definedName name="The_Breakdown_of_Dividend_Income">#REF!</definedName>
    <definedName name="The_Breakdown_of_Interest_Income">#REF!</definedName>
    <definedName name="The_Breakdown_of_Other_Expense">#REF!</definedName>
    <definedName name="The_Breakdown_of_Other_Income">#REF!</definedName>
    <definedName name="Theo.Kapa.">#REF!</definedName>
    <definedName name="thf">#REF!</definedName>
    <definedName name="thjw">#REF!</definedName>
    <definedName name="thr">#REF!</definedName>
    <definedName name="thwi">#REF!</definedName>
    <definedName name="thwo">#REF!</definedName>
    <definedName name="TLPL">#REF!</definedName>
    <definedName name="TOPLAM">#REF!</definedName>
    <definedName name="Total_heat_treatment_time">#REF!</definedName>
    <definedName name="Total_pre_heating_time">#REF!</definedName>
    <definedName name="TOTALE">#REF!</definedName>
    <definedName name="TOTALSALES">#REF!</definedName>
    <definedName name="TransactionDate" localSheetId="4">[13]CFSheet!$D$6</definedName>
    <definedName name="TransactionDate">#REF!</definedName>
    <definedName name="TRL_Cevir">#REF!</definedName>
    <definedName name="TS" localSheetId="4">'[55]START TS'!$A$11</definedName>
    <definedName name="TS">#REF!</definedName>
    <definedName name="tst" localSheetId="1" hidden="1">{#N/A,#N/A,FALSE,"AESTR_K"}</definedName>
    <definedName name="tst" localSheetId="4" hidden="1">{#N/A,#N/A,FALSE,"AESTR_K"}</definedName>
    <definedName name="tst" hidden="1">{#N/A,#N/A,FALSE,"AESTR_K"}</definedName>
    <definedName name="tt" localSheetId="1" hidden="1">{#N/A,#N/A,FALSE,"AESTR_K"}</definedName>
    <definedName name="tt" localSheetId="4" hidden="1">{#N/A,#N/A,FALSE,"AESTR_K"}</definedName>
    <definedName name="tt" hidden="1">{#N/A,#N/A,FALSE,"AESTR_K"}</definedName>
    <definedName name="TTK">#REF!</definedName>
    <definedName name="ttt" localSheetId="1" hidden="1">{#N/A,#N/A,FALSE,"AESTR_K"}</definedName>
    <definedName name="ttt" localSheetId="4" hidden="1">{#N/A,#N/A,FALSE,"AESTR_K"}</definedName>
    <definedName name="ttt" hidden="1">{#N/A,#N/A,FALSE,"AESTR_K"}</definedName>
    <definedName name="TUTAR06Q1" localSheetId="4">'[41]Q1 2006'!$L$1:$L$65536</definedName>
    <definedName name="TUTAR06Q1">#REF!</definedName>
    <definedName name="u" localSheetId="1" hidden="1">{#N/A,#N/A,FALSE,"AESTR_K"}</definedName>
    <definedName name="u" localSheetId="4" hidden="1">{#N/A,#N/A,FALSE,"AESTR_K"}</definedName>
    <definedName name="u" hidden="1">{#N/A,#N/A,FALSE,"AESTR_K"}</definedName>
    <definedName name="UPDATE" localSheetId="4">[47]EQUITIES!$EG$5:$EI$69</definedName>
    <definedName name="UPDATE">#REF!</definedName>
    <definedName name="ÜRÜN06Q1" localSheetId="4">'[41]Q1 2006'!$F$1:$F$65536</definedName>
    <definedName name="ÜRÜN06Q1">#REF!</definedName>
    <definedName name="USD">#REF!</definedName>
    <definedName name="uy">#REF!</definedName>
    <definedName name="v" localSheetId="1" hidden="1">{#N/A,#N/A,FALSE,"AESTR_K"}</definedName>
    <definedName name="v" localSheetId="4" hidden="1">{#N/A,#N/A,FALSE,"AESTR_K"}</definedName>
    <definedName name="v" hidden="1">{#N/A,#N/A,FALSE,"AESTR_K"}</definedName>
    <definedName name="V_GJ" localSheetId="4">[33]Header!$E$13</definedName>
    <definedName name="V_GJ">#REF!</definedName>
    <definedName name="Valuation_date">#REF!</definedName>
    <definedName name="Vc_f">#REF!</definedName>
    <definedName name="Vc_r">#REF!</definedName>
    <definedName name="VD" localSheetId="4">[33]Header!#REF!</definedName>
    <definedName name="VD">#REF!</definedName>
    <definedName name="VJ" localSheetId="4">[16]START!$F$10</definedName>
    <definedName name="VJ">#REF!</definedName>
    <definedName name="VLGJ" localSheetId="4">[58]Comment!$F$23</definedName>
    <definedName name="VLGJ">#REF!</definedName>
    <definedName name="VP" localSheetId="4">[16]START!$F$18</definedName>
    <definedName name="VP">#REF!</definedName>
    <definedName name="VS" localSheetId="4">[16]START!$F$14</definedName>
    <definedName name="VS">#REF!</definedName>
    <definedName name="VS_GJ" localSheetId="4">[33]Header!#REF!</definedName>
    <definedName name="VS_GJ">#REF!</definedName>
    <definedName name="Vw_cw">#REF!</definedName>
    <definedName name="Vw_journal">#REF!</definedName>
    <definedName name="Vw_saw">#REF!</definedName>
    <definedName name="VzuP" localSheetId="4">[33]Header!#REF!</definedName>
    <definedName name="VzuP">#REF!</definedName>
    <definedName name="W">#REF!</definedName>
    <definedName name="Währung" localSheetId="4">[33]Header!$D$22</definedName>
    <definedName name="Währung">#REF!</definedName>
    <definedName name="we" localSheetId="4">[56]PL!#REF!</definedName>
    <definedName name="we">#REF!</definedName>
    <definedName name="Welding_costs_inner_ø">#REF!</definedName>
    <definedName name="Welding_costs_outer_ø">#REF!</definedName>
    <definedName name="Welding_heads">#REF!</definedName>
    <definedName name="Welding_layers_outer_ø">#REF!</definedName>
    <definedName name="Welding_type">#REF!</definedName>
    <definedName name="Wire_cost_per_kg">#REF!</definedName>
    <definedName name="WORKİNG_P__L__31.12.1996">#REF!</definedName>
    <definedName name="WORKİNG_TRIAL_BALANCE_31.12.1996">#REF!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;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All." localSheetId="4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;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All.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;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B.._.Sheet._.Personnel._.and._.C.._.Flow." localSheetId="1" hidden="1">{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B.._.Sheet._.Personnel._.and._.C.._.Flow." localSheetId="4" hidden="1">{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B.._.Sheet._.Personnel._.and._.C.._.Flow." hidden="1">{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Business." localSheetId="1" hidden="1">{#N/A,#N/A,FALSE,"AESTR_K"}</definedName>
    <definedName name="wrn.Business." localSheetId="4" hidden="1">{#N/A,#N/A,FALSE,"AESTR_K"}</definedName>
    <definedName name="wrn.Business." hidden="1">{#N/A,#N/A,FALSE,"AESTR_K"}</definedName>
    <definedName name="wrn.Monatsbericht." localSheetId="1" hidden="1">{#N/A,#N/A,FALSE,"Sum";#N/A,#N/A,FALSE,"Com";#N/A,#N/A,FALSE,"AB-Marge";#N/A,#N/A,FALSE,"P&amp;L";#N/A,#N/A,FALSE,"ProdTot";#N/A,#N/A,FALSE,"Exp";#N/A,#N/A,FALSE,"NonOp";#N/A,#N/A,FALSE,"ServicePC";#N/A,#N/A,FALSE,"Pers";#N/A,#N/A,FALSE,"Pers-MAN";#N/A,#N/A,FALSE,"Ratio1";#N/A,#N/A,FALSE,"FinPlanAct";#N/A,#N/A,FALSE,"FinPlanFC";#N/A,#N/A,FALSE,"FinPlan";#N/A,#N/A,FALSE,"StandLim"}</definedName>
    <definedName name="wrn.Monatsbericht." localSheetId="4" hidden="1">{#N/A,#N/A,FALSE,"Sum";#N/A,#N/A,FALSE,"Com";#N/A,#N/A,FALSE,"AB-Marge";#N/A,#N/A,FALSE,"P&amp;L";#N/A,#N/A,FALSE,"ProdTot";#N/A,#N/A,FALSE,"Exp";#N/A,#N/A,FALSE,"NonOp";#N/A,#N/A,FALSE,"ServicePC";#N/A,#N/A,FALSE,"Pers";#N/A,#N/A,FALSE,"Pers-MAN";#N/A,#N/A,FALSE,"Ratio1";#N/A,#N/A,FALSE,"FinPlanAct";#N/A,#N/A,FALSE,"FinPlanFC";#N/A,#N/A,FALSE,"FinPlan";#N/A,#N/A,FALSE,"StandLim"}</definedName>
    <definedName name="wrn.Monatsbericht." hidden="1">{#N/A,#N/A,FALSE,"Sum";#N/A,#N/A,FALSE,"Com";#N/A,#N/A,FALSE,"AB-Marge";#N/A,#N/A,FALSE,"P&amp;L";#N/A,#N/A,FALSE,"ProdTot";#N/A,#N/A,FALSE,"Exp";#N/A,#N/A,FALSE,"NonOp";#N/A,#N/A,FALSE,"ServicePC";#N/A,#N/A,FALSE,"Pers";#N/A,#N/A,FALSE,"Pers-MAN";#N/A,#N/A,FALSE,"Ratio1";#N/A,#N/A,FALSE,"FinPlanAct";#N/A,#N/A,FALSE,"FinPlanFC";#N/A,#N/A,FALSE,"FinPlan";#N/A,#N/A,FALSE,"StandLim"}</definedName>
    <definedName name="wrn.Monthly._.Report." localSheetId="1" hidden="1">{#N/A,#N/A,TRUE,"Sales Comparison";#N/A,#N/A,TRUE,"Cum. Summary FFR";#N/A,#N/A,TRUE,"Monthly Summary FFR";#N/A,#N/A,TRUE,"Cum. Summary TL";#N/A,#N/A,TRUE,"Monthly Summary TL"}</definedName>
    <definedName name="wrn.Monthly._.Report." localSheetId="4" hidden="1">{#N/A,#N/A,TRUE,"Sales Comparison";#N/A,#N/A,TRUE,"Cum. Summary FFR";#N/A,#N/A,TRUE,"Monthly Summary FFR";#N/A,#N/A,TRUE,"Cum. Summary TL";#N/A,#N/A,TRUE,"Monthly Summary TL"}</definedName>
    <definedName name="wrn.Monthly._.Report." hidden="1">{#N/A,#N/A,TRUE,"Sales Comparison";#N/A,#N/A,TRUE,"Cum. Summary FFR";#N/A,#N/A,TRUE,"Monthly Summary FFR";#N/A,#N/A,TRUE,"Cum. Summary TL";#N/A,#N/A,TRUE,"Monthly Summary TL"}</definedName>
    <definedName name="wrn.Print._.Out." localSheetId="1" hidden="1">{#N/A,#N/A,FALSE,"Summary";#N/A,#N/A,FALSE,"PCR Total";#N/A,#N/A,FALSE,"PCR IMT";#N/A,#N/A,FALSE,"PCR BMF";#N/A,#N/A,FALSE,"PCR BKU";#N/A,#N/A,FALSE,"PCR BMT";#N/A,#N/A,FALSE,"PCR EXT";#N/A,#N/A,FALSE,"PCR FST";#N/A,#N/A,FALSE,"PCR Others";#N/A,#N/A,FALSE,"Exp Total";#N/A,#N/A,FALSE,"Nonop";#N/A,#N/A,FALSE,"Per";#N/A,#N/A,FALSE,"PCR Service";#N/A,#N/A,FALSE,"Exp Analysis"}</definedName>
    <definedName name="wrn.Print._.Out." localSheetId="4" hidden="1">{#N/A,#N/A,FALSE,"Summary";#N/A,#N/A,FALSE,"PCR Total";#N/A,#N/A,FALSE,"PCR IMT";#N/A,#N/A,FALSE,"PCR BMF";#N/A,#N/A,FALSE,"PCR BKU";#N/A,#N/A,FALSE,"PCR BMT";#N/A,#N/A,FALSE,"PCR EXT";#N/A,#N/A,FALSE,"PCR FST";#N/A,#N/A,FALSE,"PCR Others";#N/A,#N/A,FALSE,"Exp Total";#N/A,#N/A,FALSE,"Nonop";#N/A,#N/A,FALSE,"Per";#N/A,#N/A,FALSE,"PCR Service";#N/A,#N/A,FALSE,"Exp Analysis"}</definedName>
    <definedName name="wrn.Print._.Out." hidden="1">{#N/A,#N/A,FALSE,"Summary";#N/A,#N/A,FALSE,"PCR Total";#N/A,#N/A,FALSE,"PCR IMT";#N/A,#N/A,FALSE,"PCR BMF";#N/A,#N/A,FALSE,"PCR BKU";#N/A,#N/A,FALSE,"PCR BMT";#N/A,#N/A,FALSE,"PCR EXT";#N/A,#N/A,FALSE,"PCR FST";#N/A,#N/A,FALSE,"PCR Others";#N/A,#N/A,FALSE,"Exp Total";#N/A,#N/A,FALSE,"Nonop";#N/A,#N/A,FALSE,"Per";#N/A,#N/A,FALSE,"PCR Service";#N/A,#N/A,FALSE,"Exp Analysis"}</definedName>
    <definedName name="wrn.Profit._.and._.Loss." localSheetId="1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}</definedName>
    <definedName name="wrn.Profit._.and._.Loss." localSheetId="4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}</definedName>
    <definedName name="wrn.Profit._.and._.Loss.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}</definedName>
    <definedName name="wrn.RAPOR1." localSheetId="1" hidden="1">{"ACIK",#N/A,FALSE,"A";"EXIM",#N/A,FALSE,"B";"DOVIZ",#N/A,FALSE,"D"}</definedName>
    <definedName name="wrn.RAPOR1." localSheetId="4" hidden="1">{"ACIK",#N/A,FALSE,"A";"EXIM",#N/A,FALSE,"B";"DOVIZ",#N/A,FALSE,"D"}</definedName>
    <definedName name="wrn.RAPOR1." hidden="1">{"ACIK",#N/A,FALSE,"A";"EXIM",#N/A,FALSE,"B";"DOVIZ",#N/A,FALSE,"D"}</definedName>
    <definedName name="x" localSheetId="4">[59]Start!$I$6</definedName>
    <definedName name="x">#REF!</definedName>
    <definedName name="xa">#REF!</definedName>
    <definedName name="xc">#REF!</definedName>
    <definedName name="xMonate">#REF!</definedName>
    <definedName name="xx">#REF!</definedName>
    <definedName name="xxx" localSheetId="4">[60]Header!$D$9</definedName>
    <definedName name="xxx">#REF!</definedName>
    <definedName name="y">#REF!</definedName>
    <definedName name="yal" localSheetId="4">'[38]FORWARD-CLİENT'!#REF!</definedName>
    <definedName name="yal">#REF!</definedName>
    <definedName name="YATIRIM_STOK" localSheetId="4">'[61]Gate IRR'!$H$3:$H$40</definedName>
    <definedName name="YATIRIM_STOK">#REF!</definedName>
    <definedName name="YEDİ">#REF!</definedName>
    <definedName name="yeni2" localSheetId="1" hidden="1">{#N/A,#N/A,FALSE,"Aging Summary";#N/A,#N/A,FALSE,"Ratio Analysis";#N/A,#N/A,FALSE,"Test 120 Day Accts";#N/A,#N/A,FALSE,"Tickmarks"}</definedName>
    <definedName name="yeni2" localSheetId="4" hidden="1">{#N/A,#N/A,FALSE,"Aging Summary";#N/A,#N/A,FALSE,"Ratio Analysis";#N/A,#N/A,FALSE,"Test 120 Day Accts";#N/A,#N/A,FALSE,"Tickmarks"}</definedName>
    <definedName name="yeni2" hidden="1">{#N/A,#N/A,FALSE,"Aging Summary";#N/A,#N/A,FALSE,"Ratio Analysis";#N/A,#N/A,FALSE,"Test 120 Day Accts";#N/A,#N/A,FALSE,"Tickmarks"}</definedName>
    <definedName name="yıl">#REF!</definedName>
    <definedName name="YIRMI">#REF!</definedName>
    <definedName name="YIRMIBEŞ">#REF!</definedName>
    <definedName name="YIRMIBIR">#REF!</definedName>
    <definedName name="YIRMIDORT">#REF!</definedName>
    <definedName name="YIRMIIKI">#REF!</definedName>
    <definedName name="YIRMIUÇ">#REF!</definedName>
    <definedName name="yol" localSheetId="4">'[38]FORWARD-CLİENT'!#REF!</definedName>
    <definedName name="yol">#REF!</definedName>
    <definedName name="YTDEBIT">#REF!</definedName>
    <definedName name="yui">#REF!</definedName>
    <definedName name="Zeichen" localSheetId="4">[33]Header!$D$18</definedName>
    <definedName name="Zeichen">#REF!</definedName>
  </definedNames>
  <calcPr calcId="191029"/>
  <pivotCaches>
    <pivotCache cacheId="0" r:id="rId73"/>
    <pivotCache cacheId="1" r:id="rId74"/>
    <pivotCache cacheId="2" r:id="rId75"/>
    <pivotCache cacheId="3" r:id="rId7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7" i="17" l="1"/>
  <c r="T197" i="17"/>
  <c r="AS197" i="17"/>
  <c r="BH197" i="17"/>
  <c r="BW197" i="17"/>
  <c r="CL197" i="17"/>
  <c r="CM197" i="17"/>
  <c r="CN197" i="17"/>
  <c r="CO197" i="17"/>
  <c r="CP197" i="17"/>
  <c r="O198" i="17"/>
  <c r="T198" i="17"/>
  <c r="U198" i="17"/>
  <c r="V198" i="17"/>
  <c r="W198" i="17"/>
  <c r="X198" i="17"/>
  <c r="AS198" i="17"/>
  <c r="Z198" i="17" s="1"/>
  <c r="BH198" i="17"/>
  <c r="AA198" i="17" s="1"/>
  <c r="BW198" i="17"/>
  <c r="AB198" i="17" s="1"/>
  <c r="CL198" i="17"/>
  <c r="AC198" i="17" s="1"/>
  <c r="O199" i="17"/>
  <c r="T199" i="17"/>
  <c r="U199" i="17"/>
  <c r="V199" i="17"/>
  <c r="W199" i="17"/>
  <c r="CO199" i="17" s="1"/>
  <c r="X199" i="17"/>
  <c r="Z199" i="17"/>
  <c r="AA199" i="17"/>
  <c r="AB199" i="17"/>
  <c r="CL199" i="17"/>
  <c r="AC199" i="17" s="1"/>
  <c r="CP199" i="17" s="1"/>
  <c r="O117" i="17"/>
  <c r="O126" i="17"/>
  <c r="O128" i="17"/>
  <c r="O138" i="17"/>
  <c r="O137" i="17"/>
  <c r="O144" i="17"/>
  <c r="O141" i="17"/>
  <c r="O147" i="17"/>
  <c r="O148" i="17"/>
  <c r="O151" i="17"/>
  <c r="O152" i="17"/>
  <c r="O183" i="17"/>
  <c r="O140" i="17"/>
  <c r="O142" i="17"/>
  <c r="O143" i="17"/>
  <c r="O4" i="17"/>
  <c r="O5" i="17"/>
  <c r="O6" i="17"/>
  <c r="O7" i="17"/>
  <c r="O8" i="17"/>
  <c r="O9" i="17"/>
  <c r="O10" i="17"/>
  <c r="O11" i="17"/>
  <c r="O12" i="17"/>
  <c r="O13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8" i="17"/>
  <c r="O119" i="17"/>
  <c r="O120" i="17"/>
  <c r="O121" i="17"/>
  <c r="O122" i="17"/>
  <c r="O123" i="17"/>
  <c r="O124" i="17"/>
  <c r="O125" i="17"/>
  <c r="O127" i="17"/>
  <c r="O129" i="17"/>
  <c r="O130" i="17"/>
  <c r="O131" i="17"/>
  <c r="O132" i="17"/>
  <c r="O133" i="17"/>
  <c r="O134" i="17"/>
  <c r="O135" i="17"/>
  <c r="O136" i="17"/>
  <c r="O139" i="17"/>
  <c r="O145" i="17"/>
  <c r="O149" i="17"/>
  <c r="O150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7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Y198" i="17" l="1"/>
  <c r="CN198" i="17"/>
  <c r="AD199" i="17"/>
  <c r="CN199" i="17"/>
  <c r="CP198" i="17"/>
  <c r="CM199" i="17"/>
  <c r="CO198" i="17"/>
  <c r="AD198" i="17"/>
  <c r="CM198" i="17"/>
  <c r="Y199" i="17"/>
  <c r="N23" i="37"/>
  <c r="AS196" i="17" l="1"/>
  <c r="Z196" i="17" s="1"/>
  <c r="U196" i="17"/>
  <c r="BW196" i="17"/>
  <c r="AB196" i="17" s="1"/>
  <c r="BH196" i="17"/>
  <c r="AA196" i="17" s="1"/>
  <c r="V196" i="17"/>
  <c r="W196" i="17"/>
  <c r="T196" i="17"/>
  <c r="CL196" i="17"/>
  <c r="AC196" i="17" s="1"/>
  <c r="X196" i="17"/>
  <c r="J202" i="58"/>
  <c r="J203" i="58"/>
  <c r="J204" i="58"/>
  <c r="J205" i="58"/>
  <c r="J206" i="58"/>
  <c r="J207" i="58"/>
  <c r="J208" i="58"/>
  <c r="J201" i="58"/>
  <c r="CP196" i="17" l="1"/>
  <c r="Y196" i="17"/>
  <c r="AD196" i="17"/>
  <c r="CO196" i="17"/>
  <c r="CN196" i="17"/>
  <c r="CM196" i="17"/>
  <c r="AW64" i="17" l="1"/>
  <c r="CA216" i="17" l="1"/>
  <c r="CB216" i="17"/>
  <c r="CC216" i="17"/>
  <c r="CD216" i="17"/>
  <c r="CE216" i="17"/>
  <c r="CF216" i="17"/>
  <c r="CG216" i="17"/>
  <c r="CH216" i="17"/>
  <c r="CI216" i="17"/>
  <c r="CJ216" i="17"/>
  <c r="CK216" i="17"/>
  <c r="BZ216" i="17"/>
  <c r="BL216" i="17"/>
  <c r="BM216" i="17"/>
  <c r="BN216" i="17"/>
  <c r="BO216" i="17"/>
  <c r="BP216" i="17"/>
  <c r="BQ216" i="17"/>
  <c r="BR216" i="17"/>
  <c r="BS216" i="17"/>
  <c r="BT216" i="17"/>
  <c r="BU216" i="17"/>
  <c r="BV216" i="17"/>
  <c r="BK216" i="17"/>
  <c r="AW216" i="17"/>
  <c r="AX216" i="17"/>
  <c r="AY216" i="17"/>
  <c r="AZ216" i="17"/>
  <c r="BA216" i="17"/>
  <c r="BB216" i="17"/>
  <c r="BC216" i="17"/>
  <c r="BD216" i="17"/>
  <c r="BE216" i="17"/>
  <c r="BF216" i="17"/>
  <c r="BG216" i="17"/>
  <c r="AV216" i="17"/>
  <c r="AH216" i="17"/>
  <c r="AI216" i="17"/>
  <c r="AJ216" i="17"/>
  <c r="AK216" i="17"/>
  <c r="AL216" i="17"/>
  <c r="AM216" i="17"/>
  <c r="AN216" i="17"/>
  <c r="AO216" i="17"/>
  <c r="AP216" i="17"/>
  <c r="AQ216" i="17"/>
  <c r="AR216" i="17"/>
  <c r="AG216" i="17"/>
  <c r="W31" i="17" l="1"/>
  <c r="W29" i="17"/>
  <c r="W25" i="17"/>
  <c r="W24" i="17"/>
  <c r="W7" i="17"/>
  <c r="H141" i="58" l="1"/>
  <c r="H140" i="58"/>
  <c r="J142" i="58"/>
  <c r="J143" i="58"/>
  <c r="J144" i="58"/>
  <c r="J145" i="58"/>
  <c r="J146" i="58"/>
  <c r="J147" i="58"/>
  <c r="J148" i="58"/>
  <c r="J141" i="58"/>
  <c r="J140" i="58"/>
  <c r="J138" i="58"/>
  <c r="J139" i="58"/>
  <c r="J137" i="58"/>
  <c r="I141" i="58"/>
  <c r="I142" i="58"/>
  <c r="I143" i="58"/>
  <c r="I144" i="58"/>
  <c r="I145" i="58"/>
  <c r="I146" i="58"/>
  <c r="I147" i="58"/>
  <c r="I148" i="58"/>
  <c r="I140" i="58"/>
  <c r="I138" i="58"/>
  <c r="I139" i="58"/>
  <c r="I137" i="58"/>
  <c r="G33" i="58"/>
  <c r="G34" i="58"/>
  <c r="G35" i="58"/>
  <c r="G36" i="58"/>
  <c r="G37" i="58"/>
  <c r="G38" i="58"/>
  <c r="G32" i="58"/>
  <c r="H202" i="58" l="1"/>
  <c r="H203" i="58"/>
  <c r="H204" i="58"/>
  <c r="H205" i="58"/>
  <c r="H206" i="58"/>
  <c r="H207" i="58"/>
  <c r="H208" i="58"/>
  <c r="H201" i="58"/>
  <c r="H142" i="58"/>
  <c r="H143" i="58"/>
  <c r="H144" i="58"/>
  <c r="H145" i="58"/>
  <c r="H146" i="58"/>
  <c r="H147" i="58"/>
  <c r="H148" i="58"/>
  <c r="H138" i="58"/>
  <c r="H139" i="58"/>
  <c r="H137" i="58"/>
  <c r="H87" i="58"/>
  <c r="H86" i="58"/>
  <c r="H85" i="58"/>
  <c r="H84" i="58"/>
  <c r="H83" i="58"/>
  <c r="H82" i="58"/>
  <c r="H81" i="58"/>
  <c r="H80" i="58"/>
  <c r="H79" i="58"/>
  <c r="G79" i="58" l="1"/>
  <c r="G77" i="58"/>
  <c r="G78" i="58"/>
  <c r="G76" i="58"/>
  <c r="G28" i="58"/>
  <c r="G29" i="58"/>
  <c r="G30" i="58"/>
  <c r="G31" i="58"/>
  <c r="G27" i="58"/>
  <c r="G6" i="58"/>
  <c r="G7" i="58"/>
  <c r="G8" i="58"/>
  <c r="G9" i="58"/>
  <c r="G10" i="58"/>
  <c r="G11" i="58"/>
  <c r="G12" i="58"/>
  <c r="G13" i="58"/>
  <c r="G5" i="58"/>
  <c r="D26" i="58"/>
  <c r="E26" i="58"/>
  <c r="D75" i="58"/>
  <c r="E75" i="58"/>
  <c r="D136" i="58"/>
  <c r="E136" i="58"/>
  <c r="D221" i="58"/>
  <c r="E221" i="58"/>
  <c r="N31" i="38" l="1"/>
  <c r="N32" i="38"/>
  <c r="N33" i="38"/>
  <c r="N34" i="38"/>
  <c r="N35" i="38"/>
  <c r="N30" i="38"/>
  <c r="N22" i="38"/>
  <c r="N23" i="38"/>
  <c r="H14" i="38"/>
  <c r="I14" i="38"/>
  <c r="J14" i="38"/>
  <c r="K14" i="38"/>
  <c r="L14" i="38"/>
  <c r="M14" i="38"/>
  <c r="G14" i="38"/>
  <c r="H13" i="38"/>
  <c r="I13" i="38"/>
  <c r="J13" i="38"/>
  <c r="K13" i="38"/>
  <c r="L13" i="38"/>
  <c r="M13" i="38"/>
  <c r="G13" i="38"/>
  <c r="H12" i="38"/>
  <c r="N12" i="38" s="1"/>
  <c r="I12" i="38"/>
  <c r="J12" i="38"/>
  <c r="K12" i="38"/>
  <c r="L12" i="38"/>
  <c r="M12" i="38"/>
  <c r="G12" i="38"/>
  <c r="H11" i="38"/>
  <c r="N11" i="38" s="1"/>
  <c r="I11" i="38"/>
  <c r="J11" i="38"/>
  <c r="K11" i="38"/>
  <c r="L11" i="38"/>
  <c r="M11" i="38"/>
  <c r="G11" i="38"/>
  <c r="H10" i="38"/>
  <c r="I10" i="38"/>
  <c r="J10" i="38"/>
  <c r="K10" i="38"/>
  <c r="L10" i="38"/>
  <c r="M10" i="38"/>
  <c r="G10" i="38"/>
  <c r="N13" i="38"/>
  <c r="N14" i="38"/>
  <c r="N6" i="38"/>
  <c r="H6" i="38"/>
  <c r="I6" i="38"/>
  <c r="J6" i="38"/>
  <c r="K6" i="38"/>
  <c r="L6" i="38"/>
  <c r="M6" i="38"/>
  <c r="G6" i="38"/>
  <c r="H5" i="38"/>
  <c r="I5" i="38"/>
  <c r="J5" i="38"/>
  <c r="K5" i="38"/>
  <c r="L5" i="38"/>
  <c r="M5" i="38"/>
  <c r="G5" i="38"/>
  <c r="C14" i="37"/>
  <c r="D14" i="37"/>
  <c r="E14" i="37"/>
  <c r="F14" i="37"/>
  <c r="G14" i="37"/>
  <c r="H14" i="37"/>
  <c r="I14" i="37"/>
  <c r="J14" i="37"/>
  <c r="K14" i="37"/>
  <c r="L14" i="37"/>
  <c r="M14" i="37"/>
  <c r="B14" i="37"/>
  <c r="C13" i="37"/>
  <c r="D13" i="37"/>
  <c r="E13" i="37"/>
  <c r="F13" i="37"/>
  <c r="G13" i="37"/>
  <c r="H13" i="37"/>
  <c r="I13" i="37"/>
  <c r="J13" i="37"/>
  <c r="K13" i="37"/>
  <c r="L13" i="37"/>
  <c r="M13" i="37"/>
  <c r="B13" i="37"/>
  <c r="C12" i="37"/>
  <c r="D12" i="37"/>
  <c r="E12" i="37"/>
  <c r="F12" i="37"/>
  <c r="G12" i="37"/>
  <c r="H12" i="37"/>
  <c r="I12" i="37"/>
  <c r="J12" i="37"/>
  <c r="K12" i="37"/>
  <c r="L12" i="37"/>
  <c r="M12" i="37"/>
  <c r="B12" i="37"/>
  <c r="C11" i="37"/>
  <c r="D11" i="37"/>
  <c r="E11" i="37"/>
  <c r="F11" i="37"/>
  <c r="G11" i="37"/>
  <c r="H11" i="37"/>
  <c r="I11" i="37"/>
  <c r="J11" i="37"/>
  <c r="K11" i="37"/>
  <c r="L11" i="37"/>
  <c r="M11" i="37"/>
  <c r="B11" i="37"/>
  <c r="C10" i="37"/>
  <c r="D10" i="37"/>
  <c r="E10" i="37"/>
  <c r="F10" i="37"/>
  <c r="G10" i="37"/>
  <c r="H10" i="37"/>
  <c r="I10" i="37"/>
  <c r="J10" i="37"/>
  <c r="K10" i="37"/>
  <c r="L10" i="37"/>
  <c r="M10" i="37"/>
  <c r="B10" i="37"/>
  <c r="L46" i="40"/>
  <c r="M46" i="40"/>
  <c r="N46" i="40"/>
  <c r="O46" i="40"/>
  <c r="K46" i="40"/>
  <c r="E46" i="40"/>
  <c r="F46" i="40"/>
  <c r="G46" i="40"/>
  <c r="H46" i="40"/>
  <c r="I46" i="40"/>
  <c r="J46" i="40"/>
  <c r="D46" i="40"/>
  <c r="L45" i="40"/>
  <c r="M45" i="40"/>
  <c r="N45" i="40"/>
  <c r="O45" i="40"/>
  <c r="K45" i="40"/>
  <c r="E45" i="40"/>
  <c r="F45" i="40"/>
  <c r="G45" i="40"/>
  <c r="H45" i="40"/>
  <c r="I45" i="40"/>
  <c r="J45" i="40"/>
  <c r="D45" i="40"/>
  <c r="L42" i="40"/>
  <c r="M42" i="40"/>
  <c r="N42" i="40"/>
  <c r="O42" i="40"/>
  <c r="K42" i="40"/>
  <c r="E42" i="40"/>
  <c r="F42" i="40"/>
  <c r="G42" i="40"/>
  <c r="H42" i="40"/>
  <c r="I42" i="40"/>
  <c r="J42" i="40"/>
  <c r="D42" i="40"/>
  <c r="L41" i="40"/>
  <c r="M41" i="40"/>
  <c r="N41" i="40"/>
  <c r="O41" i="40"/>
  <c r="K41" i="40"/>
  <c r="E41" i="40"/>
  <c r="F41" i="40"/>
  <c r="G41" i="40"/>
  <c r="H41" i="40"/>
  <c r="I41" i="40"/>
  <c r="J41" i="40"/>
  <c r="D41" i="40"/>
  <c r="L40" i="40"/>
  <c r="M40" i="40"/>
  <c r="N40" i="40"/>
  <c r="O40" i="40"/>
  <c r="K40" i="40"/>
  <c r="E40" i="40"/>
  <c r="F40" i="40"/>
  <c r="G40" i="40"/>
  <c r="H40" i="40"/>
  <c r="I40" i="40"/>
  <c r="J40" i="40"/>
  <c r="D40" i="40"/>
  <c r="L38" i="40"/>
  <c r="M38" i="40"/>
  <c r="N38" i="40"/>
  <c r="O38" i="40"/>
  <c r="K38" i="40"/>
  <c r="E38" i="40"/>
  <c r="F38" i="40"/>
  <c r="G38" i="40"/>
  <c r="H38" i="40"/>
  <c r="I38" i="40"/>
  <c r="J38" i="40"/>
  <c r="D38" i="40"/>
  <c r="L34" i="40"/>
  <c r="M34" i="40"/>
  <c r="N34" i="40"/>
  <c r="O34" i="40"/>
  <c r="K34" i="40"/>
  <c r="E34" i="40"/>
  <c r="F34" i="40"/>
  <c r="G34" i="40"/>
  <c r="H34" i="40"/>
  <c r="I34" i="40"/>
  <c r="J34" i="40"/>
  <c r="D34" i="40"/>
  <c r="L33" i="40"/>
  <c r="M33" i="40"/>
  <c r="N33" i="40"/>
  <c r="O33" i="40"/>
  <c r="K33" i="40"/>
  <c r="E33" i="40"/>
  <c r="F33" i="40"/>
  <c r="G33" i="40"/>
  <c r="H33" i="40"/>
  <c r="I33" i="40"/>
  <c r="J33" i="40"/>
  <c r="D33" i="40"/>
  <c r="L32" i="40"/>
  <c r="M32" i="40"/>
  <c r="N32" i="40"/>
  <c r="O32" i="40"/>
  <c r="K32" i="40"/>
  <c r="E32" i="40"/>
  <c r="F32" i="40"/>
  <c r="G32" i="40"/>
  <c r="H32" i="40"/>
  <c r="I32" i="40"/>
  <c r="J32" i="40"/>
  <c r="D32" i="40"/>
  <c r="L30" i="40"/>
  <c r="M30" i="40"/>
  <c r="N30" i="40"/>
  <c r="O30" i="40"/>
  <c r="K30" i="40"/>
  <c r="E30" i="40"/>
  <c r="F30" i="40"/>
  <c r="G30" i="40"/>
  <c r="H30" i="40"/>
  <c r="I30" i="40"/>
  <c r="J30" i="40"/>
  <c r="D30" i="40"/>
  <c r="L29" i="40"/>
  <c r="M29" i="40"/>
  <c r="N29" i="40"/>
  <c r="O29" i="40"/>
  <c r="K29" i="40"/>
  <c r="E29" i="40"/>
  <c r="F29" i="40"/>
  <c r="G29" i="40"/>
  <c r="H29" i="40"/>
  <c r="I29" i="40"/>
  <c r="J29" i="40"/>
  <c r="D29" i="40"/>
  <c r="L28" i="40"/>
  <c r="M28" i="40"/>
  <c r="N28" i="40"/>
  <c r="O28" i="40"/>
  <c r="K28" i="40"/>
  <c r="E28" i="40"/>
  <c r="F28" i="40"/>
  <c r="G28" i="40"/>
  <c r="H28" i="40"/>
  <c r="I28" i="40"/>
  <c r="J28" i="40"/>
  <c r="D28" i="40"/>
  <c r="C6" i="37"/>
  <c r="D6" i="37"/>
  <c r="E6" i="37"/>
  <c r="F6" i="37"/>
  <c r="G6" i="37"/>
  <c r="H6" i="37"/>
  <c r="I6" i="37"/>
  <c r="J6" i="37"/>
  <c r="K6" i="37"/>
  <c r="L6" i="37"/>
  <c r="M6" i="37"/>
  <c r="B6" i="37"/>
  <c r="C5" i="37"/>
  <c r="D5" i="37"/>
  <c r="E5" i="37"/>
  <c r="F5" i="37"/>
  <c r="G5" i="37"/>
  <c r="H5" i="37"/>
  <c r="I5" i="37"/>
  <c r="J5" i="37"/>
  <c r="K5" i="37"/>
  <c r="L5" i="37"/>
  <c r="M5" i="37"/>
  <c r="B5" i="37"/>
  <c r="H15" i="40"/>
  <c r="E19" i="40"/>
  <c r="F14" i="40"/>
  <c r="M19" i="40"/>
  <c r="E16" i="40"/>
  <c r="I18" i="40"/>
  <c r="O18" i="40"/>
  <c r="O15" i="40"/>
  <c r="I15" i="40"/>
  <c r="G19" i="40"/>
  <c r="N18" i="40"/>
  <c r="F19" i="40"/>
  <c r="K14" i="40"/>
  <c r="K19" i="40"/>
  <c r="K18" i="40"/>
  <c r="E18" i="40"/>
  <c r="O16" i="40"/>
  <c r="J18" i="40"/>
  <c r="F16" i="40"/>
  <c r="L15" i="40"/>
  <c r="O14" i="40"/>
  <c r="D16" i="40"/>
  <c r="L18" i="40"/>
  <c r="H16" i="40"/>
  <c r="L19" i="40"/>
  <c r="M15" i="40"/>
  <c r="L16" i="40"/>
  <c r="N14" i="40"/>
  <c r="G15" i="40"/>
  <c r="J14" i="40"/>
  <c r="K16" i="40"/>
  <c r="H19" i="40"/>
  <c r="J16" i="40"/>
  <c r="G14" i="40"/>
  <c r="F15" i="40"/>
  <c r="O19" i="40"/>
  <c r="M14" i="40"/>
  <c r="H14" i="40"/>
  <c r="N19" i="40"/>
  <c r="I19" i="40"/>
  <c r="E14" i="40"/>
  <c r="N16" i="40"/>
  <c r="D19" i="40"/>
  <c r="G16" i="40"/>
  <c r="G18" i="40"/>
  <c r="L14" i="40"/>
  <c r="E15" i="40"/>
  <c r="H18" i="40"/>
  <c r="J15" i="40"/>
  <c r="N15" i="40"/>
  <c r="M16" i="40"/>
  <c r="J19" i="40"/>
  <c r="D18" i="40"/>
  <c r="I16" i="40"/>
  <c r="F18" i="40"/>
  <c r="M18" i="40"/>
  <c r="K15" i="40"/>
  <c r="I14" i="40"/>
  <c r="D14" i="40"/>
  <c r="D15" i="40"/>
  <c r="C24" i="50"/>
  <c r="H24" i="50"/>
  <c r="D24" i="50"/>
  <c r="C21" i="50"/>
  <c r="B23" i="50"/>
  <c r="F22" i="50"/>
  <c r="J24" i="50"/>
  <c r="G23" i="50"/>
  <c r="C23" i="50"/>
  <c r="L21" i="50"/>
  <c r="E24" i="50"/>
  <c r="F23" i="50"/>
  <c r="K21" i="50"/>
  <c r="B21" i="50"/>
  <c r="J22" i="50"/>
  <c r="I24" i="50"/>
  <c r="B22" i="50"/>
  <c r="G22" i="50"/>
  <c r="C22" i="50"/>
  <c r="M21" i="50"/>
  <c r="D23" i="50"/>
  <c r="F24" i="50"/>
  <c r="J23" i="50"/>
  <c r="E22" i="50"/>
  <c r="L24" i="50"/>
  <c r="D22" i="50"/>
  <c r="F21" i="50"/>
  <c r="G21" i="50"/>
  <c r="L23" i="50"/>
  <c r="I22" i="50"/>
  <c r="E23" i="50"/>
  <c r="E21" i="50"/>
  <c r="I23" i="50"/>
  <c r="M23" i="50"/>
  <c r="K24" i="50"/>
  <c r="L22" i="50"/>
  <c r="B24" i="50"/>
  <c r="J21" i="50"/>
  <c r="K23" i="50"/>
  <c r="H23" i="50"/>
  <c r="I21" i="50"/>
  <c r="G24" i="50"/>
  <c r="D21" i="50"/>
  <c r="M22" i="50"/>
  <c r="H22" i="50"/>
  <c r="K22" i="50"/>
  <c r="M24" i="50"/>
  <c r="H21" i="50"/>
  <c r="D4" i="40"/>
  <c r="O3" i="40"/>
  <c r="G4" i="40"/>
  <c r="F4" i="40"/>
  <c r="D3" i="40"/>
  <c r="L3" i="40"/>
  <c r="H5" i="40"/>
  <c r="M4" i="40"/>
  <c r="F5" i="40"/>
  <c r="I4" i="40"/>
  <c r="G3" i="40"/>
  <c r="D5" i="40"/>
  <c r="L5" i="40"/>
  <c r="F3" i="40"/>
  <c r="N3" i="40"/>
  <c r="M5" i="40"/>
  <c r="K4" i="40"/>
  <c r="K5" i="40"/>
  <c r="O5" i="40"/>
  <c r="L4" i="40"/>
  <c r="I3" i="40"/>
  <c r="H3" i="40"/>
  <c r="K3" i="40"/>
  <c r="G5" i="40"/>
  <c r="J4" i="40"/>
  <c r="I5" i="40"/>
  <c r="E5" i="40"/>
  <c r="E4" i="40"/>
  <c r="H4" i="40"/>
  <c r="J5" i="40"/>
  <c r="O4" i="40"/>
  <c r="N4" i="40"/>
  <c r="E3" i="40"/>
  <c r="J3" i="40"/>
  <c r="N5" i="40"/>
  <c r="M3" i="40"/>
  <c r="K9" i="40" l="1"/>
  <c r="E9" i="40"/>
  <c r="I9" i="40"/>
  <c r="J9" i="40"/>
  <c r="L9" i="40"/>
  <c r="N9" i="40"/>
  <c r="G9" i="40"/>
  <c r="H9" i="40"/>
  <c r="M9" i="40"/>
  <c r="O9" i="40"/>
  <c r="F9" i="40"/>
  <c r="D9" i="40"/>
  <c r="N5" i="38"/>
  <c r="N10" i="38"/>
  <c r="D11" i="40"/>
  <c r="E11" i="40"/>
  <c r="F11" i="40"/>
  <c r="G11" i="40"/>
  <c r="H11" i="40"/>
  <c r="I11" i="40"/>
  <c r="J11" i="40"/>
  <c r="K11" i="40"/>
  <c r="L11" i="40"/>
  <c r="M11" i="40"/>
  <c r="N11" i="40"/>
  <c r="O11" i="40"/>
  <c r="D10" i="40"/>
  <c r="E10" i="40"/>
  <c r="F10" i="40"/>
  <c r="G10" i="40"/>
  <c r="H10" i="40"/>
  <c r="I10" i="40"/>
  <c r="J10" i="40"/>
  <c r="K10" i="40"/>
  <c r="L10" i="40"/>
  <c r="M10" i="40"/>
  <c r="N10" i="40"/>
  <c r="O10" i="40"/>
  <c r="D8" i="40"/>
  <c r="E8" i="40"/>
  <c r="F8" i="40"/>
  <c r="G8" i="40"/>
  <c r="H8" i="40"/>
  <c r="I8" i="40"/>
  <c r="J8" i="40"/>
  <c r="K8" i="40"/>
  <c r="L8" i="40"/>
  <c r="M8" i="40"/>
  <c r="N8" i="40"/>
  <c r="O8" i="40"/>
  <c r="U191" i="17"/>
  <c r="C3" i="40" l="1"/>
  <c r="L168" i="17" l="1"/>
  <c r="O168" i="17" s="1"/>
  <c r="L166" i="17"/>
  <c r="O166" i="17" s="1"/>
  <c r="U3" i="17"/>
  <c r="C46" i="40"/>
  <c r="C45" i="40"/>
  <c r="O43" i="40"/>
  <c r="N43" i="40"/>
  <c r="M43" i="40"/>
  <c r="L43" i="40"/>
  <c r="K43" i="40"/>
  <c r="J43" i="40"/>
  <c r="I43" i="40"/>
  <c r="H43" i="40"/>
  <c r="G43" i="40"/>
  <c r="C42" i="40"/>
  <c r="C41" i="40"/>
  <c r="C38" i="40"/>
  <c r="O35" i="40"/>
  <c r="K35" i="40"/>
  <c r="J35" i="40"/>
  <c r="I35" i="40"/>
  <c r="H35" i="40"/>
  <c r="G35" i="40"/>
  <c r="F35" i="40"/>
  <c r="E35" i="40"/>
  <c r="D35" i="40"/>
  <c r="C34" i="40"/>
  <c r="C33" i="40"/>
  <c r="O31" i="40"/>
  <c r="G31" i="40"/>
  <c r="G36" i="40" s="1"/>
  <c r="F31" i="40"/>
  <c r="F36" i="40" s="1"/>
  <c r="E31" i="40"/>
  <c r="E36" i="40" s="1"/>
  <c r="D31" i="40"/>
  <c r="D36" i="40" s="1"/>
  <c r="N31" i="40"/>
  <c r="N36" i="40" s="1"/>
  <c r="M31" i="40"/>
  <c r="M36" i="40" s="1"/>
  <c r="L31" i="40"/>
  <c r="L36" i="40" s="1"/>
  <c r="K31" i="40"/>
  <c r="K36" i="40" s="1"/>
  <c r="J31" i="40"/>
  <c r="J36" i="40" s="1"/>
  <c r="C19" i="39"/>
  <c r="C18" i="39"/>
  <c r="O16" i="39"/>
  <c r="N16" i="39"/>
  <c r="M16" i="39"/>
  <c r="L16" i="39"/>
  <c r="K16" i="39"/>
  <c r="J16" i="39"/>
  <c r="I16" i="39"/>
  <c r="H16" i="39"/>
  <c r="G16" i="39"/>
  <c r="F16" i="39"/>
  <c r="E16" i="39"/>
  <c r="E21" i="39" s="1"/>
  <c r="D16" i="39"/>
  <c r="C16" i="39"/>
  <c r="C15" i="39"/>
  <c r="C14" i="39"/>
  <c r="C13" i="39"/>
  <c r="C11" i="39"/>
  <c r="G9" i="39"/>
  <c r="G21" i="39" s="1"/>
  <c r="F9" i="39"/>
  <c r="F21" i="39" s="1"/>
  <c r="E9" i="39"/>
  <c r="C8" i="39"/>
  <c r="C7" i="39"/>
  <c r="C6" i="39"/>
  <c r="O5" i="39"/>
  <c r="O9" i="39" s="1"/>
  <c r="O21" i="39" s="1"/>
  <c r="N5" i="39"/>
  <c r="N9" i="39" s="1"/>
  <c r="N21" i="39" s="1"/>
  <c r="M5" i="39"/>
  <c r="M9" i="39" s="1"/>
  <c r="M21" i="39" s="1"/>
  <c r="L5" i="39"/>
  <c r="L9" i="39" s="1"/>
  <c r="L21" i="39" s="1"/>
  <c r="K5" i="39"/>
  <c r="K9" i="39" s="1"/>
  <c r="K21" i="39" s="1"/>
  <c r="J5" i="39"/>
  <c r="J9" i="39" s="1"/>
  <c r="J21" i="39" s="1"/>
  <c r="I5" i="39"/>
  <c r="I9" i="39" s="1"/>
  <c r="I21" i="39" s="1"/>
  <c r="H5" i="39"/>
  <c r="H9" i="39" s="1"/>
  <c r="H21" i="39" s="1"/>
  <c r="G5" i="39"/>
  <c r="F5" i="39"/>
  <c r="E5" i="39"/>
  <c r="D5" i="39"/>
  <c r="D9" i="39" s="1"/>
  <c r="D21" i="39" s="1"/>
  <c r="C4" i="39"/>
  <c r="C3" i="39"/>
  <c r="C2" i="39"/>
  <c r="C5" i="39" s="1"/>
  <c r="C9" i="39" s="1"/>
  <c r="C21" i="39" s="1"/>
  <c r="J47" i="40" l="1"/>
  <c r="N47" i="40"/>
  <c r="K47" i="40"/>
  <c r="L47" i="40"/>
  <c r="M47" i="40"/>
  <c r="G47" i="40"/>
  <c r="G50" i="40"/>
  <c r="G51" i="40" s="1"/>
  <c r="C18" i="40"/>
  <c r="I50" i="40"/>
  <c r="I51" i="40" s="1"/>
  <c r="J50" i="40"/>
  <c r="J51" i="40" s="1"/>
  <c r="H24" i="37" s="1"/>
  <c r="D20" i="40"/>
  <c r="C14" i="40"/>
  <c r="J12" i="40"/>
  <c r="E20" i="40"/>
  <c r="L50" i="40"/>
  <c r="L51" i="40" s="1"/>
  <c r="J24" i="37" s="1"/>
  <c r="O20" i="40"/>
  <c r="H52" i="40"/>
  <c r="H53" i="40" s="1"/>
  <c r="C11" i="40"/>
  <c r="J52" i="40"/>
  <c r="J53" i="40" s="1"/>
  <c r="N12" i="40"/>
  <c r="K52" i="40"/>
  <c r="K53" i="40" s="1"/>
  <c r="I25" i="37" s="1"/>
  <c r="O12" i="40"/>
  <c r="L52" i="40"/>
  <c r="L53" i="40" s="1"/>
  <c r="J25" i="37" s="1"/>
  <c r="K50" i="40"/>
  <c r="K51" i="40" s="1"/>
  <c r="I24" i="37" s="1"/>
  <c r="K12" i="40"/>
  <c r="I52" i="40"/>
  <c r="I53" i="40" s="1"/>
  <c r="C15" i="40"/>
  <c r="F6" i="40"/>
  <c r="G6" i="40"/>
  <c r="I6" i="40"/>
  <c r="C16" i="40"/>
  <c r="J6" i="40"/>
  <c r="H50" i="40"/>
  <c r="H51" i="40" s="1"/>
  <c r="L12" i="40"/>
  <c r="M12" i="40"/>
  <c r="H6" i="40"/>
  <c r="M52" i="40"/>
  <c r="M53" i="40" s="1"/>
  <c r="K25" i="37" s="1"/>
  <c r="K6" i="40"/>
  <c r="N52" i="40"/>
  <c r="N53" i="40" s="1"/>
  <c r="L25" i="37" s="1"/>
  <c r="G20" i="40"/>
  <c r="M6" i="40"/>
  <c r="O52" i="40"/>
  <c r="O53" i="40" s="1"/>
  <c r="M25" i="37" s="1"/>
  <c r="N6" i="40"/>
  <c r="C8" i="40"/>
  <c r="D12" i="40"/>
  <c r="I20" i="40"/>
  <c r="O6" i="40"/>
  <c r="E12" i="40"/>
  <c r="J20" i="40"/>
  <c r="F12" i="40"/>
  <c r="K20" i="40"/>
  <c r="C4" i="40"/>
  <c r="D50" i="40"/>
  <c r="E52" i="40"/>
  <c r="E53" i="40" s="1"/>
  <c r="G12" i="40"/>
  <c r="L20" i="40"/>
  <c r="F20" i="40"/>
  <c r="L6" i="40"/>
  <c r="C10" i="40"/>
  <c r="D6" i="40"/>
  <c r="E50" i="40"/>
  <c r="E51" i="40" s="1"/>
  <c r="F52" i="40"/>
  <c r="F53" i="40" s="1"/>
  <c r="H12" i="40"/>
  <c r="M20" i="40"/>
  <c r="M50" i="40"/>
  <c r="M51" i="40" s="1"/>
  <c r="K24" i="37" s="1"/>
  <c r="N50" i="40"/>
  <c r="N51" i="40" s="1"/>
  <c r="L24" i="37" s="1"/>
  <c r="C9" i="40"/>
  <c r="H20" i="40"/>
  <c r="O50" i="40"/>
  <c r="O51" i="40" s="1"/>
  <c r="M24" i="37" s="1"/>
  <c r="C5" i="40"/>
  <c r="D52" i="40"/>
  <c r="E6" i="40"/>
  <c r="F50" i="40"/>
  <c r="F51" i="40" s="1"/>
  <c r="G52" i="40"/>
  <c r="G53" i="40" s="1"/>
  <c r="I12" i="40"/>
  <c r="N20" i="40"/>
  <c r="C19" i="40"/>
  <c r="L35" i="40"/>
  <c r="C32" i="40"/>
  <c r="C35" i="40" s="1"/>
  <c r="M35" i="40"/>
  <c r="C40" i="40"/>
  <c r="C43" i="40" s="1"/>
  <c r="D43" i="40"/>
  <c r="D47" i="40" s="1"/>
  <c r="E43" i="40"/>
  <c r="E47" i="40" s="1"/>
  <c r="F43" i="40"/>
  <c r="F47" i="40" s="1"/>
  <c r="C30" i="40"/>
  <c r="H31" i="40"/>
  <c r="H36" i="40" s="1"/>
  <c r="H47" i="40" s="1"/>
  <c r="C28" i="40"/>
  <c r="N35" i="40"/>
  <c r="O36" i="40"/>
  <c r="O47" i="40" s="1"/>
  <c r="C29" i="40"/>
  <c r="I31" i="40"/>
  <c r="I36" i="40" s="1"/>
  <c r="I47" i="40" s="1"/>
  <c r="M3" i="38" l="1"/>
  <c r="H3" i="38"/>
  <c r="I3" i="38"/>
  <c r="L3" i="38"/>
  <c r="K3" i="38"/>
  <c r="J3" i="38"/>
  <c r="F25" i="37"/>
  <c r="K25" i="38"/>
  <c r="G25" i="37"/>
  <c r="L25" i="38"/>
  <c r="E25" i="37"/>
  <c r="J25" i="38"/>
  <c r="D25" i="37"/>
  <c r="I25" i="38"/>
  <c r="D24" i="37"/>
  <c r="I24" i="38"/>
  <c r="C24" i="37"/>
  <c r="H24" i="38"/>
  <c r="M24" i="38"/>
  <c r="L24" i="38"/>
  <c r="G24" i="37"/>
  <c r="E25" i="40"/>
  <c r="E48" i="40" s="1"/>
  <c r="F24" i="37"/>
  <c r="K24" i="38"/>
  <c r="H25" i="37"/>
  <c r="M25" i="38"/>
  <c r="E24" i="37"/>
  <c r="J24" i="38"/>
  <c r="C25" i="37"/>
  <c r="H25" i="38"/>
  <c r="M4" i="37"/>
  <c r="K4" i="37"/>
  <c r="L4" i="37"/>
  <c r="I4" i="37"/>
  <c r="J4" i="37"/>
  <c r="G3" i="37"/>
  <c r="F3" i="37"/>
  <c r="D3" i="37"/>
  <c r="H3" i="37"/>
  <c r="C3" i="37"/>
  <c r="K3" i="37"/>
  <c r="J3" i="37"/>
  <c r="M3" i="37"/>
  <c r="L3" i="37"/>
  <c r="I3" i="37"/>
  <c r="E3" i="37"/>
  <c r="K2" i="37"/>
  <c r="M2" i="37"/>
  <c r="J2" i="37"/>
  <c r="I2" i="37"/>
  <c r="L2" i="37"/>
  <c r="J2" i="38"/>
  <c r="E2" i="37"/>
  <c r="D2" i="37"/>
  <c r="I2" i="38"/>
  <c r="G2" i="38"/>
  <c r="B2" i="37"/>
  <c r="H2" i="38"/>
  <c r="C2" i="37"/>
  <c r="F2" i="37"/>
  <c r="K2" i="38"/>
  <c r="M2" i="38"/>
  <c r="H2" i="37"/>
  <c r="G2" i="37"/>
  <c r="L2" i="38"/>
  <c r="B3" i="37"/>
  <c r="G3" i="38"/>
  <c r="H4" i="37"/>
  <c r="M4" i="38"/>
  <c r="G4" i="37"/>
  <c r="L4" i="38"/>
  <c r="K4" i="38"/>
  <c r="F4" i="37"/>
  <c r="E4" i="37"/>
  <c r="J4" i="38"/>
  <c r="D4" i="37"/>
  <c r="I4" i="38"/>
  <c r="C4" i="37"/>
  <c r="H4" i="38"/>
  <c r="G4" i="38"/>
  <c r="B4" i="37"/>
  <c r="L25" i="40"/>
  <c r="L48" i="40" s="1"/>
  <c r="M25" i="40"/>
  <c r="M48" i="40" s="1"/>
  <c r="C12" i="40"/>
  <c r="O54" i="40"/>
  <c r="L54" i="40"/>
  <c r="E54" i="40"/>
  <c r="K54" i="40"/>
  <c r="F54" i="40"/>
  <c r="N54" i="40"/>
  <c r="J25" i="40"/>
  <c r="J48" i="40" s="1"/>
  <c r="M54" i="40"/>
  <c r="G25" i="40"/>
  <c r="G48" i="40" s="1"/>
  <c r="D25" i="40"/>
  <c r="D48" i="40" s="1"/>
  <c r="H54" i="40"/>
  <c r="O25" i="40"/>
  <c r="O48" i="40" s="1"/>
  <c r="C6" i="40"/>
  <c r="C52" i="40"/>
  <c r="D53" i="40"/>
  <c r="I25" i="40"/>
  <c r="I48" i="40" s="1"/>
  <c r="N25" i="40"/>
  <c r="N48" i="40" s="1"/>
  <c r="F25" i="40"/>
  <c r="F48" i="40" s="1"/>
  <c r="C20" i="40"/>
  <c r="C50" i="40"/>
  <c r="D51" i="40"/>
  <c r="K25" i="40"/>
  <c r="K48" i="40" s="1"/>
  <c r="J54" i="40"/>
  <c r="I54" i="40"/>
  <c r="H25" i="40"/>
  <c r="H48" i="40" s="1"/>
  <c r="C31" i="40"/>
  <c r="C36" i="40" s="1"/>
  <c r="C47" i="40" s="1"/>
  <c r="G54" i="40"/>
  <c r="N3" i="38" l="1"/>
  <c r="B25" i="37"/>
  <c r="G25" i="38"/>
  <c r="N25" i="38" s="1"/>
  <c r="B24" i="37"/>
  <c r="G24" i="38"/>
  <c r="N24" i="38" s="1"/>
  <c r="D54" i="40"/>
  <c r="N2" i="38"/>
  <c r="B7" i="37"/>
  <c r="N4" i="38"/>
  <c r="C25" i="40"/>
  <c r="D35" i="38" l="1"/>
  <c r="C35" i="38"/>
  <c r="D34" i="38"/>
  <c r="C34" i="38"/>
  <c r="D33" i="38"/>
  <c r="C33" i="38"/>
  <c r="D32" i="38"/>
  <c r="C32" i="38"/>
  <c r="H31" i="38"/>
  <c r="D31" i="38"/>
  <c r="C31" i="38"/>
  <c r="D30" i="38"/>
  <c r="C30" i="38"/>
  <c r="F25" i="38"/>
  <c r="E25" i="38"/>
  <c r="D25" i="38"/>
  <c r="F24" i="38"/>
  <c r="E24" i="38"/>
  <c r="G22" i="38"/>
  <c r="D22" i="38"/>
  <c r="C22" i="38"/>
  <c r="B22" i="38"/>
  <c r="D21" i="38"/>
  <c r="D26" i="38" s="1"/>
  <c r="D36" i="38" s="1"/>
  <c r="C21" i="38"/>
  <c r="B21" i="38"/>
  <c r="D20" i="38"/>
  <c r="C20" i="38"/>
  <c r="C26" i="38" s="1"/>
  <c r="C36" i="38" s="1"/>
  <c r="B20" i="38"/>
  <c r="G19" i="38"/>
  <c r="D19" i="38"/>
  <c r="C19" i="38"/>
  <c r="B19" i="38"/>
  <c r="D18" i="38"/>
  <c r="C18" i="38"/>
  <c r="B18" i="38"/>
  <c r="B26" i="38" s="1"/>
  <c r="D15" i="38"/>
  <c r="C15" i="38"/>
  <c r="M34" i="38"/>
  <c r="L34" i="38"/>
  <c r="K34" i="38"/>
  <c r="J34" i="38"/>
  <c r="I34" i="38"/>
  <c r="H34" i="38"/>
  <c r="G34" i="38"/>
  <c r="F14" i="38"/>
  <c r="F34" i="38" s="1"/>
  <c r="E14" i="38"/>
  <c r="E34" i="38" s="1"/>
  <c r="B14" i="38"/>
  <c r="B34" i="38" s="1"/>
  <c r="M33" i="38"/>
  <c r="L33" i="38"/>
  <c r="K33" i="38"/>
  <c r="J33" i="38"/>
  <c r="I33" i="38"/>
  <c r="H33" i="38"/>
  <c r="G33" i="38"/>
  <c r="F13" i="38"/>
  <c r="F33" i="38" s="1"/>
  <c r="E13" i="38"/>
  <c r="B13" i="38"/>
  <c r="B33" i="38" s="1"/>
  <c r="M32" i="38"/>
  <c r="L32" i="38"/>
  <c r="K32" i="38"/>
  <c r="J32" i="38"/>
  <c r="I32" i="38"/>
  <c r="H32" i="38"/>
  <c r="G32" i="38"/>
  <c r="F12" i="38"/>
  <c r="F32" i="38" s="1"/>
  <c r="E12" i="38"/>
  <c r="B12" i="38"/>
  <c r="B32" i="38" s="1"/>
  <c r="M31" i="38"/>
  <c r="L31" i="38"/>
  <c r="K31" i="38"/>
  <c r="J31" i="38"/>
  <c r="I31" i="38"/>
  <c r="G31" i="38"/>
  <c r="F11" i="38"/>
  <c r="F31" i="38" s="1"/>
  <c r="E11" i="38"/>
  <c r="E31" i="38" s="1"/>
  <c r="B11" i="38"/>
  <c r="B31" i="38" s="1"/>
  <c r="M30" i="38"/>
  <c r="J30" i="38"/>
  <c r="I30" i="38"/>
  <c r="H30" i="38"/>
  <c r="G30" i="38"/>
  <c r="F10" i="38"/>
  <c r="F30" i="38" s="1"/>
  <c r="E10" i="38"/>
  <c r="E30" i="38" s="1"/>
  <c r="B10" i="38"/>
  <c r="B30" i="38" s="1"/>
  <c r="D7" i="38"/>
  <c r="C7" i="38"/>
  <c r="B7" i="38"/>
  <c r="M22" i="38"/>
  <c r="L22" i="38"/>
  <c r="K22" i="38"/>
  <c r="J22" i="38"/>
  <c r="I22" i="38"/>
  <c r="H22" i="38"/>
  <c r="F6" i="38"/>
  <c r="F22" i="38" s="1"/>
  <c r="E6" i="38"/>
  <c r="E22" i="38" s="1"/>
  <c r="M21" i="38"/>
  <c r="L21" i="38"/>
  <c r="K21" i="38"/>
  <c r="J21" i="38"/>
  <c r="I21" i="38"/>
  <c r="H21" i="38"/>
  <c r="G21" i="38"/>
  <c r="F5" i="38"/>
  <c r="F21" i="38" s="1"/>
  <c r="E5" i="38"/>
  <c r="M20" i="38"/>
  <c r="L20" i="38"/>
  <c r="K20" i="38"/>
  <c r="J20" i="38"/>
  <c r="I20" i="38"/>
  <c r="H20" i="38"/>
  <c r="G20" i="38"/>
  <c r="F4" i="38"/>
  <c r="F20" i="38" s="1"/>
  <c r="E4" i="38"/>
  <c r="E20" i="38" s="1"/>
  <c r="M19" i="38"/>
  <c r="L19" i="38"/>
  <c r="K19" i="38"/>
  <c r="J19" i="38"/>
  <c r="I19" i="38"/>
  <c r="H19" i="38"/>
  <c r="F3" i="38"/>
  <c r="F19" i="38" s="1"/>
  <c r="E3" i="38"/>
  <c r="M18" i="38"/>
  <c r="L18" i="38"/>
  <c r="K18" i="38"/>
  <c r="J18" i="38"/>
  <c r="I18" i="38"/>
  <c r="F2" i="38"/>
  <c r="E2" i="38"/>
  <c r="E18" i="38" s="1"/>
  <c r="N19" i="38" l="1"/>
  <c r="N21" i="38"/>
  <c r="N20" i="38"/>
  <c r="H7" i="38"/>
  <c r="F7" i="38"/>
  <c r="G7" i="38"/>
  <c r="K15" i="38"/>
  <c r="E7" i="38"/>
  <c r="M7" i="38"/>
  <c r="J15" i="38"/>
  <c r="K30" i="38"/>
  <c r="I26" i="38"/>
  <c r="M35" i="38"/>
  <c r="J26" i="38"/>
  <c r="I7" i="38"/>
  <c r="F35" i="38"/>
  <c r="K26" i="38"/>
  <c r="M26" i="38"/>
  <c r="G35" i="38"/>
  <c r="H35" i="38"/>
  <c r="I35" i="38"/>
  <c r="J35" i="38"/>
  <c r="B35" i="38"/>
  <c r="B36" i="38" s="1"/>
  <c r="L26" i="38"/>
  <c r="J7" i="38"/>
  <c r="K7" i="38"/>
  <c r="M15" i="38"/>
  <c r="L30" i="38"/>
  <c r="L35" i="38" s="1"/>
  <c r="E21" i="38"/>
  <c r="B15" i="38"/>
  <c r="E19" i="38"/>
  <c r="E33" i="38"/>
  <c r="E32" i="38"/>
  <c r="L15" i="38"/>
  <c r="L7" i="38"/>
  <c r="E15" i="38"/>
  <c r="G18" i="38"/>
  <c r="F18" i="38"/>
  <c r="F26" i="38" s="1"/>
  <c r="F15" i="38"/>
  <c r="G15" i="38"/>
  <c r="H18" i="38"/>
  <c r="H26" i="38" s="1"/>
  <c r="H15" i="38"/>
  <c r="I15" i="38"/>
  <c r="G26" i="38" l="1"/>
  <c r="N26" i="38" s="1"/>
  <c r="N18" i="38"/>
  <c r="N7" i="38"/>
  <c r="B55" i="38" s="1"/>
  <c r="N15" i="38"/>
  <c r="H36" i="38"/>
  <c r="J36" i="38"/>
  <c r="K35" i="38"/>
  <c r="K36" i="38" s="1"/>
  <c r="I36" i="38"/>
  <c r="M36" i="38"/>
  <c r="E35" i="38"/>
  <c r="F36" i="38"/>
  <c r="E26" i="38"/>
  <c r="B54" i="38"/>
  <c r="L36" i="38"/>
  <c r="G36" i="38" l="1"/>
  <c r="E36" i="38"/>
  <c r="N36" i="38" l="1"/>
  <c r="M34" i="37"/>
  <c r="L34" i="37"/>
  <c r="K34" i="37"/>
  <c r="J34" i="37"/>
  <c r="I34" i="37"/>
  <c r="H34" i="37"/>
  <c r="G34" i="37"/>
  <c r="F34" i="37"/>
  <c r="E34" i="37"/>
  <c r="D34" i="37"/>
  <c r="C34" i="37"/>
  <c r="B34" i="37"/>
  <c r="M33" i="37"/>
  <c r="L33" i="37"/>
  <c r="K33" i="37"/>
  <c r="J33" i="37"/>
  <c r="I33" i="37"/>
  <c r="H33" i="37"/>
  <c r="G33" i="37"/>
  <c r="F33" i="37"/>
  <c r="E33" i="37"/>
  <c r="D33" i="37"/>
  <c r="C33" i="37"/>
  <c r="B33" i="37"/>
  <c r="M32" i="37"/>
  <c r="L32" i="37"/>
  <c r="K32" i="37"/>
  <c r="J32" i="37"/>
  <c r="I32" i="37"/>
  <c r="H32" i="37"/>
  <c r="G32" i="37"/>
  <c r="F32" i="37"/>
  <c r="E32" i="37"/>
  <c r="D32" i="37"/>
  <c r="C32" i="37"/>
  <c r="B32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M30" i="37"/>
  <c r="L30" i="37"/>
  <c r="K30" i="37"/>
  <c r="J30" i="37"/>
  <c r="I30" i="37"/>
  <c r="E30" i="37"/>
  <c r="D30" i="37"/>
  <c r="C30" i="37"/>
  <c r="B30" i="37"/>
  <c r="M22" i="37"/>
  <c r="L22" i="37"/>
  <c r="K22" i="37"/>
  <c r="J22" i="37"/>
  <c r="I22" i="37"/>
  <c r="H22" i="37"/>
  <c r="G22" i="37"/>
  <c r="F22" i="37"/>
  <c r="D22" i="37"/>
  <c r="C22" i="37"/>
  <c r="B22" i="37"/>
  <c r="M21" i="37"/>
  <c r="L21" i="37"/>
  <c r="K21" i="37"/>
  <c r="J21" i="37"/>
  <c r="I21" i="37"/>
  <c r="H21" i="37"/>
  <c r="G21" i="37"/>
  <c r="F21" i="37"/>
  <c r="E21" i="37"/>
  <c r="C21" i="37"/>
  <c r="B21" i="37"/>
  <c r="M20" i="37"/>
  <c r="L20" i="37"/>
  <c r="J20" i="37"/>
  <c r="I20" i="37"/>
  <c r="H20" i="37"/>
  <c r="G20" i="37"/>
  <c r="F20" i="37"/>
  <c r="E20" i="37"/>
  <c r="D20" i="37"/>
  <c r="B20" i="37"/>
  <c r="M19" i="37"/>
  <c r="K19" i="37"/>
  <c r="J19" i="37"/>
  <c r="I19" i="37"/>
  <c r="H19" i="37"/>
  <c r="G19" i="37"/>
  <c r="F19" i="37"/>
  <c r="E19" i="37"/>
  <c r="D19" i="37"/>
  <c r="C19" i="37"/>
  <c r="M18" i="37"/>
  <c r="L18" i="37"/>
  <c r="K18" i="37"/>
  <c r="J18" i="37"/>
  <c r="I18" i="37"/>
  <c r="H18" i="37"/>
  <c r="F18" i="37"/>
  <c r="E18" i="37"/>
  <c r="D18" i="37"/>
  <c r="C35" i="37" l="1"/>
  <c r="F7" i="37"/>
  <c r="L7" i="37"/>
  <c r="L35" i="37"/>
  <c r="D35" i="37"/>
  <c r="L19" i="37"/>
  <c r="L26" i="37" s="1"/>
  <c r="L36" i="37" s="1"/>
  <c r="F15" i="37"/>
  <c r="G15" i="37"/>
  <c r="N6" i="37"/>
  <c r="H15" i="37"/>
  <c r="I35" i="37"/>
  <c r="G7" i="37"/>
  <c r="K7" i="37"/>
  <c r="K35" i="37"/>
  <c r="D7" i="37"/>
  <c r="D15" i="37"/>
  <c r="N33" i="37"/>
  <c r="N5" i="37"/>
  <c r="E22" i="37"/>
  <c r="N22" i="37" s="1"/>
  <c r="I26" i="37"/>
  <c r="E7" i="37"/>
  <c r="E26" i="37"/>
  <c r="M35" i="37"/>
  <c r="N32" i="37"/>
  <c r="F26" i="37"/>
  <c r="N34" i="37"/>
  <c r="J26" i="37"/>
  <c r="H26" i="37"/>
  <c r="K20" i="37"/>
  <c r="K26" i="37" s="1"/>
  <c r="G18" i="37"/>
  <c r="G26" i="37" s="1"/>
  <c r="N14" i="37"/>
  <c r="J35" i="37"/>
  <c r="N13" i="37"/>
  <c r="H7" i="37"/>
  <c r="D21" i="37"/>
  <c r="D26" i="37" s="1"/>
  <c r="D36" i="37" s="1"/>
  <c r="E35" i="37"/>
  <c r="I7" i="37"/>
  <c r="N11" i="37"/>
  <c r="N3" i="37"/>
  <c r="B19" i="37"/>
  <c r="J7" i="37"/>
  <c r="C15" i="37"/>
  <c r="I15" i="37"/>
  <c r="M26" i="37"/>
  <c r="G30" i="37"/>
  <c r="G35" i="37" s="1"/>
  <c r="H30" i="37"/>
  <c r="H35" i="37" s="1"/>
  <c r="K15" i="37"/>
  <c r="C7" i="37"/>
  <c r="C18" i="37"/>
  <c r="L15" i="37"/>
  <c r="N12" i="37"/>
  <c r="C20" i="37"/>
  <c r="N4" i="37"/>
  <c r="B15" i="37"/>
  <c r="F30" i="37"/>
  <c r="F35" i="37" s="1"/>
  <c r="J15" i="37"/>
  <c r="N2" i="37"/>
  <c r="B18" i="37"/>
  <c r="N25" i="37"/>
  <c r="B35" i="37"/>
  <c r="M15" i="37"/>
  <c r="N24" i="37"/>
  <c r="N31" i="37"/>
  <c r="E15" i="37"/>
  <c r="N10" i="37"/>
  <c r="M7" i="37"/>
  <c r="N18" i="37" l="1"/>
  <c r="N21" i="37"/>
  <c r="H36" i="37"/>
  <c r="G36" i="37"/>
  <c r="K36" i="37"/>
  <c r="N19" i="37"/>
  <c r="I36" i="37"/>
  <c r="M36" i="37"/>
  <c r="N30" i="37"/>
  <c r="N15" i="37"/>
  <c r="N20" i="37"/>
  <c r="J36" i="37"/>
  <c r="C26" i="37"/>
  <c r="C36" i="37" s="1"/>
  <c r="F36" i="37"/>
  <c r="N35" i="37"/>
  <c r="B26" i="37"/>
  <c r="E36" i="37"/>
  <c r="N7" i="37"/>
  <c r="N26" i="37" l="1"/>
  <c r="N36" i="37" s="1"/>
  <c r="B36" i="37"/>
  <c r="AG214" i="17" l="1"/>
  <c r="AG218" i="17" s="1"/>
  <c r="AH214" i="17"/>
  <c r="AH218" i="17" s="1"/>
  <c r="AI214" i="17"/>
  <c r="AI218" i="17" s="1"/>
  <c r="AJ214" i="17"/>
  <c r="AJ218" i="17" s="1"/>
  <c r="AK214" i="17"/>
  <c r="AK218" i="17" s="1"/>
  <c r="AL214" i="17"/>
  <c r="AL218" i="17" s="1"/>
  <c r="AM214" i="17"/>
  <c r="AM218" i="17" s="1"/>
  <c r="AN214" i="17"/>
  <c r="AN218" i="17" s="1"/>
  <c r="AO214" i="17"/>
  <c r="AO218" i="17" s="1"/>
  <c r="AP214" i="17"/>
  <c r="AP218" i="17" s="1"/>
  <c r="AQ214" i="17"/>
  <c r="AQ218" i="17" s="1"/>
  <c r="AR214" i="17"/>
  <c r="AR218" i="17" s="1"/>
  <c r="AV214" i="17"/>
  <c r="AW214" i="17"/>
  <c r="AX214" i="17"/>
  <c r="AY214" i="17"/>
  <c r="AZ214" i="17"/>
  <c r="BA214" i="17"/>
  <c r="BB214" i="17"/>
  <c r="BC214" i="17"/>
  <c r="BD214" i="17"/>
  <c r="BE214" i="17"/>
  <c r="BF214" i="17"/>
  <c r="BG214" i="17"/>
  <c r="BK214" i="17"/>
  <c r="BL214" i="17"/>
  <c r="BM214" i="17"/>
  <c r="BN214" i="17"/>
  <c r="BO214" i="17"/>
  <c r="BP214" i="17"/>
  <c r="BQ214" i="17"/>
  <c r="BR214" i="17"/>
  <c r="BS214" i="17"/>
  <c r="BT214" i="17"/>
  <c r="BU214" i="17"/>
  <c r="BV214" i="17"/>
  <c r="BZ214" i="17"/>
  <c r="BZ218" i="17" s="1"/>
  <c r="CA214" i="17"/>
  <c r="CA218" i="17" s="1"/>
  <c r="CB214" i="17"/>
  <c r="CB218" i="17" s="1"/>
  <c r="CC214" i="17"/>
  <c r="CC218" i="17" s="1"/>
  <c r="CD214" i="17"/>
  <c r="CD218" i="17" s="1"/>
  <c r="CE214" i="17"/>
  <c r="CE218" i="17" s="1"/>
  <c r="CF214" i="17"/>
  <c r="CF218" i="17" s="1"/>
  <c r="CG214" i="17"/>
  <c r="CG218" i="17" s="1"/>
  <c r="CH214" i="17"/>
  <c r="CH218" i="17" s="1"/>
  <c r="CI214" i="17"/>
  <c r="CI218" i="17" s="1"/>
  <c r="CJ214" i="17"/>
  <c r="CJ218" i="17" s="1"/>
  <c r="CK214" i="17"/>
  <c r="CK218" i="17" s="1"/>
  <c r="CL4" i="17"/>
  <c r="AC4" i="17" s="1"/>
  <c r="CL5" i="17"/>
  <c r="AC5" i="17" s="1"/>
  <c r="CL6" i="17"/>
  <c r="AC6" i="17" s="1"/>
  <c r="CL7" i="17"/>
  <c r="AC7" i="17" s="1"/>
  <c r="CL8" i="17"/>
  <c r="AC8" i="17" s="1"/>
  <c r="CL9" i="17"/>
  <c r="AC9" i="17" s="1"/>
  <c r="CL10" i="17"/>
  <c r="AC10" i="17" s="1"/>
  <c r="CL11" i="17"/>
  <c r="AC11" i="17" s="1"/>
  <c r="CL12" i="17"/>
  <c r="AC12" i="17" s="1"/>
  <c r="CL13" i="17"/>
  <c r="AC13" i="17" s="1"/>
  <c r="CL14" i="17"/>
  <c r="AC14" i="17" s="1"/>
  <c r="CL15" i="17"/>
  <c r="AC15" i="17" s="1"/>
  <c r="CL16" i="17"/>
  <c r="AC16" i="17" s="1"/>
  <c r="CL17" i="17"/>
  <c r="AC17" i="17" s="1"/>
  <c r="CL18" i="17"/>
  <c r="AC18" i="17" s="1"/>
  <c r="CL19" i="17"/>
  <c r="AC19" i="17" s="1"/>
  <c r="CL20" i="17"/>
  <c r="AC20" i="17" s="1"/>
  <c r="CL21" i="17"/>
  <c r="AC21" i="17" s="1"/>
  <c r="CL22" i="17"/>
  <c r="AC22" i="17" s="1"/>
  <c r="CL23" i="17"/>
  <c r="AC23" i="17" s="1"/>
  <c r="CL24" i="17"/>
  <c r="AC24" i="17" s="1"/>
  <c r="CL25" i="17"/>
  <c r="AC25" i="17" s="1"/>
  <c r="CL26" i="17"/>
  <c r="AC26" i="17" s="1"/>
  <c r="CL27" i="17"/>
  <c r="AC27" i="17" s="1"/>
  <c r="CL28" i="17"/>
  <c r="AC28" i="17" s="1"/>
  <c r="CL29" i="17"/>
  <c r="AC29" i="17" s="1"/>
  <c r="CL30" i="17"/>
  <c r="AC30" i="17" s="1"/>
  <c r="CL31" i="17"/>
  <c r="AC31" i="17" s="1"/>
  <c r="CL32" i="17"/>
  <c r="AC32" i="17" s="1"/>
  <c r="CL33" i="17"/>
  <c r="AC33" i="17" s="1"/>
  <c r="CL34" i="17"/>
  <c r="AC34" i="17" s="1"/>
  <c r="CL35" i="17"/>
  <c r="AC35" i="17" s="1"/>
  <c r="CL36" i="17"/>
  <c r="AC36" i="17" s="1"/>
  <c r="CL37" i="17"/>
  <c r="AC37" i="17" s="1"/>
  <c r="CL38" i="17"/>
  <c r="AC38" i="17" s="1"/>
  <c r="CL39" i="17"/>
  <c r="AC39" i="17" s="1"/>
  <c r="CL40" i="17"/>
  <c r="AC40" i="17" s="1"/>
  <c r="CL41" i="17"/>
  <c r="AC41" i="17" s="1"/>
  <c r="CL42" i="17"/>
  <c r="AC42" i="17" s="1"/>
  <c r="CL43" i="17"/>
  <c r="AC43" i="17" s="1"/>
  <c r="CL44" i="17"/>
  <c r="AC44" i="17" s="1"/>
  <c r="CL45" i="17"/>
  <c r="AC45" i="17" s="1"/>
  <c r="CL46" i="17"/>
  <c r="AC46" i="17" s="1"/>
  <c r="CL47" i="17"/>
  <c r="AC47" i="17" s="1"/>
  <c r="CL48" i="17"/>
  <c r="AC48" i="17" s="1"/>
  <c r="CL49" i="17"/>
  <c r="AC49" i="17" s="1"/>
  <c r="CL50" i="17"/>
  <c r="AC50" i="17" s="1"/>
  <c r="CL51" i="17"/>
  <c r="AC51" i="17" s="1"/>
  <c r="CL52" i="17"/>
  <c r="AC52" i="17" s="1"/>
  <c r="CL53" i="17"/>
  <c r="AC53" i="17" s="1"/>
  <c r="CL54" i="17"/>
  <c r="AC54" i="17" s="1"/>
  <c r="CL55" i="17"/>
  <c r="AC55" i="17" s="1"/>
  <c r="CL56" i="17"/>
  <c r="AC56" i="17" s="1"/>
  <c r="CL57" i="17"/>
  <c r="AC57" i="17" s="1"/>
  <c r="CL58" i="17"/>
  <c r="AC58" i="17" s="1"/>
  <c r="CL59" i="17"/>
  <c r="AC59" i="17" s="1"/>
  <c r="CL60" i="17"/>
  <c r="AC60" i="17" s="1"/>
  <c r="CL61" i="17"/>
  <c r="AC61" i="17" s="1"/>
  <c r="CL62" i="17"/>
  <c r="AC62" i="17" s="1"/>
  <c r="CL63" i="17"/>
  <c r="AC63" i="17" s="1"/>
  <c r="CL64" i="17"/>
  <c r="AC64" i="17" s="1"/>
  <c r="CL65" i="17"/>
  <c r="AC65" i="17" s="1"/>
  <c r="CL66" i="17"/>
  <c r="AC66" i="17" s="1"/>
  <c r="CL67" i="17"/>
  <c r="AC67" i="17" s="1"/>
  <c r="CL68" i="17"/>
  <c r="AC68" i="17" s="1"/>
  <c r="CL69" i="17"/>
  <c r="AC69" i="17" s="1"/>
  <c r="CL70" i="17"/>
  <c r="AC70" i="17" s="1"/>
  <c r="CL71" i="17"/>
  <c r="AC71" i="17" s="1"/>
  <c r="CL72" i="17"/>
  <c r="AC72" i="17" s="1"/>
  <c r="CL73" i="17"/>
  <c r="AC73" i="17" s="1"/>
  <c r="CL74" i="17"/>
  <c r="AC74" i="17" s="1"/>
  <c r="CL75" i="17"/>
  <c r="AC75" i="17" s="1"/>
  <c r="CL76" i="17"/>
  <c r="AC76" i="17" s="1"/>
  <c r="CL77" i="17"/>
  <c r="AC77" i="17" s="1"/>
  <c r="CL78" i="17"/>
  <c r="AC78" i="17" s="1"/>
  <c r="CL79" i="17"/>
  <c r="AC79" i="17" s="1"/>
  <c r="CL80" i="17"/>
  <c r="AC80" i="17" s="1"/>
  <c r="CL81" i="17"/>
  <c r="AC81" i="17" s="1"/>
  <c r="CL82" i="17"/>
  <c r="AC82" i="17" s="1"/>
  <c r="CL83" i="17"/>
  <c r="AC83" i="17" s="1"/>
  <c r="CL84" i="17"/>
  <c r="AC84" i="17" s="1"/>
  <c r="CL85" i="17"/>
  <c r="AC85" i="17" s="1"/>
  <c r="CL86" i="17"/>
  <c r="AC86" i="17" s="1"/>
  <c r="CL87" i="17"/>
  <c r="AC87" i="17" s="1"/>
  <c r="CL88" i="17"/>
  <c r="AC88" i="17" s="1"/>
  <c r="CL89" i="17"/>
  <c r="AC89" i="17" s="1"/>
  <c r="CL90" i="17"/>
  <c r="AC90" i="17" s="1"/>
  <c r="CL91" i="17"/>
  <c r="AC91" i="17" s="1"/>
  <c r="CL92" i="17"/>
  <c r="AC92" i="17" s="1"/>
  <c r="CL93" i="17"/>
  <c r="AC93" i="17" s="1"/>
  <c r="CL94" i="17"/>
  <c r="AC94" i="17" s="1"/>
  <c r="CL95" i="17"/>
  <c r="AC95" i="17" s="1"/>
  <c r="CL96" i="17"/>
  <c r="AC96" i="17" s="1"/>
  <c r="CL97" i="17"/>
  <c r="AC97" i="17" s="1"/>
  <c r="CL98" i="17"/>
  <c r="AC98" i="17" s="1"/>
  <c r="CL99" i="17"/>
  <c r="AC99" i="17" s="1"/>
  <c r="CL100" i="17"/>
  <c r="AC100" i="17" s="1"/>
  <c r="CL101" i="17"/>
  <c r="AC101" i="17" s="1"/>
  <c r="CL102" i="17"/>
  <c r="AC102" i="17" s="1"/>
  <c r="CL103" i="17"/>
  <c r="AC103" i="17" s="1"/>
  <c r="CL104" i="17"/>
  <c r="AC104" i="17" s="1"/>
  <c r="CL105" i="17"/>
  <c r="AC105" i="17" s="1"/>
  <c r="CL106" i="17"/>
  <c r="AC106" i="17" s="1"/>
  <c r="CL107" i="17"/>
  <c r="AC107" i="17" s="1"/>
  <c r="CL108" i="17"/>
  <c r="AC108" i="17" s="1"/>
  <c r="CL109" i="17"/>
  <c r="AC109" i="17" s="1"/>
  <c r="CL110" i="17"/>
  <c r="AC110" i="17" s="1"/>
  <c r="CL111" i="17"/>
  <c r="AC111" i="17" s="1"/>
  <c r="CL112" i="17"/>
  <c r="AC112" i="17" s="1"/>
  <c r="CL113" i="17"/>
  <c r="AC113" i="17" s="1"/>
  <c r="CL114" i="17"/>
  <c r="AC114" i="17" s="1"/>
  <c r="CL115" i="17"/>
  <c r="AC115" i="17" s="1"/>
  <c r="CL116" i="17"/>
  <c r="AC116" i="17" s="1"/>
  <c r="CL117" i="17"/>
  <c r="AC117" i="17" s="1"/>
  <c r="CL118" i="17"/>
  <c r="AC118" i="17" s="1"/>
  <c r="CL119" i="17"/>
  <c r="AC119" i="17" s="1"/>
  <c r="CL120" i="17"/>
  <c r="AC120" i="17" s="1"/>
  <c r="CL121" i="17"/>
  <c r="AC121" i="17" s="1"/>
  <c r="CL122" i="17"/>
  <c r="AC122" i="17" s="1"/>
  <c r="CL123" i="17"/>
  <c r="AC123" i="17" s="1"/>
  <c r="CL124" i="17"/>
  <c r="AC124" i="17" s="1"/>
  <c r="CL125" i="17"/>
  <c r="AC125" i="17" s="1"/>
  <c r="CL126" i="17"/>
  <c r="AC126" i="17" s="1"/>
  <c r="CL127" i="17"/>
  <c r="AC127" i="17" s="1"/>
  <c r="CL128" i="17"/>
  <c r="AC128" i="17" s="1"/>
  <c r="CL129" i="17"/>
  <c r="AC129" i="17" s="1"/>
  <c r="CL130" i="17"/>
  <c r="AC130" i="17" s="1"/>
  <c r="CL131" i="17"/>
  <c r="AC131" i="17" s="1"/>
  <c r="CL132" i="17"/>
  <c r="AC132" i="17" s="1"/>
  <c r="CL133" i="17"/>
  <c r="AC133" i="17" s="1"/>
  <c r="CL134" i="17"/>
  <c r="AC134" i="17" s="1"/>
  <c r="CL135" i="17"/>
  <c r="AC135" i="17" s="1"/>
  <c r="CL136" i="17"/>
  <c r="AC136" i="17" s="1"/>
  <c r="CL137" i="17"/>
  <c r="AC137" i="17" s="1"/>
  <c r="CL138" i="17"/>
  <c r="AC138" i="17" s="1"/>
  <c r="CL139" i="17"/>
  <c r="AC139" i="17" s="1"/>
  <c r="CL140" i="17"/>
  <c r="AC140" i="17" s="1"/>
  <c r="CL141" i="17"/>
  <c r="AC141" i="17" s="1"/>
  <c r="CL142" i="17"/>
  <c r="AC142" i="17" s="1"/>
  <c r="CL143" i="17"/>
  <c r="AC143" i="17" s="1"/>
  <c r="CL144" i="17"/>
  <c r="AC144" i="17" s="1"/>
  <c r="CL145" i="17"/>
  <c r="AC145" i="17" s="1"/>
  <c r="CL147" i="17"/>
  <c r="AC147" i="17" s="1"/>
  <c r="CL148" i="17"/>
  <c r="AC148" i="17" s="1"/>
  <c r="CL149" i="17"/>
  <c r="AC149" i="17" s="1"/>
  <c r="CL150" i="17"/>
  <c r="AC150" i="17" s="1"/>
  <c r="CL151" i="17"/>
  <c r="AC151" i="17" s="1"/>
  <c r="CL152" i="17"/>
  <c r="AC152" i="17" s="1"/>
  <c r="CL153" i="17"/>
  <c r="AC153" i="17" s="1"/>
  <c r="CL154" i="17"/>
  <c r="AC154" i="17" s="1"/>
  <c r="CL155" i="17"/>
  <c r="AC155" i="17" s="1"/>
  <c r="CL156" i="17"/>
  <c r="AC156" i="17" s="1"/>
  <c r="CL157" i="17"/>
  <c r="AC157" i="17" s="1"/>
  <c r="CL158" i="17"/>
  <c r="AC158" i="17" s="1"/>
  <c r="CL159" i="17"/>
  <c r="AC159" i="17" s="1"/>
  <c r="CL160" i="17"/>
  <c r="AC160" i="17" s="1"/>
  <c r="CL161" i="17"/>
  <c r="AC161" i="17" s="1"/>
  <c r="CL162" i="17"/>
  <c r="AC162" i="17" s="1"/>
  <c r="CL163" i="17"/>
  <c r="AC163" i="17" s="1"/>
  <c r="CL164" i="17"/>
  <c r="AC164" i="17" s="1"/>
  <c r="CL165" i="17"/>
  <c r="AC165" i="17" s="1"/>
  <c r="CL166" i="17"/>
  <c r="AC166" i="17" s="1"/>
  <c r="CL167" i="17"/>
  <c r="AC167" i="17" s="1"/>
  <c r="CL168" i="17"/>
  <c r="AC168" i="17" s="1"/>
  <c r="CL169" i="17"/>
  <c r="AC169" i="17" s="1"/>
  <c r="CL170" i="17"/>
  <c r="AC170" i="17" s="1"/>
  <c r="CL171" i="17"/>
  <c r="AC171" i="17" s="1"/>
  <c r="CL172" i="17"/>
  <c r="AC172" i="17" s="1"/>
  <c r="CL173" i="17"/>
  <c r="AC173" i="17" s="1"/>
  <c r="CL174" i="17"/>
  <c r="AC174" i="17" s="1"/>
  <c r="CL175" i="17"/>
  <c r="AC175" i="17" s="1"/>
  <c r="CL176" i="17"/>
  <c r="AC176" i="17" s="1"/>
  <c r="CL177" i="17"/>
  <c r="AC177" i="17" s="1"/>
  <c r="CL178" i="17"/>
  <c r="AC178" i="17" s="1"/>
  <c r="CL179" i="17"/>
  <c r="AC179" i="17" s="1"/>
  <c r="CL180" i="17"/>
  <c r="AC180" i="17" s="1"/>
  <c r="CL181" i="17"/>
  <c r="AC181" i="17" s="1"/>
  <c r="CL182" i="17"/>
  <c r="AC182" i="17" s="1"/>
  <c r="CL183" i="17"/>
  <c r="AC183" i="17" s="1"/>
  <c r="CL184" i="17"/>
  <c r="AC184" i="17" s="1"/>
  <c r="CL185" i="17"/>
  <c r="AC185" i="17" s="1"/>
  <c r="CL186" i="17"/>
  <c r="AC186" i="17" s="1"/>
  <c r="CL187" i="17"/>
  <c r="AC187" i="17" s="1"/>
  <c r="CL188" i="17"/>
  <c r="AC188" i="17" s="1"/>
  <c r="CL189" i="17"/>
  <c r="AC189" i="17" s="1"/>
  <c r="CL190" i="17"/>
  <c r="AC190" i="17" s="1"/>
  <c r="CL191" i="17"/>
  <c r="AC191" i="17" s="1"/>
  <c r="CL192" i="17"/>
  <c r="AC192" i="17" s="1"/>
  <c r="CL193" i="17"/>
  <c r="AC193" i="17" s="1"/>
  <c r="CL194" i="17"/>
  <c r="AC194" i="17" s="1"/>
  <c r="CL195" i="17"/>
  <c r="AC195" i="17" s="1"/>
  <c r="CL3" i="17"/>
  <c r="AC3" i="17" s="1"/>
  <c r="BW4" i="17"/>
  <c r="AB4" i="17" s="1"/>
  <c r="BW5" i="17"/>
  <c r="AB5" i="17" s="1"/>
  <c r="BW6" i="17"/>
  <c r="AB6" i="17" s="1"/>
  <c r="BW7" i="17"/>
  <c r="AB7" i="17" s="1"/>
  <c r="BW8" i="17"/>
  <c r="AB8" i="17" s="1"/>
  <c r="BW9" i="17"/>
  <c r="AB9" i="17" s="1"/>
  <c r="BW10" i="17"/>
  <c r="AB10" i="17" s="1"/>
  <c r="BW11" i="17"/>
  <c r="AB11" i="17" s="1"/>
  <c r="BW12" i="17"/>
  <c r="AB12" i="17" s="1"/>
  <c r="BW13" i="17"/>
  <c r="AB13" i="17" s="1"/>
  <c r="BW14" i="17"/>
  <c r="AB14" i="17" s="1"/>
  <c r="BW15" i="17"/>
  <c r="AB15" i="17" s="1"/>
  <c r="BW16" i="17"/>
  <c r="AB16" i="17" s="1"/>
  <c r="BW17" i="17"/>
  <c r="AB17" i="17" s="1"/>
  <c r="BW18" i="17"/>
  <c r="AB18" i="17" s="1"/>
  <c r="BW19" i="17"/>
  <c r="AB19" i="17" s="1"/>
  <c r="BW20" i="17"/>
  <c r="AB20" i="17" s="1"/>
  <c r="BW21" i="17"/>
  <c r="AB21" i="17" s="1"/>
  <c r="BW22" i="17"/>
  <c r="AB22" i="17" s="1"/>
  <c r="BW23" i="17"/>
  <c r="AB23" i="17" s="1"/>
  <c r="BW24" i="17"/>
  <c r="AB24" i="17" s="1"/>
  <c r="BW25" i="17"/>
  <c r="AB25" i="17" s="1"/>
  <c r="BW26" i="17"/>
  <c r="AB26" i="17" s="1"/>
  <c r="BW27" i="17"/>
  <c r="AB27" i="17" s="1"/>
  <c r="BW28" i="17"/>
  <c r="AB28" i="17" s="1"/>
  <c r="BW29" i="17"/>
  <c r="AB29" i="17" s="1"/>
  <c r="BW30" i="17"/>
  <c r="AB30" i="17" s="1"/>
  <c r="BW31" i="17"/>
  <c r="AB31" i="17" s="1"/>
  <c r="BW32" i="17"/>
  <c r="AB32" i="17" s="1"/>
  <c r="BW33" i="17"/>
  <c r="AB33" i="17" s="1"/>
  <c r="BW34" i="17"/>
  <c r="AB34" i="17" s="1"/>
  <c r="BW35" i="17"/>
  <c r="AB35" i="17" s="1"/>
  <c r="BW36" i="17"/>
  <c r="AB36" i="17" s="1"/>
  <c r="BW37" i="17"/>
  <c r="AB37" i="17" s="1"/>
  <c r="BW38" i="17"/>
  <c r="AB38" i="17" s="1"/>
  <c r="BW39" i="17"/>
  <c r="AB39" i="17" s="1"/>
  <c r="BW40" i="17"/>
  <c r="AB40" i="17" s="1"/>
  <c r="BW41" i="17"/>
  <c r="AB41" i="17" s="1"/>
  <c r="BW42" i="17"/>
  <c r="AB42" i="17" s="1"/>
  <c r="BW43" i="17"/>
  <c r="AB43" i="17" s="1"/>
  <c r="BW44" i="17"/>
  <c r="AB44" i="17" s="1"/>
  <c r="BW45" i="17"/>
  <c r="AB45" i="17" s="1"/>
  <c r="BW46" i="17"/>
  <c r="AB46" i="17" s="1"/>
  <c r="BW47" i="17"/>
  <c r="AB47" i="17" s="1"/>
  <c r="BW48" i="17"/>
  <c r="AB48" i="17" s="1"/>
  <c r="BW49" i="17"/>
  <c r="AB49" i="17" s="1"/>
  <c r="BW50" i="17"/>
  <c r="AB50" i="17" s="1"/>
  <c r="BW51" i="17"/>
  <c r="AB51" i="17" s="1"/>
  <c r="BW52" i="17"/>
  <c r="AB52" i="17" s="1"/>
  <c r="BW53" i="17"/>
  <c r="AB53" i="17" s="1"/>
  <c r="BW54" i="17"/>
  <c r="AB54" i="17" s="1"/>
  <c r="BW55" i="17"/>
  <c r="AB55" i="17" s="1"/>
  <c r="BW56" i="17"/>
  <c r="AB56" i="17" s="1"/>
  <c r="BW57" i="17"/>
  <c r="AB57" i="17" s="1"/>
  <c r="BW58" i="17"/>
  <c r="AB58" i="17" s="1"/>
  <c r="BW59" i="17"/>
  <c r="AB59" i="17" s="1"/>
  <c r="BW60" i="17"/>
  <c r="AB60" i="17" s="1"/>
  <c r="BW61" i="17"/>
  <c r="AB61" i="17" s="1"/>
  <c r="BW62" i="17"/>
  <c r="AB62" i="17" s="1"/>
  <c r="BW63" i="17"/>
  <c r="AB63" i="17" s="1"/>
  <c r="BW64" i="17"/>
  <c r="AB64" i="17" s="1"/>
  <c r="BW65" i="17"/>
  <c r="AB65" i="17" s="1"/>
  <c r="BW66" i="17"/>
  <c r="AB66" i="17" s="1"/>
  <c r="BW67" i="17"/>
  <c r="AB67" i="17" s="1"/>
  <c r="BW68" i="17"/>
  <c r="AB68" i="17" s="1"/>
  <c r="BW69" i="17"/>
  <c r="AB69" i="17" s="1"/>
  <c r="BW70" i="17"/>
  <c r="AB70" i="17" s="1"/>
  <c r="BW71" i="17"/>
  <c r="AB71" i="17" s="1"/>
  <c r="BW72" i="17"/>
  <c r="AB72" i="17" s="1"/>
  <c r="BW73" i="17"/>
  <c r="AB73" i="17" s="1"/>
  <c r="BW74" i="17"/>
  <c r="AB74" i="17" s="1"/>
  <c r="BW75" i="17"/>
  <c r="AB75" i="17" s="1"/>
  <c r="BW76" i="17"/>
  <c r="AB76" i="17" s="1"/>
  <c r="BW77" i="17"/>
  <c r="AB77" i="17" s="1"/>
  <c r="BW78" i="17"/>
  <c r="AB78" i="17" s="1"/>
  <c r="BW79" i="17"/>
  <c r="AB79" i="17" s="1"/>
  <c r="BW80" i="17"/>
  <c r="AB80" i="17" s="1"/>
  <c r="BW81" i="17"/>
  <c r="AB81" i="17" s="1"/>
  <c r="BW82" i="17"/>
  <c r="AB82" i="17" s="1"/>
  <c r="BW83" i="17"/>
  <c r="AB83" i="17" s="1"/>
  <c r="BW84" i="17"/>
  <c r="AB84" i="17" s="1"/>
  <c r="BW85" i="17"/>
  <c r="AB85" i="17" s="1"/>
  <c r="BW86" i="17"/>
  <c r="AB86" i="17" s="1"/>
  <c r="BW87" i="17"/>
  <c r="AB87" i="17" s="1"/>
  <c r="BW88" i="17"/>
  <c r="AB88" i="17" s="1"/>
  <c r="BW89" i="17"/>
  <c r="AB89" i="17" s="1"/>
  <c r="BW90" i="17"/>
  <c r="AB90" i="17" s="1"/>
  <c r="BW91" i="17"/>
  <c r="AB91" i="17" s="1"/>
  <c r="BW92" i="17"/>
  <c r="AB92" i="17" s="1"/>
  <c r="BW93" i="17"/>
  <c r="AB93" i="17" s="1"/>
  <c r="BW94" i="17"/>
  <c r="AB94" i="17" s="1"/>
  <c r="BW95" i="17"/>
  <c r="AB95" i="17" s="1"/>
  <c r="BW96" i="17"/>
  <c r="AB96" i="17" s="1"/>
  <c r="BW97" i="17"/>
  <c r="AB97" i="17" s="1"/>
  <c r="BW98" i="17"/>
  <c r="AB98" i="17" s="1"/>
  <c r="BW99" i="17"/>
  <c r="AB99" i="17" s="1"/>
  <c r="BW100" i="17"/>
  <c r="AB100" i="17" s="1"/>
  <c r="BW101" i="17"/>
  <c r="AB101" i="17" s="1"/>
  <c r="BW102" i="17"/>
  <c r="AB102" i="17" s="1"/>
  <c r="BW103" i="17"/>
  <c r="AB103" i="17" s="1"/>
  <c r="BW104" i="17"/>
  <c r="AB104" i="17" s="1"/>
  <c r="BW105" i="17"/>
  <c r="AB105" i="17" s="1"/>
  <c r="BW106" i="17"/>
  <c r="AB106" i="17" s="1"/>
  <c r="BW107" i="17"/>
  <c r="AB107" i="17" s="1"/>
  <c r="BW108" i="17"/>
  <c r="AB108" i="17" s="1"/>
  <c r="BW109" i="17"/>
  <c r="AB109" i="17" s="1"/>
  <c r="BW110" i="17"/>
  <c r="AB110" i="17" s="1"/>
  <c r="BW111" i="17"/>
  <c r="AB111" i="17" s="1"/>
  <c r="BW112" i="17"/>
  <c r="AB112" i="17" s="1"/>
  <c r="BW113" i="17"/>
  <c r="AB113" i="17" s="1"/>
  <c r="BW114" i="17"/>
  <c r="AB114" i="17" s="1"/>
  <c r="BW115" i="17"/>
  <c r="AB115" i="17" s="1"/>
  <c r="BW116" i="17"/>
  <c r="AB116" i="17" s="1"/>
  <c r="BW117" i="17"/>
  <c r="AB117" i="17" s="1"/>
  <c r="BW118" i="17"/>
  <c r="AB118" i="17" s="1"/>
  <c r="BW119" i="17"/>
  <c r="AB119" i="17" s="1"/>
  <c r="BW120" i="17"/>
  <c r="AB120" i="17" s="1"/>
  <c r="BW121" i="17"/>
  <c r="AB121" i="17" s="1"/>
  <c r="BW122" i="17"/>
  <c r="AB122" i="17" s="1"/>
  <c r="BW123" i="17"/>
  <c r="AB123" i="17" s="1"/>
  <c r="BW124" i="17"/>
  <c r="AB124" i="17" s="1"/>
  <c r="BW125" i="17"/>
  <c r="AB125" i="17" s="1"/>
  <c r="BW126" i="17"/>
  <c r="AB126" i="17" s="1"/>
  <c r="BW127" i="17"/>
  <c r="AB127" i="17" s="1"/>
  <c r="BW128" i="17"/>
  <c r="AB128" i="17" s="1"/>
  <c r="BW129" i="17"/>
  <c r="AB129" i="17" s="1"/>
  <c r="BW130" i="17"/>
  <c r="AB130" i="17" s="1"/>
  <c r="BW131" i="17"/>
  <c r="AB131" i="17" s="1"/>
  <c r="BW132" i="17"/>
  <c r="AB132" i="17" s="1"/>
  <c r="BW133" i="17"/>
  <c r="AB133" i="17" s="1"/>
  <c r="BW134" i="17"/>
  <c r="AB134" i="17" s="1"/>
  <c r="BW135" i="17"/>
  <c r="AB135" i="17" s="1"/>
  <c r="BW136" i="17"/>
  <c r="AB136" i="17" s="1"/>
  <c r="BW137" i="17"/>
  <c r="AB137" i="17" s="1"/>
  <c r="BW138" i="17"/>
  <c r="AB138" i="17" s="1"/>
  <c r="BW139" i="17"/>
  <c r="AB139" i="17" s="1"/>
  <c r="BW140" i="17"/>
  <c r="AB140" i="17" s="1"/>
  <c r="BW141" i="17"/>
  <c r="AB141" i="17" s="1"/>
  <c r="BW142" i="17"/>
  <c r="AB142" i="17" s="1"/>
  <c r="BW143" i="17"/>
  <c r="AB143" i="17" s="1"/>
  <c r="BW144" i="17"/>
  <c r="AB144" i="17" s="1"/>
  <c r="BW145" i="17"/>
  <c r="AB145" i="17" s="1"/>
  <c r="BW147" i="17"/>
  <c r="AB147" i="17" s="1"/>
  <c r="BW148" i="17"/>
  <c r="AB148" i="17" s="1"/>
  <c r="BW149" i="17"/>
  <c r="AB149" i="17" s="1"/>
  <c r="BW150" i="17"/>
  <c r="AB150" i="17" s="1"/>
  <c r="BW151" i="17"/>
  <c r="AB151" i="17" s="1"/>
  <c r="BW152" i="17"/>
  <c r="AB152" i="17" s="1"/>
  <c r="BW153" i="17"/>
  <c r="AB153" i="17" s="1"/>
  <c r="BW154" i="17"/>
  <c r="AB154" i="17" s="1"/>
  <c r="BW155" i="17"/>
  <c r="AB155" i="17" s="1"/>
  <c r="BW156" i="17"/>
  <c r="AB156" i="17" s="1"/>
  <c r="BW157" i="17"/>
  <c r="AB157" i="17" s="1"/>
  <c r="BW158" i="17"/>
  <c r="AB158" i="17" s="1"/>
  <c r="BW159" i="17"/>
  <c r="AB159" i="17" s="1"/>
  <c r="BW160" i="17"/>
  <c r="AB160" i="17" s="1"/>
  <c r="BW161" i="17"/>
  <c r="AB161" i="17" s="1"/>
  <c r="BW162" i="17"/>
  <c r="AB162" i="17" s="1"/>
  <c r="BW163" i="17"/>
  <c r="AB163" i="17" s="1"/>
  <c r="BW164" i="17"/>
  <c r="AB164" i="17" s="1"/>
  <c r="BW165" i="17"/>
  <c r="AB165" i="17" s="1"/>
  <c r="BW166" i="17"/>
  <c r="AB166" i="17" s="1"/>
  <c r="BW167" i="17"/>
  <c r="AB167" i="17" s="1"/>
  <c r="BW168" i="17"/>
  <c r="AB168" i="17" s="1"/>
  <c r="BW169" i="17"/>
  <c r="AB169" i="17" s="1"/>
  <c r="BW170" i="17"/>
  <c r="AB170" i="17" s="1"/>
  <c r="BW171" i="17"/>
  <c r="AB171" i="17" s="1"/>
  <c r="BW172" i="17"/>
  <c r="AB172" i="17" s="1"/>
  <c r="BW173" i="17"/>
  <c r="AB173" i="17" s="1"/>
  <c r="BW174" i="17"/>
  <c r="AB174" i="17" s="1"/>
  <c r="BW175" i="17"/>
  <c r="AB175" i="17" s="1"/>
  <c r="BW176" i="17"/>
  <c r="AB176" i="17" s="1"/>
  <c r="BW177" i="17"/>
  <c r="AB177" i="17" s="1"/>
  <c r="BW178" i="17"/>
  <c r="AB178" i="17" s="1"/>
  <c r="BW179" i="17"/>
  <c r="AB179" i="17" s="1"/>
  <c r="BW180" i="17"/>
  <c r="AB180" i="17" s="1"/>
  <c r="BW181" i="17"/>
  <c r="AB181" i="17" s="1"/>
  <c r="BW182" i="17"/>
  <c r="AB182" i="17" s="1"/>
  <c r="BW183" i="17"/>
  <c r="AB183" i="17" s="1"/>
  <c r="BW184" i="17"/>
  <c r="AB184" i="17" s="1"/>
  <c r="BW185" i="17"/>
  <c r="AB185" i="17" s="1"/>
  <c r="BW186" i="17"/>
  <c r="AB186" i="17" s="1"/>
  <c r="BW187" i="17"/>
  <c r="AB187" i="17" s="1"/>
  <c r="BW188" i="17"/>
  <c r="AB188" i="17" s="1"/>
  <c r="BW189" i="17"/>
  <c r="AB189" i="17" s="1"/>
  <c r="BW190" i="17"/>
  <c r="AB190" i="17" s="1"/>
  <c r="BW191" i="17"/>
  <c r="AB191" i="17" s="1"/>
  <c r="BW192" i="17"/>
  <c r="AB192" i="17" s="1"/>
  <c r="BW193" i="17"/>
  <c r="AB193" i="17" s="1"/>
  <c r="BW194" i="17"/>
  <c r="AB194" i="17" s="1"/>
  <c r="BW195" i="17"/>
  <c r="AB195" i="17" s="1"/>
  <c r="BW3" i="17"/>
  <c r="AB3" i="17" s="1"/>
  <c r="BH4" i="17"/>
  <c r="AA4" i="17" s="1"/>
  <c r="BH5" i="17"/>
  <c r="AA5" i="17" s="1"/>
  <c r="BH6" i="17"/>
  <c r="AA6" i="17" s="1"/>
  <c r="BH7" i="17"/>
  <c r="AA7" i="17" s="1"/>
  <c r="BH8" i="17"/>
  <c r="AA8" i="17" s="1"/>
  <c r="BH9" i="17"/>
  <c r="AA9" i="17" s="1"/>
  <c r="BH10" i="17"/>
  <c r="AA10" i="17" s="1"/>
  <c r="BH11" i="17"/>
  <c r="AA11" i="17" s="1"/>
  <c r="BH12" i="17"/>
  <c r="AA12" i="17" s="1"/>
  <c r="BH13" i="17"/>
  <c r="AA13" i="17" s="1"/>
  <c r="BH14" i="17"/>
  <c r="AA14" i="17" s="1"/>
  <c r="BH15" i="17"/>
  <c r="AA15" i="17" s="1"/>
  <c r="BH16" i="17"/>
  <c r="AA16" i="17" s="1"/>
  <c r="BH17" i="17"/>
  <c r="AA17" i="17" s="1"/>
  <c r="BH18" i="17"/>
  <c r="AA18" i="17" s="1"/>
  <c r="BH19" i="17"/>
  <c r="AA19" i="17" s="1"/>
  <c r="BH20" i="17"/>
  <c r="AA20" i="17" s="1"/>
  <c r="BH21" i="17"/>
  <c r="AA21" i="17" s="1"/>
  <c r="BH22" i="17"/>
  <c r="AA22" i="17" s="1"/>
  <c r="BH23" i="17"/>
  <c r="AA23" i="17" s="1"/>
  <c r="BH24" i="17"/>
  <c r="AA24" i="17" s="1"/>
  <c r="BH25" i="17"/>
  <c r="AA25" i="17" s="1"/>
  <c r="BH26" i="17"/>
  <c r="AA26" i="17" s="1"/>
  <c r="BH27" i="17"/>
  <c r="AA27" i="17" s="1"/>
  <c r="BH28" i="17"/>
  <c r="AA28" i="17" s="1"/>
  <c r="BH29" i="17"/>
  <c r="AA29" i="17" s="1"/>
  <c r="BH30" i="17"/>
  <c r="AA30" i="17" s="1"/>
  <c r="BH31" i="17"/>
  <c r="AA31" i="17" s="1"/>
  <c r="BH32" i="17"/>
  <c r="AA32" i="17" s="1"/>
  <c r="BH33" i="17"/>
  <c r="AA33" i="17" s="1"/>
  <c r="BH34" i="17"/>
  <c r="AA34" i="17" s="1"/>
  <c r="BH35" i="17"/>
  <c r="AA35" i="17" s="1"/>
  <c r="BH36" i="17"/>
  <c r="AA36" i="17" s="1"/>
  <c r="BH37" i="17"/>
  <c r="AA37" i="17" s="1"/>
  <c r="BH38" i="17"/>
  <c r="AA38" i="17" s="1"/>
  <c r="BH39" i="17"/>
  <c r="AA39" i="17" s="1"/>
  <c r="BH40" i="17"/>
  <c r="AA40" i="17" s="1"/>
  <c r="BH41" i="17"/>
  <c r="AA41" i="17" s="1"/>
  <c r="BH42" i="17"/>
  <c r="AA42" i="17" s="1"/>
  <c r="BH43" i="17"/>
  <c r="AA43" i="17" s="1"/>
  <c r="BH44" i="17"/>
  <c r="AA44" i="17" s="1"/>
  <c r="BH45" i="17"/>
  <c r="AA45" i="17" s="1"/>
  <c r="BH46" i="17"/>
  <c r="AA46" i="17" s="1"/>
  <c r="BH47" i="17"/>
  <c r="AA47" i="17" s="1"/>
  <c r="BH48" i="17"/>
  <c r="AA48" i="17" s="1"/>
  <c r="BH49" i="17"/>
  <c r="AA49" i="17" s="1"/>
  <c r="BH50" i="17"/>
  <c r="AA50" i="17" s="1"/>
  <c r="BH51" i="17"/>
  <c r="AA51" i="17" s="1"/>
  <c r="BH52" i="17"/>
  <c r="AA52" i="17" s="1"/>
  <c r="BH53" i="17"/>
  <c r="AA53" i="17" s="1"/>
  <c r="BH54" i="17"/>
  <c r="AA54" i="17" s="1"/>
  <c r="BH55" i="17"/>
  <c r="AA55" i="17" s="1"/>
  <c r="BH56" i="17"/>
  <c r="AA56" i="17" s="1"/>
  <c r="BH57" i="17"/>
  <c r="AA57" i="17" s="1"/>
  <c r="BH58" i="17"/>
  <c r="AA58" i="17" s="1"/>
  <c r="BH59" i="17"/>
  <c r="AA59" i="17" s="1"/>
  <c r="BH60" i="17"/>
  <c r="AA60" i="17" s="1"/>
  <c r="BH61" i="17"/>
  <c r="AA61" i="17" s="1"/>
  <c r="BH62" i="17"/>
  <c r="AA62" i="17" s="1"/>
  <c r="BH63" i="17"/>
  <c r="AA63" i="17" s="1"/>
  <c r="BH64" i="17"/>
  <c r="AA64" i="17" s="1"/>
  <c r="BH65" i="17"/>
  <c r="AA65" i="17" s="1"/>
  <c r="BH66" i="17"/>
  <c r="AA66" i="17" s="1"/>
  <c r="BH67" i="17"/>
  <c r="AA67" i="17" s="1"/>
  <c r="BH68" i="17"/>
  <c r="AA68" i="17" s="1"/>
  <c r="BH69" i="17"/>
  <c r="AA69" i="17" s="1"/>
  <c r="BH70" i="17"/>
  <c r="AA70" i="17" s="1"/>
  <c r="BH71" i="17"/>
  <c r="AA71" i="17" s="1"/>
  <c r="BH72" i="17"/>
  <c r="AA72" i="17" s="1"/>
  <c r="BH73" i="17"/>
  <c r="AA73" i="17" s="1"/>
  <c r="BH74" i="17"/>
  <c r="AA74" i="17" s="1"/>
  <c r="BH75" i="17"/>
  <c r="AA75" i="17" s="1"/>
  <c r="BH76" i="17"/>
  <c r="AA76" i="17" s="1"/>
  <c r="BH77" i="17"/>
  <c r="AA77" i="17" s="1"/>
  <c r="BH78" i="17"/>
  <c r="AA78" i="17" s="1"/>
  <c r="BH79" i="17"/>
  <c r="AA79" i="17" s="1"/>
  <c r="BH80" i="17"/>
  <c r="AA80" i="17" s="1"/>
  <c r="BH81" i="17"/>
  <c r="AA81" i="17" s="1"/>
  <c r="BH82" i="17"/>
  <c r="AA82" i="17" s="1"/>
  <c r="BH83" i="17"/>
  <c r="AA83" i="17" s="1"/>
  <c r="BH84" i="17"/>
  <c r="AA84" i="17" s="1"/>
  <c r="BH85" i="17"/>
  <c r="AA85" i="17" s="1"/>
  <c r="BH86" i="17"/>
  <c r="AA86" i="17" s="1"/>
  <c r="BH87" i="17"/>
  <c r="AA87" i="17" s="1"/>
  <c r="BH88" i="17"/>
  <c r="AA88" i="17" s="1"/>
  <c r="BH89" i="17"/>
  <c r="AA89" i="17" s="1"/>
  <c r="BH90" i="17"/>
  <c r="AA90" i="17" s="1"/>
  <c r="BH91" i="17"/>
  <c r="AA91" i="17" s="1"/>
  <c r="BH92" i="17"/>
  <c r="AA92" i="17" s="1"/>
  <c r="BH93" i="17"/>
  <c r="AA93" i="17" s="1"/>
  <c r="BH94" i="17"/>
  <c r="AA94" i="17" s="1"/>
  <c r="BH95" i="17"/>
  <c r="AA95" i="17" s="1"/>
  <c r="BH96" i="17"/>
  <c r="AA96" i="17" s="1"/>
  <c r="BH97" i="17"/>
  <c r="AA97" i="17" s="1"/>
  <c r="BH98" i="17"/>
  <c r="AA98" i="17" s="1"/>
  <c r="BH99" i="17"/>
  <c r="AA99" i="17" s="1"/>
  <c r="BH100" i="17"/>
  <c r="AA100" i="17" s="1"/>
  <c r="BH101" i="17"/>
  <c r="AA101" i="17" s="1"/>
  <c r="BH102" i="17"/>
  <c r="AA102" i="17" s="1"/>
  <c r="BH103" i="17"/>
  <c r="AA103" i="17" s="1"/>
  <c r="BH104" i="17"/>
  <c r="AA104" i="17" s="1"/>
  <c r="BH105" i="17"/>
  <c r="AA105" i="17" s="1"/>
  <c r="BH106" i="17"/>
  <c r="AA106" i="17" s="1"/>
  <c r="BH107" i="17"/>
  <c r="AA107" i="17" s="1"/>
  <c r="BH108" i="17"/>
  <c r="AA108" i="17" s="1"/>
  <c r="BH109" i="17"/>
  <c r="AA109" i="17" s="1"/>
  <c r="BH110" i="17"/>
  <c r="AA110" i="17" s="1"/>
  <c r="BH111" i="17"/>
  <c r="AA111" i="17" s="1"/>
  <c r="BH112" i="17"/>
  <c r="AA112" i="17" s="1"/>
  <c r="BH113" i="17"/>
  <c r="AA113" i="17" s="1"/>
  <c r="BH114" i="17"/>
  <c r="AA114" i="17" s="1"/>
  <c r="BH115" i="17"/>
  <c r="AA115" i="17" s="1"/>
  <c r="BH116" i="17"/>
  <c r="AA116" i="17" s="1"/>
  <c r="BH117" i="17"/>
  <c r="AA117" i="17" s="1"/>
  <c r="BH118" i="17"/>
  <c r="AA118" i="17" s="1"/>
  <c r="BH119" i="17"/>
  <c r="AA119" i="17" s="1"/>
  <c r="BH120" i="17"/>
  <c r="AA120" i="17" s="1"/>
  <c r="BH121" i="17"/>
  <c r="AA121" i="17" s="1"/>
  <c r="BH122" i="17"/>
  <c r="AA122" i="17" s="1"/>
  <c r="BH123" i="17"/>
  <c r="AA123" i="17" s="1"/>
  <c r="BH124" i="17"/>
  <c r="AA124" i="17" s="1"/>
  <c r="BH125" i="17"/>
  <c r="AA125" i="17" s="1"/>
  <c r="BH126" i="17"/>
  <c r="AA126" i="17" s="1"/>
  <c r="BH127" i="17"/>
  <c r="AA127" i="17" s="1"/>
  <c r="BH128" i="17"/>
  <c r="AA128" i="17" s="1"/>
  <c r="BH129" i="17"/>
  <c r="AA129" i="17" s="1"/>
  <c r="BH130" i="17"/>
  <c r="AA130" i="17" s="1"/>
  <c r="BH131" i="17"/>
  <c r="AA131" i="17" s="1"/>
  <c r="BH132" i="17"/>
  <c r="AA132" i="17" s="1"/>
  <c r="BH133" i="17"/>
  <c r="AA133" i="17" s="1"/>
  <c r="BH134" i="17"/>
  <c r="AA134" i="17" s="1"/>
  <c r="BH135" i="17"/>
  <c r="AA135" i="17" s="1"/>
  <c r="BH136" i="17"/>
  <c r="AA136" i="17" s="1"/>
  <c r="BH137" i="17"/>
  <c r="AA137" i="17" s="1"/>
  <c r="BH138" i="17"/>
  <c r="AA138" i="17" s="1"/>
  <c r="BH139" i="17"/>
  <c r="AA139" i="17" s="1"/>
  <c r="BH140" i="17"/>
  <c r="AA140" i="17" s="1"/>
  <c r="BH141" i="17"/>
  <c r="AA141" i="17" s="1"/>
  <c r="BH142" i="17"/>
  <c r="AA142" i="17" s="1"/>
  <c r="BH143" i="17"/>
  <c r="AA143" i="17" s="1"/>
  <c r="BH144" i="17"/>
  <c r="AA144" i="17" s="1"/>
  <c r="BH145" i="17"/>
  <c r="AA145" i="17" s="1"/>
  <c r="BH147" i="17"/>
  <c r="AA147" i="17" s="1"/>
  <c r="BH148" i="17"/>
  <c r="AA148" i="17" s="1"/>
  <c r="BH149" i="17"/>
  <c r="AA149" i="17" s="1"/>
  <c r="BH150" i="17"/>
  <c r="AA150" i="17" s="1"/>
  <c r="BH151" i="17"/>
  <c r="AA151" i="17" s="1"/>
  <c r="BH152" i="17"/>
  <c r="AA152" i="17" s="1"/>
  <c r="BH153" i="17"/>
  <c r="AA153" i="17" s="1"/>
  <c r="BH154" i="17"/>
  <c r="AA154" i="17" s="1"/>
  <c r="BH155" i="17"/>
  <c r="AA155" i="17" s="1"/>
  <c r="BH156" i="17"/>
  <c r="AA156" i="17" s="1"/>
  <c r="BH157" i="17"/>
  <c r="AA157" i="17" s="1"/>
  <c r="BH158" i="17"/>
  <c r="AA158" i="17" s="1"/>
  <c r="BH159" i="17"/>
  <c r="AA159" i="17" s="1"/>
  <c r="BH160" i="17"/>
  <c r="AA160" i="17" s="1"/>
  <c r="BH161" i="17"/>
  <c r="AA161" i="17" s="1"/>
  <c r="BH162" i="17"/>
  <c r="AA162" i="17" s="1"/>
  <c r="BH163" i="17"/>
  <c r="AA163" i="17" s="1"/>
  <c r="BH164" i="17"/>
  <c r="AA164" i="17" s="1"/>
  <c r="BH165" i="17"/>
  <c r="AA165" i="17" s="1"/>
  <c r="BH166" i="17"/>
  <c r="AA166" i="17" s="1"/>
  <c r="BH167" i="17"/>
  <c r="AA167" i="17" s="1"/>
  <c r="BH168" i="17"/>
  <c r="AA168" i="17" s="1"/>
  <c r="BH169" i="17"/>
  <c r="AA169" i="17" s="1"/>
  <c r="BH170" i="17"/>
  <c r="AA170" i="17" s="1"/>
  <c r="BH171" i="17"/>
  <c r="AA171" i="17" s="1"/>
  <c r="BH172" i="17"/>
  <c r="AA172" i="17" s="1"/>
  <c r="BH173" i="17"/>
  <c r="AA173" i="17" s="1"/>
  <c r="BH174" i="17"/>
  <c r="AA174" i="17" s="1"/>
  <c r="BH175" i="17"/>
  <c r="AA175" i="17" s="1"/>
  <c r="BH176" i="17"/>
  <c r="AA176" i="17" s="1"/>
  <c r="BH177" i="17"/>
  <c r="AA177" i="17" s="1"/>
  <c r="BH178" i="17"/>
  <c r="AA178" i="17" s="1"/>
  <c r="BH179" i="17"/>
  <c r="AA179" i="17" s="1"/>
  <c r="BH180" i="17"/>
  <c r="AA180" i="17" s="1"/>
  <c r="BH181" i="17"/>
  <c r="AA181" i="17" s="1"/>
  <c r="BH182" i="17"/>
  <c r="AA182" i="17" s="1"/>
  <c r="BH183" i="17"/>
  <c r="AA183" i="17" s="1"/>
  <c r="BH184" i="17"/>
  <c r="AA184" i="17" s="1"/>
  <c r="BH185" i="17"/>
  <c r="AA185" i="17" s="1"/>
  <c r="BH186" i="17"/>
  <c r="AA186" i="17" s="1"/>
  <c r="BH187" i="17"/>
  <c r="AA187" i="17" s="1"/>
  <c r="BH188" i="17"/>
  <c r="AA188" i="17" s="1"/>
  <c r="BH189" i="17"/>
  <c r="AA189" i="17" s="1"/>
  <c r="BH190" i="17"/>
  <c r="AA190" i="17" s="1"/>
  <c r="BH191" i="17"/>
  <c r="AA191" i="17" s="1"/>
  <c r="BH192" i="17"/>
  <c r="AA192" i="17" s="1"/>
  <c r="BH193" i="17"/>
  <c r="AA193" i="17" s="1"/>
  <c r="BH194" i="17"/>
  <c r="AA194" i="17" s="1"/>
  <c r="BH195" i="17"/>
  <c r="AA195" i="17" s="1"/>
  <c r="BH3" i="17"/>
  <c r="AA3" i="17" s="1"/>
  <c r="AS4" i="17"/>
  <c r="Z4" i="17" s="1"/>
  <c r="AS5" i="17"/>
  <c r="Z5" i="17" s="1"/>
  <c r="AS6" i="17"/>
  <c r="Z6" i="17" s="1"/>
  <c r="AS7" i="17"/>
  <c r="Z7" i="17" s="1"/>
  <c r="AS8" i="17"/>
  <c r="Z8" i="17" s="1"/>
  <c r="AS9" i="17"/>
  <c r="Z9" i="17" s="1"/>
  <c r="AS10" i="17"/>
  <c r="Z10" i="17" s="1"/>
  <c r="AS11" i="17"/>
  <c r="Z11" i="17" s="1"/>
  <c r="AS12" i="17"/>
  <c r="Z12" i="17" s="1"/>
  <c r="AS13" i="17"/>
  <c r="Z13" i="17" s="1"/>
  <c r="AS14" i="17"/>
  <c r="Z14" i="17" s="1"/>
  <c r="AS15" i="17"/>
  <c r="Z15" i="17" s="1"/>
  <c r="AS16" i="17"/>
  <c r="Z16" i="17" s="1"/>
  <c r="AS17" i="17"/>
  <c r="Z17" i="17" s="1"/>
  <c r="AS18" i="17"/>
  <c r="Z18" i="17" s="1"/>
  <c r="AS19" i="17"/>
  <c r="Z19" i="17" s="1"/>
  <c r="AS20" i="17"/>
  <c r="Z20" i="17" s="1"/>
  <c r="AS21" i="17"/>
  <c r="Z21" i="17" s="1"/>
  <c r="AS22" i="17"/>
  <c r="Z22" i="17" s="1"/>
  <c r="AS23" i="17"/>
  <c r="Z23" i="17" s="1"/>
  <c r="AS24" i="17"/>
  <c r="Z24" i="17" s="1"/>
  <c r="AS25" i="17"/>
  <c r="Z25" i="17" s="1"/>
  <c r="AS26" i="17"/>
  <c r="Z26" i="17" s="1"/>
  <c r="AS27" i="17"/>
  <c r="Z27" i="17" s="1"/>
  <c r="AS28" i="17"/>
  <c r="Z28" i="17" s="1"/>
  <c r="AS29" i="17"/>
  <c r="Z29" i="17" s="1"/>
  <c r="AS30" i="17"/>
  <c r="Z30" i="17" s="1"/>
  <c r="AS31" i="17"/>
  <c r="Z31" i="17" s="1"/>
  <c r="AS32" i="17"/>
  <c r="Z32" i="17" s="1"/>
  <c r="AS33" i="17"/>
  <c r="Z33" i="17" s="1"/>
  <c r="AS34" i="17"/>
  <c r="Z34" i="17" s="1"/>
  <c r="AS35" i="17"/>
  <c r="Z35" i="17" s="1"/>
  <c r="AS36" i="17"/>
  <c r="Z36" i="17" s="1"/>
  <c r="AS37" i="17"/>
  <c r="Z37" i="17" s="1"/>
  <c r="AS38" i="17"/>
  <c r="Z38" i="17" s="1"/>
  <c r="AS39" i="17"/>
  <c r="Z39" i="17" s="1"/>
  <c r="AS40" i="17"/>
  <c r="Z40" i="17" s="1"/>
  <c r="AS41" i="17"/>
  <c r="Z41" i="17" s="1"/>
  <c r="AS42" i="17"/>
  <c r="Z42" i="17" s="1"/>
  <c r="AS43" i="17"/>
  <c r="Z43" i="17" s="1"/>
  <c r="AS44" i="17"/>
  <c r="Z44" i="17" s="1"/>
  <c r="AS45" i="17"/>
  <c r="Z45" i="17" s="1"/>
  <c r="AS46" i="17"/>
  <c r="Z46" i="17" s="1"/>
  <c r="AS47" i="17"/>
  <c r="Z47" i="17" s="1"/>
  <c r="AS48" i="17"/>
  <c r="Z48" i="17" s="1"/>
  <c r="AS49" i="17"/>
  <c r="Z49" i="17" s="1"/>
  <c r="AS50" i="17"/>
  <c r="Z50" i="17" s="1"/>
  <c r="AS51" i="17"/>
  <c r="Z51" i="17" s="1"/>
  <c r="AS52" i="17"/>
  <c r="Z52" i="17" s="1"/>
  <c r="AS53" i="17"/>
  <c r="Z53" i="17" s="1"/>
  <c r="AS54" i="17"/>
  <c r="Z54" i="17" s="1"/>
  <c r="AS55" i="17"/>
  <c r="Z55" i="17" s="1"/>
  <c r="AS56" i="17"/>
  <c r="Z56" i="17" s="1"/>
  <c r="AS57" i="17"/>
  <c r="Z57" i="17" s="1"/>
  <c r="AS58" i="17"/>
  <c r="Z58" i="17" s="1"/>
  <c r="AS59" i="17"/>
  <c r="Z59" i="17" s="1"/>
  <c r="AS60" i="17"/>
  <c r="Z60" i="17" s="1"/>
  <c r="AS61" i="17"/>
  <c r="Z61" i="17" s="1"/>
  <c r="AS62" i="17"/>
  <c r="Z62" i="17" s="1"/>
  <c r="AS63" i="17"/>
  <c r="Z63" i="17" s="1"/>
  <c r="AS64" i="17"/>
  <c r="Z64" i="17" s="1"/>
  <c r="AS65" i="17"/>
  <c r="Z65" i="17" s="1"/>
  <c r="AS66" i="17"/>
  <c r="Z66" i="17" s="1"/>
  <c r="AS67" i="17"/>
  <c r="Z67" i="17" s="1"/>
  <c r="AS68" i="17"/>
  <c r="Z68" i="17" s="1"/>
  <c r="AS69" i="17"/>
  <c r="Z69" i="17" s="1"/>
  <c r="AS70" i="17"/>
  <c r="Z70" i="17" s="1"/>
  <c r="AS71" i="17"/>
  <c r="Z71" i="17" s="1"/>
  <c r="AS72" i="17"/>
  <c r="Z72" i="17" s="1"/>
  <c r="AS73" i="17"/>
  <c r="Z73" i="17" s="1"/>
  <c r="AS74" i="17"/>
  <c r="Z74" i="17" s="1"/>
  <c r="AS75" i="17"/>
  <c r="Z75" i="17" s="1"/>
  <c r="AS76" i="17"/>
  <c r="Z76" i="17" s="1"/>
  <c r="AS77" i="17"/>
  <c r="Z77" i="17" s="1"/>
  <c r="AS78" i="17"/>
  <c r="Z78" i="17" s="1"/>
  <c r="AS79" i="17"/>
  <c r="Z79" i="17" s="1"/>
  <c r="AS80" i="17"/>
  <c r="Z80" i="17" s="1"/>
  <c r="AS81" i="17"/>
  <c r="Z81" i="17" s="1"/>
  <c r="AS82" i="17"/>
  <c r="Z82" i="17" s="1"/>
  <c r="AS83" i="17"/>
  <c r="Z83" i="17" s="1"/>
  <c r="AS84" i="17"/>
  <c r="Z84" i="17" s="1"/>
  <c r="AS85" i="17"/>
  <c r="Z85" i="17" s="1"/>
  <c r="AS86" i="17"/>
  <c r="Z86" i="17" s="1"/>
  <c r="AS87" i="17"/>
  <c r="Z87" i="17" s="1"/>
  <c r="AS88" i="17"/>
  <c r="Z88" i="17" s="1"/>
  <c r="AS89" i="17"/>
  <c r="Z89" i="17" s="1"/>
  <c r="AS90" i="17"/>
  <c r="Z90" i="17" s="1"/>
  <c r="AS91" i="17"/>
  <c r="Z91" i="17" s="1"/>
  <c r="AS92" i="17"/>
  <c r="Z92" i="17" s="1"/>
  <c r="AS93" i="17"/>
  <c r="Z93" i="17" s="1"/>
  <c r="AS94" i="17"/>
  <c r="Z94" i="17" s="1"/>
  <c r="AS95" i="17"/>
  <c r="Z95" i="17" s="1"/>
  <c r="AS96" i="17"/>
  <c r="Z96" i="17" s="1"/>
  <c r="AS97" i="17"/>
  <c r="Z97" i="17" s="1"/>
  <c r="AS98" i="17"/>
  <c r="Z98" i="17" s="1"/>
  <c r="AS99" i="17"/>
  <c r="Z99" i="17" s="1"/>
  <c r="AS100" i="17"/>
  <c r="Z100" i="17" s="1"/>
  <c r="AS101" i="17"/>
  <c r="Z101" i="17" s="1"/>
  <c r="AS102" i="17"/>
  <c r="Z102" i="17" s="1"/>
  <c r="AS103" i="17"/>
  <c r="Z103" i="17" s="1"/>
  <c r="AS104" i="17"/>
  <c r="Z104" i="17" s="1"/>
  <c r="AS105" i="17"/>
  <c r="Z105" i="17" s="1"/>
  <c r="AS106" i="17"/>
  <c r="Z106" i="17" s="1"/>
  <c r="AS107" i="17"/>
  <c r="Z107" i="17" s="1"/>
  <c r="AS108" i="17"/>
  <c r="Z108" i="17" s="1"/>
  <c r="AS109" i="17"/>
  <c r="Z109" i="17" s="1"/>
  <c r="AS110" i="17"/>
  <c r="Z110" i="17" s="1"/>
  <c r="AS111" i="17"/>
  <c r="Z111" i="17" s="1"/>
  <c r="AS112" i="17"/>
  <c r="Z112" i="17" s="1"/>
  <c r="AS113" i="17"/>
  <c r="Z113" i="17" s="1"/>
  <c r="AS114" i="17"/>
  <c r="Z114" i="17" s="1"/>
  <c r="AS115" i="17"/>
  <c r="Z115" i="17" s="1"/>
  <c r="AS116" i="17"/>
  <c r="Z116" i="17" s="1"/>
  <c r="AS117" i="17"/>
  <c r="Z117" i="17" s="1"/>
  <c r="AS118" i="17"/>
  <c r="Z118" i="17" s="1"/>
  <c r="AS119" i="17"/>
  <c r="Z119" i="17" s="1"/>
  <c r="AS120" i="17"/>
  <c r="Z120" i="17" s="1"/>
  <c r="AS121" i="17"/>
  <c r="Z121" i="17" s="1"/>
  <c r="AS122" i="17"/>
  <c r="Z122" i="17" s="1"/>
  <c r="AS123" i="17"/>
  <c r="Z123" i="17" s="1"/>
  <c r="AS124" i="17"/>
  <c r="Z124" i="17" s="1"/>
  <c r="AS125" i="17"/>
  <c r="Z125" i="17" s="1"/>
  <c r="AS126" i="17"/>
  <c r="Z126" i="17" s="1"/>
  <c r="AS127" i="17"/>
  <c r="Z127" i="17" s="1"/>
  <c r="AS128" i="17"/>
  <c r="Z128" i="17" s="1"/>
  <c r="AS129" i="17"/>
  <c r="Z129" i="17" s="1"/>
  <c r="AS130" i="17"/>
  <c r="Z130" i="17" s="1"/>
  <c r="AS131" i="17"/>
  <c r="Z131" i="17" s="1"/>
  <c r="AS132" i="17"/>
  <c r="Z132" i="17" s="1"/>
  <c r="AS133" i="17"/>
  <c r="Z133" i="17" s="1"/>
  <c r="AS134" i="17"/>
  <c r="Z134" i="17" s="1"/>
  <c r="AS135" i="17"/>
  <c r="Z135" i="17" s="1"/>
  <c r="AS136" i="17"/>
  <c r="Z136" i="17" s="1"/>
  <c r="AS137" i="17"/>
  <c r="Z137" i="17" s="1"/>
  <c r="AS138" i="17"/>
  <c r="Z138" i="17" s="1"/>
  <c r="AS139" i="17"/>
  <c r="Z139" i="17" s="1"/>
  <c r="AS140" i="17"/>
  <c r="Z140" i="17" s="1"/>
  <c r="AS141" i="17"/>
  <c r="Z141" i="17" s="1"/>
  <c r="AS142" i="17"/>
  <c r="Z142" i="17" s="1"/>
  <c r="AS143" i="17"/>
  <c r="Z143" i="17" s="1"/>
  <c r="AS144" i="17"/>
  <c r="Z144" i="17" s="1"/>
  <c r="AS145" i="17"/>
  <c r="Z145" i="17" s="1"/>
  <c r="AS147" i="17"/>
  <c r="Z147" i="17" s="1"/>
  <c r="AS148" i="17"/>
  <c r="Z148" i="17" s="1"/>
  <c r="AS149" i="17"/>
  <c r="Z149" i="17" s="1"/>
  <c r="AS150" i="17"/>
  <c r="Z150" i="17" s="1"/>
  <c r="AS151" i="17"/>
  <c r="Z151" i="17" s="1"/>
  <c r="AS152" i="17"/>
  <c r="Z152" i="17" s="1"/>
  <c r="AS153" i="17"/>
  <c r="Z153" i="17" s="1"/>
  <c r="AS154" i="17"/>
  <c r="Z154" i="17" s="1"/>
  <c r="AS155" i="17"/>
  <c r="Z155" i="17" s="1"/>
  <c r="AS156" i="17"/>
  <c r="Z156" i="17" s="1"/>
  <c r="AS157" i="17"/>
  <c r="Z157" i="17" s="1"/>
  <c r="AS158" i="17"/>
  <c r="Z158" i="17" s="1"/>
  <c r="AS159" i="17"/>
  <c r="Z159" i="17" s="1"/>
  <c r="AS160" i="17"/>
  <c r="Z160" i="17" s="1"/>
  <c r="AS161" i="17"/>
  <c r="Z161" i="17" s="1"/>
  <c r="AS162" i="17"/>
  <c r="Z162" i="17" s="1"/>
  <c r="AS163" i="17"/>
  <c r="Z163" i="17" s="1"/>
  <c r="AS164" i="17"/>
  <c r="Z164" i="17" s="1"/>
  <c r="AS165" i="17"/>
  <c r="Z165" i="17" s="1"/>
  <c r="AS166" i="17"/>
  <c r="Z166" i="17" s="1"/>
  <c r="AS167" i="17"/>
  <c r="Z167" i="17" s="1"/>
  <c r="AS168" i="17"/>
  <c r="Z168" i="17" s="1"/>
  <c r="AS169" i="17"/>
  <c r="Z169" i="17" s="1"/>
  <c r="AS170" i="17"/>
  <c r="Z170" i="17" s="1"/>
  <c r="AS171" i="17"/>
  <c r="Z171" i="17" s="1"/>
  <c r="AS172" i="17"/>
  <c r="Z172" i="17" s="1"/>
  <c r="AS173" i="17"/>
  <c r="Z173" i="17" s="1"/>
  <c r="AS174" i="17"/>
  <c r="Z174" i="17" s="1"/>
  <c r="AS175" i="17"/>
  <c r="Z175" i="17" s="1"/>
  <c r="AS176" i="17"/>
  <c r="Z176" i="17" s="1"/>
  <c r="AS177" i="17"/>
  <c r="Z177" i="17" s="1"/>
  <c r="AS178" i="17"/>
  <c r="Z178" i="17" s="1"/>
  <c r="AS179" i="17"/>
  <c r="Z179" i="17" s="1"/>
  <c r="AS180" i="17"/>
  <c r="Z180" i="17" s="1"/>
  <c r="AS181" i="17"/>
  <c r="Z181" i="17" s="1"/>
  <c r="AS182" i="17"/>
  <c r="Z182" i="17" s="1"/>
  <c r="AS183" i="17"/>
  <c r="Z183" i="17" s="1"/>
  <c r="AS184" i="17"/>
  <c r="Z184" i="17" s="1"/>
  <c r="AS185" i="17"/>
  <c r="Z185" i="17" s="1"/>
  <c r="AS186" i="17"/>
  <c r="Z186" i="17" s="1"/>
  <c r="AS187" i="17"/>
  <c r="Z187" i="17" s="1"/>
  <c r="AS188" i="17"/>
  <c r="Z188" i="17" s="1"/>
  <c r="AS189" i="17"/>
  <c r="Z189" i="17" s="1"/>
  <c r="AS190" i="17"/>
  <c r="Z190" i="17" s="1"/>
  <c r="AS191" i="17"/>
  <c r="Z191" i="17" s="1"/>
  <c r="AS192" i="17"/>
  <c r="Z192" i="17" s="1"/>
  <c r="AS193" i="17"/>
  <c r="Z193" i="17" s="1"/>
  <c r="AS194" i="17"/>
  <c r="Z194" i="17" s="1"/>
  <c r="AS195" i="17"/>
  <c r="Z195" i="17" s="1"/>
  <c r="AS3" i="17"/>
  <c r="Z3" i="17" s="1"/>
  <c r="CM3" i="17" s="1"/>
  <c r="BS218" i="17" l="1"/>
  <c r="BT218" i="17"/>
  <c r="BU218" i="17"/>
  <c r="BV218" i="17"/>
  <c r="BQ218" i="17"/>
  <c r="BP218" i="17"/>
  <c r="BO218" i="17"/>
  <c r="BN218" i="17"/>
  <c r="BM218" i="17"/>
  <c r="BL218" i="17"/>
  <c r="BK218" i="17"/>
  <c r="BD218" i="17"/>
  <c r="BC218" i="17"/>
  <c r="BB218" i="17"/>
  <c r="BA218" i="17"/>
  <c r="BG218" i="17"/>
  <c r="BF218" i="17"/>
  <c r="AZ218" i="17"/>
  <c r="AY218" i="17"/>
  <c r="AX218" i="17"/>
  <c r="AW218" i="17"/>
  <c r="BE218" i="17"/>
  <c r="BR218" i="17"/>
  <c r="AV218" i="17"/>
  <c r="AD75" i="17"/>
  <c r="AD80" i="17"/>
  <c r="AD187" i="17"/>
  <c r="AD174" i="17"/>
  <c r="AD33" i="17"/>
  <c r="AD167" i="17"/>
  <c r="AD32" i="17"/>
  <c r="AD178" i="17"/>
  <c r="AD41" i="17"/>
  <c r="AD175" i="17"/>
  <c r="AD78" i="17"/>
  <c r="AD39" i="17"/>
  <c r="AD139" i="17"/>
  <c r="AD103" i="17"/>
  <c r="AD115" i="17"/>
  <c r="AD192" i="17"/>
  <c r="AD56" i="17"/>
  <c r="AD145" i="17"/>
  <c r="AD14" i="17"/>
  <c r="AD110" i="17"/>
  <c r="AD194" i="17"/>
  <c r="AD96" i="17"/>
  <c r="AD31" i="17"/>
  <c r="AD20" i="17"/>
  <c r="AD6" i="17"/>
  <c r="AD134" i="17"/>
  <c r="AD66" i="17"/>
  <c r="AD54" i="17"/>
  <c r="AD193" i="17"/>
  <c r="AD136" i="17"/>
  <c r="AD95" i="17"/>
  <c r="AD190" i="17"/>
  <c r="AD16" i="17"/>
  <c r="AD164" i="17"/>
  <c r="AD150" i="17"/>
  <c r="AD44" i="17"/>
  <c r="AD177" i="17"/>
  <c r="AD149" i="17"/>
  <c r="AD30" i="17"/>
  <c r="AD15" i="17"/>
  <c r="AD88" i="17"/>
  <c r="AD49" i="17"/>
  <c r="AD59" i="17"/>
  <c r="AD132" i="17"/>
  <c r="AD52" i="17"/>
  <c r="AD27" i="17"/>
  <c r="AD128" i="17"/>
  <c r="AD48" i="17"/>
  <c r="AS214" i="17"/>
  <c r="AD173" i="17"/>
  <c r="AD159" i="17"/>
  <c r="AD131" i="17"/>
  <c r="AD90" i="17"/>
  <c r="AD77" i="17"/>
  <c r="AD63" i="17"/>
  <c r="AD51" i="17"/>
  <c r="AD38" i="17"/>
  <c r="AD13" i="17"/>
  <c r="AD165" i="17"/>
  <c r="AD137" i="17"/>
  <c r="AD69" i="17"/>
  <c r="AD19" i="17"/>
  <c r="AD104" i="17"/>
  <c r="AD35" i="17"/>
  <c r="AD50" i="17"/>
  <c r="AD12" i="17"/>
  <c r="AD112" i="17"/>
  <c r="AD4" i="17"/>
  <c r="AD10" i="17"/>
  <c r="AD82" i="17"/>
  <c r="AD43" i="17"/>
  <c r="AD11" i="17"/>
  <c r="AD22" i="17"/>
  <c r="AD106" i="17"/>
  <c r="AD117" i="17"/>
  <c r="AB214" i="17"/>
  <c r="AD151" i="17"/>
  <c r="AD116" i="17"/>
  <c r="AD172" i="17"/>
  <c r="AD9" i="17"/>
  <c r="AD25" i="17"/>
  <c r="AD101" i="17"/>
  <c r="AD72" i="17"/>
  <c r="AD129" i="17"/>
  <c r="AD184" i="17"/>
  <c r="AD170" i="17"/>
  <c r="AD156" i="17"/>
  <c r="AD70" i="17"/>
  <c r="AD148" i="17"/>
  <c r="AD84" i="17"/>
  <c r="AD57" i="17"/>
  <c r="AD181" i="17"/>
  <c r="AD147" i="17"/>
  <c r="AD160" i="17"/>
  <c r="AD144" i="17"/>
  <c r="AD76" i="17"/>
  <c r="AD168" i="17"/>
  <c r="AD143" i="17"/>
  <c r="AD94" i="17"/>
  <c r="AD182" i="17"/>
  <c r="AD126" i="17"/>
  <c r="AD98" i="17"/>
  <c r="AD142" i="17"/>
  <c r="AD93" i="17"/>
  <c r="AD120" i="17"/>
  <c r="AD188" i="17"/>
  <c r="AD111" i="17"/>
  <c r="AD102" i="17"/>
  <c r="AD130" i="17"/>
  <c r="AD26" i="17"/>
  <c r="AD85" i="17"/>
  <c r="AD179" i="17"/>
  <c r="AD46" i="17"/>
  <c r="AD122" i="17"/>
  <c r="AD195" i="17"/>
  <c r="AD153" i="17"/>
  <c r="AD125" i="17"/>
  <c r="AD97" i="17"/>
  <c r="AD71" i="17"/>
  <c r="AD21" i="17"/>
  <c r="AD7" i="17"/>
  <c r="AD163" i="17"/>
  <c r="AD121" i="17"/>
  <c r="AD55" i="17"/>
  <c r="BW214" i="17"/>
  <c r="AD133" i="17"/>
  <c r="AD176" i="17"/>
  <c r="AD140" i="17"/>
  <c r="AD189" i="17"/>
  <c r="AD161" i="17"/>
  <c r="AD119" i="17"/>
  <c r="AD105" i="17"/>
  <c r="AD92" i="17"/>
  <c r="AD79" i="17"/>
  <c r="AD65" i="17"/>
  <c r="AD53" i="17"/>
  <c r="AD40" i="17"/>
  <c r="AD28" i="17"/>
  <c r="AD3" i="17"/>
  <c r="AD138" i="17"/>
  <c r="AD124" i="17"/>
  <c r="AD109" i="17"/>
  <c r="AD118" i="17"/>
  <c r="AD91" i="17"/>
  <c r="AD64" i="17"/>
  <c r="AD100" i="17"/>
  <c r="AD162" i="17"/>
  <c r="AA214" i="17"/>
  <c r="AD183" i="17"/>
  <c r="AD169" i="17"/>
  <c r="AD155" i="17"/>
  <c r="AD86" i="17"/>
  <c r="AD60" i="17"/>
  <c r="AD154" i="17"/>
  <c r="AD123" i="17"/>
  <c r="AD114" i="17"/>
  <c r="AD87" i="17"/>
  <c r="AD73" i="17"/>
  <c r="AD17" i="17"/>
  <c r="AD127" i="17"/>
  <c r="AD113" i="17"/>
  <c r="AD67" i="17"/>
  <c r="AD5" i="17"/>
  <c r="AD68" i="17"/>
  <c r="AD157" i="17"/>
  <c r="AD180" i="17"/>
  <c r="AD166" i="17"/>
  <c r="AD152" i="17"/>
  <c r="AD83" i="17"/>
  <c r="AD58" i="17"/>
  <c r="AD45" i="17"/>
  <c r="AD99" i="17"/>
  <c r="AD185" i="17"/>
  <c r="AD135" i="17"/>
  <c r="AD108" i="17"/>
  <c r="AD81" i="17"/>
  <c r="BH214" i="17"/>
  <c r="AD107" i="17"/>
  <c r="AD61" i="17"/>
  <c r="CL214" i="17"/>
  <c r="AD8" i="17"/>
  <c r="AD186" i="17"/>
  <c r="AD158" i="17"/>
  <c r="AD89" i="17"/>
  <c r="AD62" i="17"/>
  <c r="AD37" i="17"/>
  <c r="AC214" i="17"/>
  <c r="AD29" i="17"/>
  <c r="AD24" i="17"/>
  <c r="AD171" i="17"/>
  <c r="AD42" i="17"/>
  <c r="AD23" i="17"/>
  <c r="AD18" i="17"/>
  <c r="AD74" i="17"/>
  <c r="AD191" i="17"/>
  <c r="AD141" i="17"/>
  <c r="AD36" i="17"/>
  <c r="AD47" i="17"/>
  <c r="AD34" i="17"/>
  <c r="Z214" i="17" l="1"/>
  <c r="AD214" i="17"/>
  <c r="U4" i="17"/>
  <c r="CM4" i="17" s="1"/>
  <c r="V4" i="17"/>
  <c r="CN4" i="17" s="1"/>
  <c r="W4" i="17"/>
  <c r="CO4" i="17" s="1"/>
  <c r="X4" i="17"/>
  <c r="CP4" i="17" s="1"/>
  <c r="U5" i="17"/>
  <c r="CM5" i="17" s="1"/>
  <c r="V5" i="17"/>
  <c r="CN5" i="17" s="1"/>
  <c r="W5" i="17"/>
  <c r="CO5" i="17" s="1"/>
  <c r="X5" i="17"/>
  <c r="CP5" i="17" s="1"/>
  <c r="U6" i="17"/>
  <c r="CM6" i="17" s="1"/>
  <c r="V6" i="17"/>
  <c r="CN6" i="17" s="1"/>
  <c r="W6" i="17"/>
  <c r="CO6" i="17" s="1"/>
  <c r="X6" i="17"/>
  <c r="CP6" i="17" s="1"/>
  <c r="U7" i="17"/>
  <c r="CM7" i="17" s="1"/>
  <c r="V7" i="17"/>
  <c r="CN7" i="17" s="1"/>
  <c r="CO7" i="17"/>
  <c r="X7" i="17"/>
  <c r="CP7" i="17" s="1"/>
  <c r="U8" i="17"/>
  <c r="CM8" i="17" s="1"/>
  <c r="V8" i="17"/>
  <c r="CN8" i="17" s="1"/>
  <c r="W8" i="17"/>
  <c r="CO8" i="17" s="1"/>
  <c r="X8" i="17"/>
  <c r="CP8" i="17" s="1"/>
  <c r="U9" i="17"/>
  <c r="CM9" i="17" s="1"/>
  <c r="V9" i="17"/>
  <c r="CN9" i="17" s="1"/>
  <c r="W9" i="17"/>
  <c r="CO9" i="17" s="1"/>
  <c r="X9" i="17"/>
  <c r="CP9" i="17" s="1"/>
  <c r="U10" i="17"/>
  <c r="CM10" i="17" s="1"/>
  <c r="V10" i="17"/>
  <c r="CN10" i="17" s="1"/>
  <c r="W10" i="17"/>
  <c r="CO10" i="17" s="1"/>
  <c r="X10" i="17"/>
  <c r="CP10" i="17" s="1"/>
  <c r="U11" i="17"/>
  <c r="CM11" i="17" s="1"/>
  <c r="V11" i="17"/>
  <c r="CN11" i="17" s="1"/>
  <c r="W11" i="17"/>
  <c r="CO11" i="17" s="1"/>
  <c r="X11" i="17"/>
  <c r="CP11" i="17" s="1"/>
  <c r="U12" i="17"/>
  <c r="CM12" i="17" s="1"/>
  <c r="V12" i="17"/>
  <c r="CN12" i="17" s="1"/>
  <c r="X12" i="17"/>
  <c r="CP12" i="17" s="1"/>
  <c r="U13" i="17"/>
  <c r="CM13" i="17" s="1"/>
  <c r="V13" i="17"/>
  <c r="CN13" i="17" s="1"/>
  <c r="W13" i="17"/>
  <c r="CO13" i="17" s="1"/>
  <c r="X13" i="17"/>
  <c r="CP13" i="17" s="1"/>
  <c r="U14" i="17"/>
  <c r="CM14" i="17" s="1"/>
  <c r="V14" i="17"/>
  <c r="CN14" i="17" s="1"/>
  <c r="W14" i="17"/>
  <c r="CO14" i="17" s="1"/>
  <c r="X14" i="17"/>
  <c r="CP14" i="17" s="1"/>
  <c r="U15" i="17"/>
  <c r="CM15" i="17" s="1"/>
  <c r="V15" i="17"/>
  <c r="CN15" i="17" s="1"/>
  <c r="W15" i="17"/>
  <c r="CO15" i="17" s="1"/>
  <c r="X15" i="17"/>
  <c r="CP15" i="17" s="1"/>
  <c r="U16" i="17"/>
  <c r="CM16" i="17" s="1"/>
  <c r="V16" i="17"/>
  <c r="CN16" i="17" s="1"/>
  <c r="W16" i="17"/>
  <c r="CO16" i="17" s="1"/>
  <c r="X16" i="17"/>
  <c r="CP16" i="17" s="1"/>
  <c r="U17" i="17"/>
  <c r="CM17" i="17" s="1"/>
  <c r="V17" i="17"/>
  <c r="CN17" i="17" s="1"/>
  <c r="W17" i="17"/>
  <c r="CO17" i="17" s="1"/>
  <c r="X17" i="17"/>
  <c r="CP17" i="17" s="1"/>
  <c r="U18" i="17"/>
  <c r="CM18" i="17" s="1"/>
  <c r="V18" i="17"/>
  <c r="CN18" i="17" s="1"/>
  <c r="W18" i="17"/>
  <c r="CO18" i="17" s="1"/>
  <c r="X18" i="17"/>
  <c r="CP18" i="17" s="1"/>
  <c r="U19" i="17"/>
  <c r="CM19" i="17" s="1"/>
  <c r="V19" i="17"/>
  <c r="CN19" i="17" s="1"/>
  <c r="W19" i="17"/>
  <c r="CO19" i="17" s="1"/>
  <c r="X19" i="17"/>
  <c r="CP19" i="17" s="1"/>
  <c r="U20" i="17"/>
  <c r="CM20" i="17" s="1"/>
  <c r="V20" i="17"/>
  <c r="CN20" i="17" s="1"/>
  <c r="W20" i="17"/>
  <c r="CO20" i="17" s="1"/>
  <c r="X20" i="17"/>
  <c r="CP20" i="17" s="1"/>
  <c r="U21" i="17"/>
  <c r="CM21" i="17" s="1"/>
  <c r="V21" i="17"/>
  <c r="CN21" i="17" s="1"/>
  <c r="W21" i="17"/>
  <c r="CO21" i="17" s="1"/>
  <c r="X21" i="17"/>
  <c r="CP21" i="17" s="1"/>
  <c r="U22" i="17"/>
  <c r="CM22" i="17" s="1"/>
  <c r="V22" i="17"/>
  <c r="CN22" i="17" s="1"/>
  <c r="W22" i="17"/>
  <c r="CO22" i="17" s="1"/>
  <c r="X22" i="17"/>
  <c r="CP22" i="17" s="1"/>
  <c r="U23" i="17"/>
  <c r="CM23" i="17" s="1"/>
  <c r="V23" i="17"/>
  <c r="CN23" i="17" s="1"/>
  <c r="W23" i="17"/>
  <c r="CO23" i="17" s="1"/>
  <c r="X23" i="17"/>
  <c r="CP23" i="17" s="1"/>
  <c r="U24" i="17"/>
  <c r="CM24" i="17" s="1"/>
  <c r="V24" i="17"/>
  <c r="CN24" i="17" s="1"/>
  <c r="CO24" i="17"/>
  <c r="X24" i="17"/>
  <c r="CP24" i="17" s="1"/>
  <c r="U25" i="17"/>
  <c r="CM25" i="17" s="1"/>
  <c r="V25" i="17"/>
  <c r="CN25" i="17" s="1"/>
  <c r="CO25" i="17"/>
  <c r="X25" i="17"/>
  <c r="CP25" i="17" s="1"/>
  <c r="U26" i="17"/>
  <c r="CM26" i="17" s="1"/>
  <c r="V26" i="17"/>
  <c r="CN26" i="17" s="1"/>
  <c r="W26" i="17"/>
  <c r="CO26" i="17" s="1"/>
  <c r="X26" i="17"/>
  <c r="CP26" i="17" s="1"/>
  <c r="U27" i="17"/>
  <c r="CM27" i="17" s="1"/>
  <c r="V27" i="17"/>
  <c r="CN27" i="17" s="1"/>
  <c r="W27" i="17"/>
  <c r="CO27" i="17" s="1"/>
  <c r="X27" i="17"/>
  <c r="CP27" i="17" s="1"/>
  <c r="U28" i="17"/>
  <c r="CM28" i="17" s="1"/>
  <c r="V28" i="17"/>
  <c r="CN28" i="17" s="1"/>
  <c r="W28" i="17"/>
  <c r="CO28" i="17" s="1"/>
  <c r="X28" i="17"/>
  <c r="CP28" i="17" s="1"/>
  <c r="U29" i="17"/>
  <c r="CM29" i="17" s="1"/>
  <c r="V29" i="17"/>
  <c r="CN29" i="17" s="1"/>
  <c r="CO29" i="17"/>
  <c r="X29" i="17"/>
  <c r="CP29" i="17" s="1"/>
  <c r="U30" i="17"/>
  <c r="CM30" i="17" s="1"/>
  <c r="V30" i="17"/>
  <c r="CN30" i="17" s="1"/>
  <c r="W30" i="17"/>
  <c r="CO30" i="17" s="1"/>
  <c r="X30" i="17"/>
  <c r="CP30" i="17" s="1"/>
  <c r="U31" i="17"/>
  <c r="CM31" i="17" s="1"/>
  <c r="V31" i="17"/>
  <c r="CN31" i="17" s="1"/>
  <c r="CO31" i="17"/>
  <c r="X31" i="17"/>
  <c r="CP31" i="17" s="1"/>
  <c r="U32" i="17"/>
  <c r="CM32" i="17" s="1"/>
  <c r="V32" i="17"/>
  <c r="CN32" i="17" s="1"/>
  <c r="W32" i="17"/>
  <c r="CO32" i="17" s="1"/>
  <c r="X32" i="17"/>
  <c r="CP32" i="17" s="1"/>
  <c r="U33" i="17"/>
  <c r="CM33" i="17" s="1"/>
  <c r="V33" i="17"/>
  <c r="CN33" i="17" s="1"/>
  <c r="W33" i="17"/>
  <c r="CO33" i="17" s="1"/>
  <c r="X33" i="17"/>
  <c r="CP33" i="17" s="1"/>
  <c r="U34" i="17"/>
  <c r="CM34" i="17" s="1"/>
  <c r="V34" i="17"/>
  <c r="CN34" i="17" s="1"/>
  <c r="W34" i="17"/>
  <c r="CO34" i="17" s="1"/>
  <c r="X34" i="17"/>
  <c r="CP34" i="17" s="1"/>
  <c r="W35" i="17"/>
  <c r="CO35" i="17" s="1"/>
  <c r="X35" i="17"/>
  <c r="CP35" i="17" s="1"/>
  <c r="U36" i="17"/>
  <c r="CM36" i="17" s="1"/>
  <c r="V36" i="17"/>
  <c r="CN36" i="17" s="1"/>
  <c r="W36" i="17"/>
  <c r="CO36" i="17" s="1"/>
  <c r="X36" i="17"/>
  <c r="CP36" i="17" s="1"/>
  <c r="U37" i="17"/>
  <c r="CM37" i="17" s="1"/>
  <c r="V37" i="17"/>
  <c r="CN37" i="17" s="1"/>
  <c r="W37" i="17"/>
  <c r="CO37" i="17" s="1"/>
  <c r="X37" i="17"/>
  <c r="CP37" i="17" s="1"/>
  <c r="U38" i="17"/>
  <c r="CM38" i="17" s="1"/>
  <c r="V38" i="17"/>
  <c r="CN38" i="17" s="1"/>
  <c r="W38" i="17"/>
  <c r="CO38" i="17" s="1"/>
  <c r="X38" i="17"/>
  <c r="CP38" i="17" s="1"/>
  <c r="U39" i="17"/>
  <c r="CM39" i="17" s="1"/>
  <c r="V39" i="17"/>
  <c r="CN39" i="17" s="1"/>
  <c r="W39" i="17"/>
  <c r="CO39" i="17" s="1"/>
  <c r="X39" i="17"/>
  <c r="CP39" i="17" s="1"/>
  <c r="U40" i="17"/>
  <c r="CM40" i="17" s="1"/>
  <c r="V40" i="17"/>
  <c r="CN40" i="17" s="1"/>
  <c r="W40" i="17"/>
  <c r="CO40" i="17" s="1"/>
  <c r="X40" i="17"/>
  <c r="CP40" i="17" s="1"/>
  <c r="U41" i="17"/>
  <c r="CM41" i="17" s="1"/>
  <c r="V41" i="17"/>
  <c r="CN41" i="17" s="1"/>
  <c r="W41" i="17"/>
  <c r="CO41" i="17" s="1"/>
  <c r="X41" i="17"/>
  <c r="CP41" i="17" s="1"/>
  <c r="U42" i="17"/>
  <c r="CM42" i="17" s="1"/>
  <c r="V42" i="17"/>
  <c r="CN42" i="17" s="1"/>
  <c r="W42" i="17"/>
  <c r="CO42" i="17" s="1"/>
  <c r="X42" i="17"/>
  <c r="CP42" i="17" s="1"/>
  <c r="U43" i="17"/>
  <c r="CM43" i="17" s="1"/>
  <c r="V43" i="17"/>
  <c r="CN43" i="17" s="1"/>
  <c r="W43" i="17"/>
  <c r="CO43" i="17" s="1"/>
  <c r="X43" i="17"/>
  <c r="CP43" i="17" s="1"/>
  <c r="U44" i="17"/>
  <c r="CM44" i="17" s="1"/>
  <c r="V44" i="17"/>
  <c r="CN44" i="17" s="1"/>
  <c r="W44" i="17"/>
  <c r="CO44" i="17" s="1"/>
  <c r="X44" i="17"/>
  <c r="CP44" i="17" s="1"/>
  <c r="U45" i="17"/>
  <c r="CM45" i="17" s="1"/>
  <c r="V45" i="17"/>
  <c r="CN45" i="17" s="1"/>
  <c r="W45" i="17"/>
  <c r="CO45" i="17" s="1"/>
  <c r="X45" i="17"/>
  <c r="CP45" i="17" s="1"/>
  <c r="U46" i="17"/>
  <c r="CM46" i="17" s="1"/>
  <c r="V46" i="17"/>
  <c r="CN46" i="17" s="1"/>
  <c r="W46" i="17"/>
  <c r="CO46" i="17" s="1"/>
  <c r="X46" i="17"/>
  <c r="CP46" i="17" s="1"/>
  <c r="U47" i="17"/>
  <c r="CM47" i="17" s="1"/>
  <c r="V47" i="17"/>
  <c r="CN47" i="17" s="1"/>
  <c r="W47" i="17"/>
  <c r="CO47" i="17" s="1"/>
  <c r="X47" i="17"/>
  <c r="CP47" i="17" s="1"/>
  <c r="U48" i="17"/>
  <c r="CM48" i="17" s="1"/>
  <c r="V48" i="17"/>
  <c r="CN48" i="17" s="1"/>
  <c r="W48" i="17"/>
  <c r="CO48" i="17" s="1"/>
  <c r="X48" i="17"/>
  <c r="CP48" i="17" s="1"/>
  <c r="U49" i="17"/>
  <c r="CM49" i="17" s="1"/>
  <c r="V49" i="17"/>
  <c r="CN49" i="17" s="1"/>
  <c r="W49" i="17"/>
  <c r="CO49" i="17" s="1"/>
  <c r="X49" i="17"/>
  <c r="CP49" i="17" s="1"/>
  <c r="U50" i="17"/>
  <c r="CM50" i="17" s="1"/>
  <c r="V50" i="17"/>
  <c r="CN50" i="17" s="1"/>
  <c r="W50" i="17"/>
  <c r="CO50" i="17" s="1"/>
  <c r="X50" i="17"/>
  <c r="CP50" i="17" s="1"/>
  <c r="U51" i="17"/>
  <c r="CM51" i="17" s="1"/>
  <c r="V51" i="17"/>
  <c r="CN51" i="17" s="1"/>
  <c r="W51" i="17"/>
  <c r="CO51" i="17" s="1"/>
  <c r="X51" i="17"/>
  <c r="CP51" i="17" s="1"/>
  <c r="U52" i="17"/>
  <c r="CM52" i="17" s="1"/>
  <c r="V52" i="17"/>
  <c r="CN52" i="17" s="1"/>
  <c r="W52" i="17"/>
  <c r="CO52" i="17" s="1"/>
  <c r="X52" i="17"/>
  <c r="CP52" i="17" s="1"/>
  <c r="U53" i="17"/>
  <c r="CM53" i="17" s="1"/>
  <c r="V53" i="17"/>
  <c r="CN53" i="17" s="1"/>
  <c r="W53" i="17"/>
  <c r="CO53" i="17" s="1"/>
  <c r="X53" i="17"/>
  <c r="CP53" i="17" s="1"/>
  <c r="U54" i="17"/>
  <c r="CM54" i="17" s="1"/>
  <c r="V54" i="17"/>
  <c r="CN54" i="17" s="1"/>
  <c r="W54" i="17"/>
  <c r="CO54" i="17" s="1"/>
  <c r="X54" i="17"/>
  <c r="CP54" i="17" s="1"/>
  <c r="U55" i="17"/>
  <c r="CM55" i="17" s="1"/>
  <c r="V55" i="17"/>
  <c r="CN55" i="17" s="1"/>
  <c r="W55" i="17"/>
  <c r="CO55" i="17" s="1"/>
  <c r="X55" i="17"/>
  <c r="CP55" i="17" s="1"/>
  <c r="U56" i="17"/>
  <c r="CM56" i="17" s="1"/>
  <c r="V56" i="17"/>
  <c r="CN56" i="17" s="1"/>
  <c r="W56" i="17"/>
  <c r="CO56" i="17" s="1"/>
  <c r="X56" i="17"/>
  <c r="CP56" i="17" s="1"/>
  <c r="U57" i="17"/>
  <c r="CM57" i="17" s="1"/>
  <c r="V57" i="17"/>
  <c r="CN57" i="17" s="1"/>
  <c r="W57" i="17"/>
  <c r="CO57" i="17" s="1"/>
  <c r="X57" i="17"/>
  <c r="CP57" i="17" s="1"/>
  <c r="U58" i="17"/>
  <c r="CM58" i="17" s="1"/>
  <c r="V58" i="17"/>
  <c r="CN58" i="17" s="1"/>
  <c r="W58" i="17"/>
  <c r="CO58" i="17" s="1"/>
  <c r="X58" i="17"/>
  <c r="CP58" i="17" s="1"/>
  <c r="U59" i="17"/>
  <c r="CM59" i="17" s="1"/>
  <c r="V59" i="17"/>
  <c r="CN59" i="17" s="1"/>
  <c r="W59" i="17"/>
  <c r="CO59" i="17" s="1"/>
  <c r="X59" i="17"/>
  <c r="CP59" i="17" s="1"/>
  <c r="U60" i="17"/>
  <c r="CM60" i="17" s="1"/>
  <c r="V60" i="17"/>
  <c r="CN60" i="17" s="1"/>
  <c r="W60" i="17"/>
  <c r="CO60" i="17" s="1"/>
  <c r="X60" i="17"/>
  <c r="CP60" i="17" s="1"/>
  <c r="U61" i="17"/>
  <c r="CM61" i="17" s="1"/>
  <c r="V61" i="17"/>
  <c r="CN61" i="17" s="1"/>
  <c r="W61" i="17"/>
  <c r="CO61" i="17" s="1"/>
  <c r="X61" i="17"/>
  <c r="CP61" i="17" s="1"/>
  <c r="U62" i="17"/>
  <c r="CM62" i="17" s="1"/>
  <c r="V62" i="17"/>
  <c r="CN62" i="17" s="1"/>
  <c r="W62" i="17"/>
  <c r="CO62" i="17" s="1"/>
  <c r="X62" i="17"/>
  <c r="CP62" i="17" s="1"/>
  <c r="U63" i="17"/>
  <c r="CM63" i="17" s="1"/>
  <c r="V63" i="17"/>
  <c r="CN63" i="17" s="1"/>
  <c r="W63" i="17"/>
  <c r="CO63" i="17" s="1"/>
  <c r="X63" i="17"/>
  <c r="CP63" i="17" s="1"/>
  <c r="U64" i="17"/>
  <c r="CM64" i="17" s="1"/>
  <c r="V64" i="17"/>
  <c r="CN64" i="17" s="1"/>
  <c r="W64" i="17"/>
  <c r="CO64" i="17" s="1"/>
  <c r="X64" i="17"/>
  <c r="CP64" i="17" s="1"/>
  <c r="U65" i="17"/>
  <c r="CM65" i="17" s="1"/>
  <c r="V65" i="17"/>
  <c r="CN65" i="17" s="1"/>
  <c r="W65" i="17"/>
  <c r="CO65" i="17" s="1"/>
  <c r="X65" i="17"/>
  <c r="CP65" i="17" s="1"/>
  <c r="U66" i="17"/>
  <c r="CM66" i="17" s="1"/>
  <c r="V66" i="17"/>
  <c r="CN66" i="17" s="1"/>
  <c r="W66" i="17"/>
  <c r="CO66" i="17" s="1"/>
  <c r="X66" i="17"/>
  <c r="CP66" i="17" s="1"/>
  <c r="U67" i="17"/>
  <c r="CM67" i="17" s="1"/>
  <c r="V67" i="17"/>
  <c r="CN67" i="17" s="1"/>
  <c r="W67" i="17"/>
  <c r="CO67" i="17" s="1"/>
  <c r="X67" i="17"/>
  <c r="CP67" i="17" s="1"/>
  <c r="U68" i="17"/>
  <c r="CM68" i="17" s="1"/>
  <c r="V68" i="17"/>
  <c r="CN68" i="17" s="1"/>
  <c r="W68" i="17"/>
  <c r="CO68" i="17" s="1"/>
  <c r="X68" i="17"/>
  <c r="CP68" i="17" s="1"/>
  <c r="U69" i="17"/>
  <c r="CM69" i="17" s="1"/>
  <c r="V69" i="17"/>
  <c r="CN69" i="17" s="1"/>
  <c r="W69" i="17"/>
  <c r="CO69" i="17" s="1"/>
  <c r="X69" i="17"/>
  <c r="CP69" i="17" s="1"/>
  <c r="U70" i="17"/>
  <c r="CM70" i="17" s="1"/>
  <c r="V70" i="17"/>
  <c r="CN70" i="17" s="1"/>
  <c r="W70" i="17"/>
  <c r="CO70" i="17" s="1"/>
  <c r="X70" i="17"/>
  <c r="CP70" i="17" s="1"/>
  <c r="U71" i="17"/>
  <c r="CM71" i="17" s="1"/>
  <c r="V71" i="17"/>
  <c r="CN71" i="17" s="1"/>
  <c r="W71" i="17"/>
  <c r="CO71" i="17" s="1"/>
  <c r="X71" i="17"/>
  <c r="CP71" i="17" s="1"/>
  <c r="U72" i="17"/>
  <c r="CM72" i="17" s="1"/>
  <c r="V72" i="17"/>
  <c r="CN72" i="17" s="1"/>
  <c r="W72" i="17"/>
  <c r="CO72" i="17" s="1"/>
  <c r="X72" i="17"/>
  <c r="CP72" i="17" s="1"/>
  <c r="U73" i="17"/>
  <c r="CM73" i="17" s="1"/>
  <c r="V73" i="17"/>
  <c r="CN73" i="17" s="1"/>
  <c r="W73" i="17"/>
  <c r="CO73" i="17" s="1"/>
  <c r="X73" i="17"/>
  <c r="CP73" i="17" s="1"/>
  <c r="U74" i="17"/>
  <c r="CM74" i="17" s="1"/>
  <c r="V74" i="17"/>
  <c r="CN74" i="17" s="1"/>
  <c r="W74" i="17"/>
  <c r="CO74" i="17" s="1"/>
  <c r="X74" i="17"/>
  <c r="CP74" i="17" s="1"/>
  <c r="U75" i="17"/>
  <c r="CM75" i="17" s="1"/>
  <c r="V75" i="17"/>
  <c r="CN75" i="17" s="1"/>
  <c r="W75" i="17"/>
  <c r="CO75" i="17" s="1"/>
  <c r="X75" i="17"/>
  <c r="CP75" i="17" s="1"/>
  <c r="U76" i="17"/>
  <c r="CM76" i="17" s="1"/>
  <c r="V76" i="17"/>
  <c r="CN76" i="17" s="1"/>
  <c r="W76" i="17"/>
  <c r="CO76" i="17" s="1"/>
  <c r="X76" i="17"/>
  <c r="CP76" i="17" s="1"/>
  <c r="U77" i="17"/>
  <c r="CM77" i="17" s="1"/>
  <c r="V77" i="17"/>
  <c r="CN77" i="17" s="1"/>
  <c r="W77" i="17"/>
  <c r="CO77" i="17" s="1"/>
  <c r="X77" i="17"/>
  <c r="CP77" i="17" s="1"/>
  <c r="U78" i="17"/>
  <c r="CM78" i="17" s="1"/>
  <c r="V78" i="17"/>
  <c r="CN78" i="17" s="1"/>
  <c r="W78" i="17"/>
  <c r="CO78" i="17" s="1"/>
  <c r="X78" i="17"/>
  <c r="CP78" i="17" s="1"/>
  <c r="U79" i="17"/>
  <c r="CM79" i="17" s="1"/>
  <c r="V79" i="17"/>
  <c r="CN79" i="17" s="1"/>
  <c r="W79" i="17"/>
  <c r="CO79" i="17" s="1"/>
  <c r="X79" i="17"/>
  <c r="CP79" i="17" s="1"/>
  <c r="U80" i="17"/>
  <c r="CM80" i="17" s="1"/>
  <c r="V80" i="17"/>
  <c r="CN80" i="17" s="1"/>
  <c r="W80" i="17"/>
  <c r="CO80" i="17" s="1"/>
  <c r="X80" i="17"/>
  <c r="CP80" i="17" s="1"/>
  <c r="V81" i="17"/>
  <c r="CN81" i="17" s="1"/>
  <c r="W81" i="17"/>
  <c r="CO81" i="17" s="1"/>
  <c r="X81" i="17"/>
  <c r="CP81" i="17" s="1"/>
  <c r="U82" i="17"/>
  <c r="CM82" i="17" s="1"/>
  <c r="V82" i="17"/>
  <c r="CN82" i="17" s="1"/>
  <c r="W82" i="17"/>
  <c r="CO82" i="17" s="1"/>
  <c r="X82" i="17"/>
  <c r="CP82" i="17" s="1"/>
  <c r="U83" i="17"/>
  <c r="CM83" i="17" s="1"/>
  <c r="V83" i="17"/>
  <c r="CN83" i="17" s="1"/>
  <c r="W83" i="17"/>
  <c r="CO83" i="17" s="1"/>
  <c r="X83" i="17"/>
  <c r="CP83" i="17" s="1"/>
  <c r="U84" i="17"/>
  <c r="CM84" i="17" s="1"/>
  <c r="V84" i="17"/>
  <c r="CN84" i="17" s="1"/>
  <c r="W84" i="17"/>
  <c r="CO84" i="17" s="1"/>
  <c r="X84" i="17"/>
  <c r="CP84" i="17" s="1"/>
  <c r="U85" i="17"/>
  <c r="CM85" i="17" s="1"/>
  <c r="V85" i="17"/>
  <c r="CN85" i="17" s="1"/>
  <c r="W85" i="17"/>
  <c r="CO85" i="17" s="1"/>
  <c r="X85" i="17"/>
  <c r="CP85" i="17" s="1"/>
  <c r="U86" i="17"/>
  <c r="CM86" i="17" s="1"/>
  <c r="V86" i="17"/>
  <c r="CN86" i="17" s="1"/>
  <c r="W86" i="17"/>
  <c r="CO86" i="17" s="1"/>
  <c r="X86" i="17"/>
  <c r="CP86" i="17" s="1"/>
  <c r="U87" i="17"/>
  <c r="CM87" i="17" s="1"/>
  <c r="V87" i="17"/>
  <c r="CN87" i="17" s="1"/>
  <c r="W87" i="17"/>
  <c r="CO87" i="17" s="1"/>
  <c r="X87" i="17"/>
  <c r="CP87" i="17" s="1"/>
  <c r="U88" i="17"/>
  <c r="CM88" i="17" s="1"/>
  <c r="V88" i="17"/>
  <c r="CN88" i="17" s="1"/>
  <c r="W88" i="17"/>
  <c r="CO88" i="17" s="1"/>
  <c r="X88" i="17"/>
  <c r="CP88" i="17" s="1"/>
  <c r="U89" i="17"/>
  <c r="CM89" i="17" s="1"/>
  <c r="V89" i="17"/>
  <c r="CN89" i="17" s="1"/>
  <c r="W89" i="17"/>
  <c r="CO89" i="17" s="1"/>
  <c r="X89" i="17"/>
  <c r="CP89" i="17" s="1"/>
  <c r="U90" i="17"/>
  <c r="CM90" i="17" s="1"/>
  <c r="V90" i="17"/>
  <c r="CN90" i="17" s="1"/>
  <c r="W90" i="17"/>
  <c r="CO90" i="17" s="1"/>
  <c r="X90" i="17"/>
  <c r="CP90" i="17" s="1"/>
  <c r="U91" i="17"/>
  <c r="CM91" i="17" s="1"/>
  <c r="V91" i="17"/>
  <c r="CN91" i="17" s="1"/>
  <c r="W91" i="17"/>
  <c r="CO91" i="17" s="1"/>
  <c r="X91" i="17"/>
  <c r="CP91" i="17" s="1"/>
  <c r="U92" i="17"/>
  <c r="CM92" i="17" s="1"/>
  <c r="V92" i="17"/>
  <c r="CN92" i="17" s="1"/>
  <c r="W92" i="17"/>
  <c r="CO92" i="17" s="1"/>
  <c r="X92" i="17"/>
  <c r="CP92" i="17" s="1"/>
  <c r="V93" i="17"/>
  <c r="CN93" i="17" s="1"/>
  <c r="W93" i="17"/>
  <c r="CO93" i="17" s="1"/>
  <c r="X93" i="17"/>
  <c r="CP93" i="17" s="1"/>
  <c r="V94" i="17"/>
  <c r="CN94" i="17" s="1"/>
  <c r="W94" i="17"/>
  <c r="CO94" i="17" s="1"/>
  <c r="X94" i="17"/>
  <c r="CP94" i="17" s="1"/>
  <c r="U95" i="17"/>
  <c r="CM95" i="17" s="1"/>
  <c r="V95" i="17"/>
  <c r="CN95" i="17" s="1"/>
  <c r="W95" i="17"/>
  <c r="CO95" i="17" s="1"/>
  <c r="X95" i="17"/>
  <c r="CP95" i="17" s="1"/>
  <c r="U96" i="17"/>
  <c r="CM96" i="17" s="1"/>
  <c r="V96" i="17"/>
  <c r="CN96" i="17" s="1"/>
  <c r="W96" i="17"/>
  <c r="CO96" i="17" s="1"/>
  <c r="X96" i="17"/>
  <c r="CP96" i="17" s="1"/>
  <c r="U97" i="17"/>
  <c r="CM97" i="17" s="1"/>
  <c r="V97" i="17"/>
  <c r="CN97" i="17" s="1"/>
  <c r="W97" i="17"/>
  <c r="CO97" i="17" s="1"/>
  <c r="X97" i="17"/>
  <c r="CP97" i="17" s="1"/>
  <c r="U98" i="17"/>
  <c r="CM98" i="17" s="1"/>
  <c r="V98" i="17"/>
  <c r="CN98" i="17" s="1"/>
  <c r="W98" i="17"/>
  <c r="CO98" i="17" s="1"/>
  <c r="X98" i="17"/>
  <c r="CP98" i="17" s="1"/>
  <c r="U99" i="17"/>
  <c r="CM99" i="17" s="1"/>
  <c r="V99" i="17"/>
  <c r="CN99" i="17" s="1"/>
  <c r="W99" i="17"/>
  <c r="CO99" i="17" s="1"/>
  <c r="X99" i="17"/>
  <c r="CP99" i="17" s="1"/>
  <c r="U100" i="17"/>
  <c r="CM100" i="17" s="1"/>
  <c r="V100" i="17"/>
  <c r="CN100" i="17" s="1"/>
  <c r="W100" i="17"/>
  <c r="CO100" i="17" s="1"/>
  <c r="X100" i="17"/>
  <c r="CP100" i="17" s="1"/>
  <c r="U101" i="17"/>
  <c r="CM101" i="17" s="1"/>
  <c r="V101" i="17"/>
  <c r="CN101" i="17" s="1"/>
  <c r="W101" i="17"/>
  <c r="CO101" i="17" s="1"/>
  <c r="X101" i="17"/>
  <c r="CP101" i="17" s="1"/>
  <c r="U102" i="17"/>
  <c r="CM102" i="17" s="1"/>
  <c r="V102" i="17"/>
  <c r="CN102" i="17" s="1"/>
  <c r="W102" i="17"/>
  <c r="CO102" i="17" s="1"/>
  <c r="X102" i="17"/>
  <c r="CP102" i="17" s="1"/>
  <c r="U103" i="17"/>
  <c r="CM103" i="17" s="1"/>
  <c r="V103" i="17"/>
  <c r="CN103" i="17" s="1"/>
  <c r="W103" i="17"/>
  <c r="CO103" i="17" s="1"/>
  <c r="X103" i="17"/>
  <c r="CP103" i="17" s="1"/>
  <c r="U104" i="17"/>
  <c r="CM104" i="17" s="1"/>
  <c r="V104" i="17"/>
  <c r="CN104" i="17" s="1"/>
  <c r="W104" i="17"/>
  <c r="CO104" i="17" s="1"/>
  <c r="X104" i="17"/>
  <c r="CP104" i="17" s="1"/>
  <c r="U105" i="17"/>
  <c r="CM105" i="17" s="1"/>
  <c r="V105" i="17"/>
  <c r="CN105" i="17" s="1"/>
  <c r="W105" i="17"/>
  <c r="CO105" i="17" s="1"/>
  <c r="X105" i="17"/>
  <c r="CP105" i="17" s="1"/>
  <c r="U106" i="17"/>
  <c r="CM106" i="17" s="1"/>
  <c r="V106" i="17"/>
  <c r="CN106" i="17" s="1"/>
  <c r="W106" i="17"/>
  <c r="CO106" i="17" s="1"/>
  <c r="X106" i="17"/>
  <c r="CP106" i="17" s="1"/>
  <c r="U107" i="17"/>
  <c r="CM107" i="17" s="1"/>
  <c r="V107" i="17"/>
  <c r="CN107" i="17" s="1"/>
  <c r="W107" i="17"/>
  <c r="CO107" i="17" s="1"/>
  <c r="X107" i="17"/>
  <c r="CP107" i="17" s="1"/>
  <c r="U108" i="17"/>
  <c r="CM108" i="17" s="1"/>
  <c r="V108" i="17"/>
  <c r="CN108" i="17" s="1"/>
  <c r="W108" i="17"/>
  <c r="CO108" i="17" s="1"/>
  <c r="X108" i="17"/>
  <c r="CP108" i="17" s="1"/>
  <c r="U109" i="17"/>
  <c r="CM109" i="17" s="1"/>
  <c r="V109" i="17"/>
  <c r="CN109" i="17" s="1"/>
  <c r="W109" i="17"/>
  <c r="CO109" i="17" s="1"/>
  <c r="X109" i="17"/>
  <c r="CP109" i="17" s="1"/>
  <c r="U110" i="17"/>
  <c r="CM110" i="17" s="1"/>
  <c r="V110" i="17"/>
  <c r="CN110" i="17" s="1"/>
  <c r="W110" i="17"/>
  <c r="CO110" i="17" s="1"/>
  <c r="X110" i="17"/>
  <c r="CP110" i="17" s="1"/>
  <c r="U111" i="17"/>
  <c r="CM111" i="17" s="1"/>
  <c r="V111" i="17"/>
  <c r="CN111" i="17" s="1"/>
  <c r="W111" i="17"/>
  <c r="CO111" i="17" s="1"/>
  <c r="X111" i="17"/>
  <c r="CP111" i="17" s="1"/>
  <c r="U112" i="17"/>
  <c r="CM112" i="17" s="1"/>
  <c r="V112" i="17"/>
  <c r="CN112" i="17" s="1"/>
  <c r="W112" i="17"/>
  <c r="CO112" i="17" s="1"/>
  <c r="X112" i="17"/>
  <c r="CP112" i="17" s="1"/>
  <c r="U113" i="17"/>
  <c r="CM113" i="17" s="1"/>
  <c r="V113" i="17"/>
  <c r="CN113" i="17" s="1"/>
  <c r="W113" i="17"/>
  <c r="CO113" i="17" s="1"/>
  <c r="X113" i="17"/>
  <c r="CP113" i="17" s="1"/>
  <c r="U114" i="17"/>
  <c r="CM114" i="17" s="1"/>
  <c r="V114" i="17"/>
  <c r="CN114" i="17" s="1"/>
  <c r="W114" i="17"/>
  <c r="CO114" i="17" s="1"/>
  <c r="X114" i="17"/>
  <c r="CP114" i="17" s="1"/>
  <c r="U115" i="17"/>
  <c r="CM115" i="17" s="1"/>
  <c r="V115" i="17"/>
  <c r="CN115" i="17" s="1"/>
  <c r="W115" i="17"/>
  <c r="CO115" i="17" s="1"/>
  <c r="X115" i="17"/>
  <c r="CP115" i="17" s="1"/>
  <c r="U116" i="17"/>
  <c r="CM116" i="17" s="1"/>
  <c r="V116" i="17"/>
  <c r="CN116" i="17" s="1"/>
  <c r="W116" i="17"/>
  <c r="CO116" i="17" s="1"/>
  <c r="X116" i="17"/>
  <c r="CP116" i="17" s="1"/>
  <c r="U117" i="17"/>
  <c r="CM117" i="17" s="1"/>
  <c r="V117" i="17"/>
  <c r="CN117" i="17" s="1"/>
  <c r="W117" i="17"/>
  <c r="CO117" i="17" s="1"/>
  <c r="X117" i="17"/>
  <c r="CP117" i="17" s="1"/>
  <c r="U118" i="17"/>
  <c r="CM118" i="17" s="1"/>
  <c r="V118" i="17"/>
  <c r="CN118" i="17" s="1"/>
  <c r="W118" i="17"/>
  <c r="CO118" i="17" s="1"/>
  <c r="X118" i="17"/>
  <c r="CP118" i="17" s="1"/>
  <c r="U119" i="17"/>
  <c r="CM119" i="17" s="1"/>
  <c r="V119" i="17"/>
  <c r="CN119" i="17" s="1"/>
  <c r="W119" i="17"/>
  <c r="CO119" i="17" s="1"/>
  <c r="X119" i="17"/>
  <c r="CP119" i="17" s="1"/>
  <c r="U120" i="17"/>
  <c r="CM120" i="17" s="1"/>
  <c r="V120" i="17"/>
  <c r="CN120" i="17" s="1"/>
  <c r="W120" i="17"/>
  <c r="CO120" i="17" s="1"/>
  <c r="X120" i="17"/>
  <c r="CP120" i="17" s="1"/>
  <c r="U121" i="17"/>
  <c r="CM121" i="17" s="1"/>
  <c r="V121" i="17"/>
  <c r="CN121" i="17" s="1"/>
  <c r="W121" i="17"/>
  <c r="CO121" i="17" s="1"/>
  <c r="X121" i="17"/>
  <c r="CP121" i="17" s="1"/>
  <c r="U122" i="17"/>
  <c r="CM122" i="17" s="1"/>
  <c r="V122" i="17"/>
  <c r="CN122" i="17" s="1"/>
  <c r="W122" i="17"/>
  <c r="CO122" i="17" s="1"/>
  <c r="X122" i="17"/>
  <c r="CP122" i="17" s="1"/>
  <c r="U123" i="17"/>
  <c r="CM123" i="17" s="1"/>
  <c r="V123" i="17"/>
  <c r="CN123" i="17" s="1"/>
  <c r="W123" i="17"/>
  <c r="CO123" i="17" s="1"/>
  <c r="X123" i="17"/>
  <c r="CP123" i="17" s="1"/>
  <c r="U124" i="17"/>
  <c r="CM124" i="17" s="1"/>
  <c r="V124" i="17"/>
  <c r="CN124" i="17" s="1"/>
  <c r="W124" i="17"/>
  <c r="CO124" i="17" s="1"/>
  <c r="X124" i="17"/>
  <c r="CP124" i="17" s="1"/>
  <c r="U125" i="17"/>
  <c r="CM125" i="17" s="1"/>
  <c r="V125" i="17"/>
  <c r="CN125" i="17" s="1"/>
  <c r="W125" i="17"/>
  <c r="CO125" i="17" s="1"/>
  <c r="X125" i="17"/>
  <c r="CP125" i="17" s="1"/>
  <c r="U126" i="17"/>
  <c r="CM126" i="17" s="1"/>
  <c r="V126" i="17"/>
  <c r="CN126" i="17" s="1"/>
  <c r="W126" i="17"/>
  <c r="CO126" i="17" s="1"/>
  <c r="X126" i="17"/>
  <c r="CP126" i="17" s="1"/>
  <c r="U127" i="17"/>
  <c r="CM127" i="17" s="1"/>
  <c r="V127" i="17"/>
  <c r="CN127" i="17" s="1"/>
  <c r="W127" i="17"/>
  <c r="CO127" i="17" s="1"/>
  <c r="X127" i="17"/>
  <c r="CP127" i="17" s="1"/>
  <c r="U128" i="17"/>
  <c r="CM128" i="17" s="1"/>
  <c r="V128" i="17"/>
  <c r="CN128" i="17" s="1"/>
  <c r="W128" i="17"/>
  <c r="CO128" i="17" s="1"/>
  <c r="X128" i="17"/>
  <c r="CP128" i="17" s="1"/>
  <c r="U129" i="17"/>
  <c r="CM129" i="17" s="1"/>
  <c r="V129" i="17"/>
  <c r="CN129" i="17" s="1"/>
  <c r="W129" i="17"/>
  <c r="CO129" i="17" s="1"/>
  <c r="X129" i="17"/>
  <c r="CP129" i="17" s="1"/>
  <c r="U130" i="17"/>
  <c r="CM130" i="17" s="1"/>
  <c r="V130" i="17"/>
  <c r="CN130" i="17" s="1"/>
  <c r="W130" i="17"/>
  <c r="CO130" i="17" s="1"/>
  <c r="X130" i="17"/>
  <c r="CP130" i="17" s="1"/>
  <c r="U131" i="17"/>
  <c r="CM131" i="17" s="1"/>
  <c r="V131" i="17"/>
  <c r="CN131" i="17" s="1"/>
  <c r="W131" i="17"/>
  <c r="CO131" i="17" s="1"/>
  <c r="X131" i="17"/>
  <c r="CP131" i="17" s="1"/>
  <c r="U132" i="17"/>
  <c r="CM132" i="17" s="1"/>
  <c r="V132" i="17"/>
  <c r="CN132" i="17" s="1"/>
  <c r="W132" i="17"/>
  <c r="CO132" i="17" s="1"/>
  <c r="X132" i="17"/>
  <c r="CP132" i="17" s="1"/>
  <c r="U133" i="17"/>
  <c r="CM133" i="17" s="1"/>
  <c r="V133" i="17"/>
  <c r="CN133" i="17" s="1"/>
  <c r="W133" i="17"/>
  <c r="CO133" i="17" s="1"/>
  <c r="X133" i="17"/>
  <c r="CP133" i="17" s="1"/>
  <c r="U134" i="17"/>
  <c r="CM134" i="17" s="1"/>
  <c r="V134" i="17"/>
  <c r="CN134" i="17" s="1"/>
  <c r="W134" i="17"/>
  <c r="CO134" i="17" s="1"/>
  <c r="X134" i="17"/>
  <c r="CP134" i="17" s="1"/>
  <c r="U135" i="17"/>
  <c r="CM135" i="17" s="1"/>
  <c r="V135" i="17"/>
  <c r="CN135" i="17" s="1"/>
  <c r="W135" i="17"/>
  <c r="CO135" i="17" s="1"/>
  <c r="X135" i="17"/>
  <c r="CP135" i="17" s="1"/>
  <c r="U136" i="17"/>
  <c r="CM136" i="17" s="1"/>
  <c r="V136" i="17"/>
  <c r="CN136" i="17" s="1"/>
  <c r="W136" i="17"/>
  <c r="CO136" i="17" s="1"/>
  <c r="X136" i="17"/>
  <c r="CP136" i="17" s="1"/>
  <c r="U137" i="17"/>
  <c r="CM137" i="17" s="1"/>
  <c r="V137" i="17"/>
  <c r="CN137" i="17" s="1"/>
  <c r="W137" i="17"/>
  <c r="CO137" i="17" s="1"/>
  <c r="X137" i="17"/>
  <c r="CP137" i="17" s="1"/>
  <c r="U138" i="17"/>
  <c r="CM138" i="17" s="1"/>
  <c r="V138" i="17"/>
  <c r="CN138" i="17" s="1"/>
  <c r="W138" i="17"/>
  <c r="CO138" i="17" s="1"/>
  <c r="X138" i="17"/>
  <c r="CP138" i="17" s="1"/>
  <c r="U139" i="17"/>
  <c r="CM139" i="17" s="1"/>
  <c r="V139" i="17"/>
  <c r="CN139" i="17" s="1"/>
  <c r="W139" i="17"/>
  <c r="CO139" i="17" s="1"/>
  <c r="X139" i="17"/>
  <c r="CP139" i="17" s="1"/>
  <c r="U140" i="17"/>
  <c r="CM140" i="17" s="1"/>
  <c r="V140" i="17"/>
  <c r="CN140" i="17" s="1"/>
  <c r="W140" i="17"/>
  <c r="CO140" i="17" s="1"/>
  <c r="X140" i="17"/>
  <c r="CP140" i="17" s="1"/>
  <c r="U141" i="17"/>
  <c r="CM141" i="17" s="1"/>
  <c r="V141" i="17"/>
  <c r="CN141" i="17" s="1"/>
  <c r="W141" i="17"/>
  <c r="CO141" i="17" s="1"/>
  <c r="X141" i="17"/>
  <c r="CP141" i="17" s="1"/>
  <c r="U142" i="17"/>
  <c r="CM142" i="17" s="1"/>
  <c r="V142" i="17"/>
  <c r="CN142" i="17" s="1"/>
  <c r="W142" i="17"/>
  <c r="CO142" i="17" s="1"/>
  <c r="X142" i="17"/>
  <c r="CP142" i="17" s="1"/>
  <c r="U143" i="17"/>
  <c r="CM143" i="17" s="1"/>
  <c r="V143" i="17"/>
  <c r="CN143" i="17" s="1"/>
  <c r="W143" i="17"/>
  <c r="CO143" i="17" s="1"/>
  <c r="X143" i="17"/>
  <c r="CP143" i="17" s="1"/>
  <c r="U144" i="17"/>
  <c r="CM144" i="17" s="1"/>
  <c r="V144" i="17"/>
  <c r="CN144" i="17" s="1"/>
  <c r="W144" i="17"/>
  <c r="CO144" i="17" s="1"/>
  <c r="X144" i="17"/>
  <c r="CP144" i="17" s="1"/>
  <c r="U145" i="17"/>
  <c r="CM145" i="17" s="1"/>
  <c r="V145" i="17"/>
  <c r="CN145" i="17" s="1"/>
  <c r="W145" i="17"/>
  <c r="CO145" i="17" s="1"/>
  <c r="X145" i="17"/>
  <c r="CP145" i="17" s="1"/>
  <c r="U147" i="17"/>
  <c r="CM147" i="17" s="1"/>
  <c r="V147" i="17"/>
  <c r="CN147" i="17" s="1"/>
  <c r="W147" i="17"/>
  <c r="CO147" i="17" s="1"/>
  <c r="X147" i="17"/>
  <c r="CP147" i="17" s="1"/>
  <c r="U148" i="17"/>
  <c r="CM148" i="17" s="1"/>
  <c r="V148" i="17"/>
  <c r="CN148" i="17" s="1"/>
  <c r="W148" i="17"/>
  <c r="CO148" i="17" s="1"/>
  <c r="X148" i="17"/>
  <c r="CP148" i="17" s="1"/>
  <c r="U149" i="17"/>
  <c r="CM149" i="17" s="1"/>
  <c r="V149" i="17"/>
  <c r="CN149" i="17" s="1"/>
  <c r="W149" i="17"/>
  <c r="CO149" i="17" s="1"/>
  <c r="X149" i="17"/>
  <c r="CP149" i="17" s="1"/>
  <c r="U150" i="17"/>
  <c r="CM150" i="17" s="1"/>
  <c r="V150" i="17"/>
  <c r="CN150" i="17" s="1"/>
  <c r="W150" i="17"/>
  <c r="CO150" i="17" s="1"/>
  <c r="X150" i="17"/>
  <c r="CP150" i="17" s="1"/>
  <c r="U151" i="17"/>
  <c r="CM151" i="17" s="1"/>
  <c r="V151" i="17"/>
  <c r="CN151" i="17" s="1"/>
  <c r="W151" i="17"/>
  <c r="CO151" i="17" s="1"/>
  <c r="X151" i="17"/>
  <c r="CP151" i="17" s="1"/>
  <c r="U152" i="17"/>
  <c r="CM152" i="17" s="1"/>
  <c r="V152" i="17"/>
  <c r="CN152" i="17" s="1"/>
  <c r="W152" i="17"/>
  <c r="CO152" i="17" s="1"/>
  <c r="X152" i="17"/>
  <c r="CP152" i="17" s="1"/>
  <c r="U153" i="17"/>
  <c r="CM153" i="17" s="1"/>
  <c r="V153" i="17"/>
  <c r="CN153" i="17" s="1"/>
  <c r="W153" i="17"/>
  <c r="CO153" i="17" s="1"/>
  <c r="X153" i="17"/>
  <c r="CP153" i="17" s="1"/>
  <c r="U154" i="17"/>
  <c r="CM154" i="17" s="1"/>
  <c r="V154" i="17"/>
  <c r="CN154" i="17" s="1"/>
  <c r="W154" i="17"/>
  <c r="CO154" i="17" s="1"/>
  <c r="X154" i="17"/>
  <c r="CP154" i="17" s="1"/>
  <c r="U155" i="17"/>
  <c r="CM155" i="17" s="1"/>
  <c r="V155" i="17"/>
  <c r="CN155" i="17" s="1"/>
  <c r="W155" i="17"/>
  <c r="CO155" i="17" s="1"/>
  <c r="X155" i="17"/>
  <c r="CP155" i="17" s="1"/>
  <c r="U156" i="17"/>
  <c r="CM156" i="17" s="1"/>
  <c r="W156" i="17"/>
  <c r="CO156" i="17" s="1"/>
  <c r="X156" i="17"/>
  <c r="CP156" i="17" s="1"/>
  <c r="U157" i="17"/>
  <c r="CM157" i="17" s="1"/>
  <c r="V157" i="17"/>
  <c r="CN157" i="17" s="1"/>
  <c r="W157" i="17"/>
  <c r="CO157" i="17" s="1"/>
  <c r="X157" i="17"/>
  <c r="CP157" i="17" s="1"/>
  <c r="U158" i="17"/>
  <c r="CM158" i="17" s="1"/>
  <c r="V158" i="17"/>
  <c r="CN158" i="17" s="1"/>
  <c r="W158" i="17"/>
  <c r="CO158" i="17" s="1"/>
  <c r="X158" i="17"/>
  <c r="CP158" i="17" s="1"/>
  <c r="U159" i="17"/>
  <c r="CM159" i="17" s="1"/>
  <c r="V159" i="17"/>
  <c r="CN159" i="17" s="1"/>
  <c r="W159" i="17"/>
  <c r="CO159" i="17" s="1"/>
  <c r="X159" i="17"/>
  <c r="CP159" i="17" s="1"/>
  <c r="U160" i="17"/>
  <c r="CM160" i="17" s="1"/>
  <c r="V160" i="17"/>
  <c r="CN160" i="17" s="1"/>
  <c r="W160" i="17"/>
  <c r="CO160" i="17" s="1"/>
  <c r="X160" i="17"/>
  <c r="CP160" i="17" s="1"/>
  <c r="U161" i="17"/>
  <c r="CM161" i="17" s="1"/>
  <c r="V161" i="17"/>
  <c r="CN161" i="17" s="1"/>
  <c r="W161" i="17"/>
  <c r="CO161" i="17" s="1"/>
  <c r="X161" i="17"/>
  <c r="CP161" i="17" s="1"/>
  <c r="U162" i="17"/>
  <c r="CM162" i="17" s="1"/>
  <c r="V162" i="17"/>
  <c r="CN162" i="17" s="1"/>
  <c r="W162" i="17"/>
  <c r="CO162" i="17" s="1"/>
  <c r="X162" i="17"/>
  <c r="CP162" i="17" s="1"/>
  <c r="U163" i="17"/>
  <c r="CM163" i="17" s="1"/>
  <c r="V163" i="17"/>
  <c r="CN163" i="17" s="1"/>
  <c r="W163" i="17"/>
  <c r="CO163" i="17" s="1"/>
  <c r="X163" i="17"/>
  <c r="CP163" i="17" s="1"/>
  <c r="U164" i="17"/>
  <c r="CM164" i="17" s="1"/>
  <c r="V164" i="17"/>
  <c r="CN164" i="17" s="1"/>
  <c r="W164" i="17"/>
  <c r="CO164" i="17" s="1"/>
  <c r="X164" i="17"/>
  <c r="CP164" i="17" s="1"/>
  <c r="U165" i="17"/>
  <c r="CM165" i="17" s="1"/>
  <c r="V165" i="17"/>
  <c r="CN165" i="17" s="1"/>
  <c r="W165" i="17"/>
  <c r="CO165" i="17" s="1"/>
  <c r="X165" i="17"/>
  <c r="CP165" i="17" s="1"/>
  <c r="U166" i="17"/>
  <c r="CM166" i="17" s="1"/>
  <c r="V166" i="17"/>
  <c r="CN166" i="17" s="1"/>
  <c r="W166" i="17"/>
  <c r="CO166" i="17" s="1"/>
  <c r="X166" i="17"/>
  <c r="CP166" i="17" s="1"/>
  <c r="U167" i="17"/>
  <c r="CM167" i="17" s="1"/>
  <c r="V167" i="17"/>
  <c r="CN167" i="17" s="1"/>
  <c r="W167" i="17"/>
  <c r="CO167" i="17" s="1"/>
  <c r="X167" i="17"/>
  <c r="CP167" i="17" s="1"/>
  <c r="U168" i="17"/>
  <c r="CM168" i="17" s="1"/>
  <c r="V168" i="17"/>
  <c r="CN168" i="17" s="1"/>
  <c r="W168" i="17"/>
  <c r="CO168" i="17" s="1"/>
  <c r="X168" i="17"/>
  <c r="CP168" i="17" s="1"/>
  <c r="U169" i="17"/>
  <c r="CM169" i="17" s="1"/>
  <c r="V169" i="17"/>
  <c r="CN169" i="17" s="1"/>
  <c r="W169" i="17"/>
  <c r="CO169" i="17" s="1"/>
  <c r="X169" i="17"/>
  <c r="CP169" i="17" s="1"/>
  <c r="U170" i="17"/>
  <c r="CM170" i="17" s="1"/>
  <c r="V170" i="17"/>
  <c r="CN170" i="17" s="1"/>
  <c r="W170" i="17"/>
  <c r="CO170" i="17" s="1"/>
  <c r="X170" i="17"/>
  <c r="CP170" i="17" s="1"/>
  <c r="U171" i="17"/>
  <c r="CM171" i="17" s="1"/>
  <c r="V171" i="17"/>
  <c r="CN171" i="17" s="1"/>
  <c r="W171" i="17"/>
  <c r="CO171" i="17" s="1"/>
  <c r="X171" i="17"/>
  <c r="CP171" i="17" s="1"/>
  <c r="U172" i="17"/>
  <c r="CM172" i="17" s="1"/>
  <c r="V172" i="17"/>
  <c r="CN172" i="17" s="1"/>
  <c r="W172" i="17"/>
  <c r="CO172" i="17" s="1"/>
  <c r="X172" i="17"/>
  <c r="CP172" i="17" s="1"/>
  <c r="U173" i="17"/>
  <c r="CM173" i="17" s="1"/>
  <c r="V173" i="17"/>
  <c r="CN173" i="17" s="1"/>
  <c r="W173" i="17"/>
  <c r="CO173" i="17" s="1"/>
  <c r="X173" i="17"/>
  <c r="CP173" i="17" s="1"/>
  <c r="U174" i="17"/>
  <c r="CM174" i="17" s="1"/>
  <c r="V174" i="17"/>
  <c r="CN174" i="17" s="1"/>
  <c r="W174" i="17"/>
  <c r="CO174" i="17" s="1"/>
  <c r="X174" i="17"/>
  <c r="CP174" i="17" s="1"/>
  <c r="U175" i="17"/>
  <c r="CM175" i="17" s="1"/>
  <c r="V175" i="17"/>
  <c r="CN175" i="17" s="1"/>
  <c r="W175" i="17"/>
  <c r="CO175" i="17" s="1"/>
  <c r="X175" i="17"/>
  <c r="CP175" i="17" s="1"/>
  <c r="U176" i="17"/>
  <c r="CM176" i="17" s="1"/>
  <c r="V176" i="17"/>
  <c r="CN176" i="17" s="1"/>
  <c r="W176" i="17"/>
  <c r="CO176" i="17" s="1"/>
  <c r="X176" i="17"/>
  <c r="CP176" i="17" s="1"/>
  <c r="U177" i="17"/>
  <c r="CM177" i="17" s="1"/>
  <c r="V177" i="17"/>
  <c r="CN177" i="17" s="1"/>
  <c r="W177" i="17"/>
  <c r="CO177" i="17" s="1"/>
  <c r="X177" i="17"/>
  <c r="CP177" i="17" s="1"/>
  <c r="U178" i="17"/>
  <c r="CM178" i="17" s="1"/>
  <c r="V178" i="17"/>
  <c r="CN178" i="17" s="1"/>
  <c r="W178" i="17"/>
  <c r="CO178" i="17" s="1"/>
  <c r="X178" i="17"/>
  <c r="CP178" i="17" s="1"/>
  <c r="U179" i="17"/>
  <c r="CM179" i="17" s="1"/>
  <c r="V179" i="17"/>
  <c r="CN179" i="17" s="1"/>
  <c r="W179" i="17"/>
  <c r="CO179" i="17" s="1"/>
  <c r="X179" i="17"/>
  <c r="CP179" i="17" s="1"/>
  <c r="U180" i="17"/>
  <c r="CM180" i="17" s="1"/>
  <c r="V180" i="17"/>
  <c r="CN180" i="17" s="1"/>
  <c r="W180" i="17"/>
  <c r="CO180" i="17" s="1"/>
  <c r="X180" i="17"/>
  <c r="CP180" i="17" s="1"/>
  <c r="U181" i="17"/>
  <c r="CM181" i="17" s="1"/>
  <c r="V181" i="17"/>
  <c r="CN181" i="17" s="1"/>
  <c r="W181" i="17"/>
  <c r="CO181" i="17" s="1"/>
  <c r="X181" i="17"/>
  <c r="CP181" i="17" s="1"/>
  <c r="U182" i="17"/>
  <c r="CM182" i="17" s="1"/>
  <c r="V182" i="17"/>
  <c r="CN182" i="17" s="1"/>
  <c r="W182" i="17"/>
  <c r="CO182" i="17" s="1"/>
  <c r="X182" i="17"/>
  <c r="CP182" i="17" s="1"/>
  <c r="U183" i="17"/>
  <c r="CM183" i="17" s="1"/>
  <c r="V183" i="17"/>
  <c r="CN183" i="17" s="1"/>
  <c r="W183" i="17"/>
  <c r="CO183" i="17" s="1"/>
  <c r="X183" i="17"/>
  <c r="CP183" i="17" s="1"/>
  <c r="U184" i="17"/>
  <c r="CM184" i="17" s="1"/>
  <c r="V184" i="17"/>
  <c r="CN184" i="17" s="1"/>
  <c r="W184" i="17"/>
  <c r="CO184" i="17" s="1"/>
  <c r="X184" i="17"/>
  <c r="CP184" i="17" s="1"/>
  <c r="U185" i="17"/>
  <c r="CM185" i="17" s="1"/>
  <c r="V185" i="17"/>
  <c r="CN185" i="17" s="1"/>
  <c r="W185" i="17"/>
  <c r="CO185" i="17" s="1"/>
  <c r="X185" i="17"/>
  <c r="CP185" i="17" s="1"/>
  <c r="U186" i="17"/>
  <c r="CM186" i="17" s="1"/>
  <c r="V186" i="17"/>
  <c r="CN186" i="17" s="1"/>
  <c r="W186" i="17"/>
  <c r="CO186" i="17" s="1"/>
  <c r="X186" i="17"/>
  <c r="CP186" i="17" s="1"/>
  <c r="U187" i="17"/>
  <c r="CM187" i="17" s="1"/>
  <c r="V187" i="17"/>
  <c r="CN187" i="17" s="1"/>
  <c r="W187" i="17"/>
  <c r="CO187" i="17" s="1"/>
  <c r="X187" i="17"/>
  <c r="CP187" i="17" s="1"/>
  <c r="U188" i="17"/>
  <c r="CM188" i="17" s="1"/>
  <c r="V188" i="17"/>
  <c r="CN188" i="17" s="1"/>
  <c r="W188" i="17"/>
  <c r="CO188" i="17" s="1"/>
  <c r="X188" i="17"/>
  <c r="CP188" i="17" s="1"/>
  <c r="U189" i="17"/>
  <c r="CM189" i="17" s="1"/>
  <c r="V189" i="17"/>
  <c r="CN189" i="17" s="1"/>
  <c r="W189" i="17"/>
  <c r="CO189" i="17" s="1"/>
  <c r="X189" i="17"/>
  <c r="CP189" i="17" s="1"/>
  <c r="U190" i="17"/>
  <c r="CM190" i="17" s="1"/>
  <c r="V190" i="17"/>
  <c r="CN190" i="17" s="1"/>
  <c r="W190" i="17"/>
  <c r="CO190" i="17" s="1"/>
  <c r="X190" i="17"/>
  <c r="CP190" i="17" s="1"/>
  <c r="CM191" i="17"/>
  <c r="V191" i="17"/>
  <c r="CN191" i="17" s="1"/>
  <c r="W191" i="17"/>
  <c r="CO191" i="17" s="1"/>
  <c r="X191" i="17"/>
  <c r="CP191" i="17" s="1"/>
  <c r="U192" i="17"/>
  <c r="CM192" i="17" s="1"/>
  <c r="V192" i="17"/>
  <c r="CN192" i="17" s="1"/>
  <c r="W192" i="17"/>
  <c r="CO192" i="17" s="1"/>
  <c r="X192" i="17"/>
  <c r="CP192" i="17" s="1"/>
  <c r="U193" i="17"/>
  <c r="CM193" i="17" s="1"/>
  <c r="V193" i="17"/>
  <c r="CN193" i="17" s="1"/>
  <c r="W193" i="17"/>
  <c r="CO193" i="17" s="1"/>
  <c r="X193" i="17"/>
  <c r="CP193" i="17" s="1"/>
  <c r="U194" i="17"/>
  <c r="CM194" i="17" s="1"/>
  <c r="V194" i="17"/>
  <c r="CN194" i="17" s="1"/>
  <c r="W194" i="17"/>
  <c r="CO194" i="17" s="1"/>
  <c r="X194" i="17"/>
  <c r="CP194" i="17" s="1"/>
  <c r="U195" i="17"/>
  <c r="CM195" i="17" s="1"/>
  <c r="V195" i="17"/>
  <c r="CN195" i="17" s="1"/>
  <c r="W195" i="17"/>
  <c r="CO195" i="17" s="1"/>
  <c r="X195" i="17"/>
  <c r="CP195" i="17" s="1"/>
  <c r="V3" i="17"/>
  <c r="CN3" i="17" s="1"/>
  <c r="W3" i="17"/>
  <c r="CO3" i="17" s="1"/>
  <c r="X3" i="17"/>
  <c r="CP3" i="17" s="1"/>
  <c r="Y137" i="17" l="1"/>
  <c r="Y134" i="17"/>
  <c r="Y182" i="17"/>
  <c r="Y163" i="17"/>
  <c r="Y85" i="17"/>
  <c r="Y135" i="17"/>
  <c r="Y107" i="17"/>
  <c r="Y19" i="17"/>
  <c r="Y179" i="17"/>
  <c r="Y168" i="17"/>
  <c r="Y176" i="17"/>
  <c r="Y67" i="17"/>
  <c r="Y191" i="17"/>
  <c r="Y30" i="17"/>
  <c r="Y63" i="17"/>
  <c r="Y29" i="17"/>
  <c r="Y66" i="17"/>
  <c r="Y54" i="17"/>
  <c r="Y140" i="17"/>
  <c r="Y123" i="17"/>
  <c r="Y82" i="17"/>
  <c r="Y57" i="17"/>
  <c r="Y161" i="17"/>
  <c r="Y145" i="17"/>
  <c r="Y112" i="17"/>
  <c r="Y61" i="17"/>
  <c r="Y177" i="17"/>
  <c r="Y126" i="17"/>
  <c r="Y157" i="17"/>
  <c r="Y164" i="17"/>
  <c r="Y10" i="17"/>
  <c r="Y76" i="17"/>
  <c r="Y88" i="17"/>
  <c r="Y190" i="17"/>
  <c r="Y149" i="17"/>
  <c r="Y98" i="17"/>
  <c r="Y72" i="17"/>
  <c r="Y41" i="17"/>
  <c r="Y23" i="17"/>
  <c r="Y33" i="17"/>
  <c r="Y16" i="17"/>
  <c r="Y193" i="17"/>
  <c r="Y22" i="17"/>
  <c r="Y148" i="17"/>
  <c r="Y15" i="17"/>
  <c r="Y102" i="17"/>
  <c r="Y121" i="17"/>
  <c r="Y43" i="17"/>
  <c r="Y44" i="17"/>
  <c r="Y5" i="17"/>
  <c r="Y128" i="17"/>
  <c r="Y71" i="17"/>
  <c r="Y40" i="17"/>
  <c r="Y165" i="17"/>
  <c r="Y151" i="17"/>
  <c r="Y90" i="17"/>
  <c r="Y120" i="17"/>
  <c r="Y110" i="17"/>
  <c r="Y106" i="17"/>
  <c r="Y55" i="17"/>
  <c r="Y52" i="17"/>
  <c r="Y42" i="17"/>
  <c r="Y187" i="17"/>
  <c r="Y69" i="17"/>
  <c r="Y141" i="17"/>
  <c r="Y97" i="17"/>
  <c r="Y8" i="17"/>
  <c r="Y162" i="17"/>
  <c r="Y195" i="17"/>
  <c r="Y154" i="17"/>
  <c r="Y109" i="17"/>
  <c r="Y86" i="17"/>
  <c r="Y31" i="17"/>
  <c r="Y172" i="17"/>
  <c r="Y159" i="17"/>
  <c r="Y136" i="17"/>
  <c r="Y133" i="17"/>
  <c r="Y129" i="17"/>
  <c r="Y113" i="17"/>
  <c r="Y100" i="17"/>
  <c r="Y58" i="17"/>
  <c r="Y46" i="17"/>
  <c r="Y36" i="17"/>
  <c r="Y13" i="17"/>
  <c r="Y167" i="17"/>
  <c r="Y18" i="17"/>
  <c r="Y170" i="17"/>
  <c r="Y50" i="17"/>
  <c r="Y131" i="17"/>
  <c r="Y105" i="17"/>
  <c r="Y160" i="17"/>
  <c r="Y188" i="17"/>
  <c r="Y139" i="17"/>
  <c r="Y60" i="17"/>
  <c r="Y178" i="17"/>
  <c r="Y171" i="17"/>
  <c r="Y155" i="17"/>
  <c r="Y116" i="17"/>
  <c r="Y91" i="17"/>
  <c r="Y75" i="17"/>
  <c r="Y181" i="17"/>
  <c r="Y84" i="17"/>
  <c r="Y62" i="17"/>
  <c r="Y51" i="17"/>
  <c r="Y39" i="17"/>
  <c r="Y9" i="17"/>
  <c r="Y184" i="17"/>
  <c r="Y158" i="17"/>
  <c r="Y122" i="17"/>
  <c r="Y119" i="17"/>
  <c r="Y115" i="17"/>
  <c r="Y99" i="17"/>
  <c r="Y87" i="17"/>
  <c r="Y45" i="17"/>
  <c r="Y32" i="17"/>
  <c r="Y25" i="17"/>
  <c r="X214" i="17"/>
  <c r="Y83" i="17"/>
  <c r="Y108" i="17"/>
  <c r="Y21" i="17"/>
  <c r="Y152" i="17"/>
  <c r="Y79" i="17"/>
  <c r="Y48" i="17"/>
  <c r="Y26" i="17"/>
  <c r="Y175" i="17"/>
  <c r="Y142" i="17"/>
  <c r="Y103" i="17"/>
  <c r="Y6" i="17"/>
  <c r="Y194" i="17"/>
  <c r="Y132" i="17"/>
  <c r="Y96" i="17"/>
  <c r="Y28" i="17"/>
  <c r="Y174" i="17"/>
  <c r="Y138" i="17"/>
  <c r="Y125" i="17"/>
  <c r="Y80" i="17"/>
  <c r="Y78" i="17"/>
  <c r="Y68" i="17"/>
  <c r="Y65" i="17"/>
  <c r="Y47" i="17"/>
  <c r="Y180" i="17"/>
  <c r="Y74" i="17"/>
  <c r="Y38" i="17"/>
  <c r="Y27" i="17"/>
  <c r="Y183" i="17"/>
  <c r="Y144" i="17"/>
  <c r="Y101" i="17"/>
  <c r="Y24" i="17"/>
  <c r="Y118" i="17"/>
  <c r="Y11" i="17"/>
  <c r="Y124" i="17"/>
  <c r="Y111" i="17"/>
  <c r="Y77" i="17"/>
  <c r="Y64" i="17"/>
  <c r="Y56" i="17"/>
  <c r="Y53" i="17"/>
  <c r="Y34" i="17"/>
  <c r="Y186" i="17"/>
  <c r="Y173" i="17"/>
  <c r="Y150" i="17"/>
  <c r="Y147" i="17"/>
  <c r="Y143" i="17"/>
  <c r="Y127" i="17"/>
  <c r="Y114" i="17"/>
  <c r="Y89" i="17"/>
  <c r="Y70" i="17"/>
  <c r="Y59" i="17"/>
  <c r="Y49" i="17"/>
  <c r="Y17" i="17"/>
  <c r="Y14" i="17"/>
  <c r="Y4" i="17"/>
  <c r="Y166" i="17"/>
  <c r="Y153" i="17"/>
  <c r="Y104" i="17"/>
  <c r="Y73" i="17"/>
  <c r="Y37" i="17"/>
  <c r="Y192" i="17"/>
  <c r="Y189" i="17"/>
  <c r="Y185" i="17"/>
  <c r="Y169" i="17"/>
  <c r="Y130" i="17"/>
  <c r="Y117" i="17"/>
  <c r="Y95" i="17"/>
  <c r="Y92" i="17"/>
  <c r="Y20" i="17"/>
  <c r="Y7" i="17"/>
  <c r="Y3" i="17"/>
  <c r="T4" i="17" l="1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3" i="17"/>
  <c r="O3" i="17"/>
  <c r="P214" i="17" l="1"/>
  <c r="Q214" i="17"/>
  <c r="V156" i="17" l="1"/>
  <c r="K93" i="17"/>
  <c r="O93" i="17" s="1"/>
  <c r="L35" i="17"/>
  <c r="V35" i="17" s="1"/>
  <c r="CN35" i="17" s="1"/>
  <c r="K35" i="17"/>
  <c r="U35" i="17" l="1"/>
  <c r="CM35" i="17" s="1"/>
  <c r="O35" i="17"/>
  <c r="Y156" i="17"/>
  <c r="CN156" i="17"/>
  <c r="V214" i="17"/>
  <c r="U94" i="17"/>
  <c r="U93" i="17"/>
  <c r="U81" i="17"/>
  <c r="K214" i="17"/>
  <c r="D41" i="17"/>
  <c r="Y35" i="17" l="1"/>
  <c r="Y81" i="17"/>
  <c r="CM81" i="17"/>
  <c r="Y93" i="17"/>
  <c r="CM93" i="17"/>
  <c r="Y94" i="17"/>
  <c r="CM94" i="17"/>
  <c r="U214" i="17"/>
  <c r="J96" i="17"/>
  <c r="D91" i="17" l="1"/>
  <c r="D72" i="17"/>
  <c r="D61" i="17"/>
  <c r="D40" i="17"/>
  <c r="T214" i="17" l="1"/>
  <c r="O214" i="17" l="1"/>
  <c r="W12" i="17"/>
  <c r="CO12" i="17" s="1"/>
  <c r="J214" i="17"/>
  <c r="W214" i="17" l="1"/>
  <c r="Y12" i="17"/>
  <c r="Y214" i="17" s="1"/>
  <c r="AT33" i="22"/>
  <c r="AP33" i="22"/>
  <c r="AO33" i="22"/>
  <c r="AN33" i="22"/>
  <c r="AM33" i="22"/>
  <c r="AL33" i="22"/>
  <c r="AK33" i="22"/>
  <c r="AJ33" i="22"/>
  <c r="AI33" i="22"/>
  <c r="AG33" i="22"/>
  <c r="AE33" i="22"/>
  <c r="AD33" i="22"/>
  <c r="AB33" i="22"/>
  <c r="Y33" i="22"/>
  <c r="X33" i="22"/>
  <c r="W33" i="22"/>
  <c r="V33" i="22"/>
  <c r="U33" i="22"/>
  <c r="T33" i="22"/>
  <c r="S33" i="22"/>
  <c r="R33" i="22"/>
  <c r="Q33" i="22"/>
  <c r="P33" i="22"/>
  <c r="O33" i="22"/>
  <c r="L33" i="22"/>
  <c r="K33" i="22"/>
  <c r="J33" i="22"/>
  <c r="I33" i="22"/>
  <c r="H33" i="22"/>
  <c r="AR28" i="22"/>
  <c r="AX28" i="22" s="1"/>
  <c r="AQ28" i="22"/>
  <c r="Z28" i="22"/>
  <c r="AS28" i="22" s="1"/>
  <c r="AU28" i="22" s="1"/>
  <c r="AV28" i="22" s="1"/>
  <c r="AY28" i="22" s="1"/>
  <c r="N28" i="22"/>
  <c r="AX27" i="22"/>
  <c r="AR27" i="22"/>
  <c r="AQ27" i="22"/>
  <c r="Z27" i="22"/>
  <c r="AS27" i="22" s="1"/>
  <c r="AU27" i="22" s="1"/>
  <c r="AV27" i="22" s="1"/>
  <c r="AY27" i="22" s="1"/>
  <c r="N27" i="22"/>
  <c r="AR26" i="22"/>
  <c r="AX26" i="22" s="1"/>
  <c r="AQ26" i="22"/>
  <c r="Z26" i="22"/>
  <c r="AS26" i="22" s="1"/>
  <c r="AU26" i="22" s="1"/>
  <c r="AV26" i="22" s="1"/>
  <c r="AY26" i="22" s="1"/>
  <c r="N26" i="22"/>
  <c r="AW26" i="22" s="1"/>
  <c r="AS25" i="22"/>
  <c r="AU25" i="22" s="1"/>
  <c r="AV25" i="22" s="1"/>
  <c r="AY25" i="22" s="1"/>
  <c r="AR25" i="22"/>
  <c r="AX25" i="22" s="1"/>
  <c r="AQ25" i="22"/>
  <c r="AH25" i="22"/>
  <c r="Z25" i="22"/>
  <c r="N25" i="22"/>
  <c r="AW25" i="22" s="1"/>
  <c r="AX24" i="22"/>
  <c r="AR24" i="22"/>
  <c r="AQ24" i="22"/>
  <c r="AH24" i="22"/>
  <c r="Z24" i="22"/>
  <c r="AS24" i="22" s="1"/>
  <c r="AU24" i="22" s="1"/>
  <c r="AV24" i="22" s="1"/>
  <c r="AY24" i="22" s="1"/>
  <c r="N24" i="22"/>
  <c r="AR23" i="22"/>
  <c r="AQ23" i="22"/>
  <c r="AH23" i="22"/>
  <c r="AX23" i="22" s="1"/>
  <c r="Z23" i="22"/>
  <c r="AS23" i="22" s="1"/>
  <c r="AU23" i="22" s="1"/>
  <c r="AV23" i="22" s="1"/>
  <c r="AY23" i="22" s="1"/>
  <c r="N23" i="22"/>
  <c r="AW23" i="22" s="1"/>
  <c r="AX22" i="22"/>
  <c r="AR22" i="22"/>
  <c r="AQ22" i="22"/>
  <c r="AH22" i="22"/>
  <c r="Z22" i="22"/>
  <c r="AS22" i="22" s="1"/>
  <c r="AU22" i="22" s="1"/>
  <c r="AV22" i="22" s="1"/>
  <c r="AY22" i="22" s="1"/>
  <c r="N22" i="22"/>
  <c r="AW22" i="22" s="1"/>
  <c r="AR21" i="22"/>
  <c r="AQ21" i="22"/>
  <c r="AH21" i="22"/>
  <c r="AX21" i="22" s="1"/>
  <c r="Z21" i="22"/>
  <c r="N21" i="22"/>
  <c r="AR20" i="22"/>
  <c r="AQ20" i="22"/>
  <c r="AH20" i="22"/>
  <c r="Z20" i="22"/>
  <c r="N20" i="22"/>
  <c r="AR19" i="22"/>
  <c r="AQ19" i="22"/>
  <c r="AH19" i="22"/>
  <c r="AX19" i="22" s="1"/>
  <c r="Z19" i="22"/>
  <c r="AS19" i="22" s="1"/>
  <c r="AU19" i="22" s="1"/>
  <c r="AV19" i="22" s="1"/>
  <c r="AY19" i="22" s="1"/>
  <c r="N19" i="22"/>
  <c r="AS18" i="22"/>
  <c r="AU18" i="22" s="1"/>
  <c r="AV18" i="22" s="1"/>
  <c r="AY18" i="22" s="1"/>
  <c r="AR18" i="22"/>
  <c r="AQ18" i="22"/>
  <c r="AH18" i="22"/>
  <c r="Z18" i="22"/>
  <c r="N18" i="22"/>
  <c r="AW18" i="22" s="1"/>
  <c r="AR17" i="22"/>
  <c r="AX17" i="22" s="1"/>
  <c r="AQ17" i="22"/>
  <c r="AH17" i="22"/>
  <c r="Z17" i="22"/>
  <c r="N17" i="22"/>
  <c r="AR16" i="22"/>
  <c r="AQ16" i="22"/>
  <c r="AH16" i="22"/>
  <c r="AX16" i="22" s="1"/>
  <c r="Z16" i="22"/>
  <c r="N16" i="22"/>
  <c r="AR15" i="22"/>
  <c r="AQ15" i="22"/>
  <c r="AH15" i="22"/>
  <c r="AX15" i="22" s="1"/>
  <c r="Z15" i="22"/>
  <c r="AS15" i="22" s="1"/>
  <c r="AU15" i="22" s="1"/>
  <c r="AV15" i="22" s="1"/>
  <c r="AY15" i="22" s="1"/>
  <c r="N15" i="22"/>
  <c r="AX14" i="22"/>
  <c r="AR14" i="22"/>
  <c r="AQ14" i="22"/>
  <c r="AH14" i="22"/>
  <c r="Z14" i="22"/>
  <c r="N14" i="22"/>
  <c r="AW14" i="22" s="1"/>
  <c r="AX13" i="22"/>
  <c r="AR13" i="22"/>
  <c r="AQ13" i="22"/>
  <c r="AH13" i="22"/>
  <c r="Z13" i="22"/>
  <c r="AS13" i="22" s="1"/>
  <c r="AU13" i="22" s="1"/>
  <c r="AV13" i="22" s="1"/>
  <c r="AY13" i="22" s="1"/>
  <c r="M13" i="22"/>
  <c r="N13" i="22" s="1"/>
  <c r="AR12" i="22"/>
  <c r="AS12" i="22" s="1"/>
  <c r="AU12" i="22" s="1"/>
  <c r="AV12" i="22" s="1"/>
  <c r="AY12" i="22" s="1"/>
  <c r="AQ12" i="22"/>
  <c r="AH12" i="22"/>
  <c r="AX12" i="22" s="1"/>
  <c r="Z12" i="22"/>
  <c r="N12" i="22"/>
  <c r="AR11" i="22"/>
  <c r="AQ11" i="22"/>
  <c r="AH11" i="22"/>
  <c r="AX11" i="22" s="1"/>
  <c r="Z11" i="22"/>
  <c r="AS11" i="22" s="1"/>
  <c r="AU11" i="22" s="1"/>
  <c r="N11" i="22"/>
  <c r="AW11" i="22" s="1"/>
  <c r="M11" i="22"/>
  <c r="M33" i="22" s="1"/>
  <c r="G11" i="22"/>
  <c r="AV11" i="22" s="1"/>
  <c r="AY11" i="22" s="1"/>
  <c r="AR10" i="22"/>
  <c r="AQ10" i="22"/>
  <c r="AH10" i="22"/>
  <c r="AX10" i="22" s="1"/>
  <c r="Z10" i="22"/>
  <c r="AS10" i="22" s="1"/>
  <c r="AU10" i="22" s="1"/>
  <c r="AV10" i="22" s="1"/>
  <c r="AY10" i="22" s="1"/>
  <c r="N10" i="22"/>
  <c r="AR9" i="22"/>
  <c r="AQ9" i="22"/>
  <c r="AH9" i="22"/>
  <c r="AX9" i="22" s="1"/>
  <c r="Z9" i="22"/>
  <c r="AS9" i="22" s="1"/>
  <c r="AU9" i="22" s="1"/>
  <c r="AV9" i="22" s="1"/>
  <c r="AY9" i="22" s="1"/>
  <c r="N9" i="22"/>
  <c r="AR8" i="22"/>
  <c r="AQ8" i="22"/>
  <c r="AH8" i="22"/>
  <c r="Z8" i="22"/>
  <c r="N8" i="22"/>
  <c r="AW8" i="22" s="1"/>
  <c r="AR7" i="22"/>
  <c r="AQ7" i="22"/>
  <c r="AH7" i="22"/>
  <c r="AX7" i="22" s="1"/>
  <c r="Z7" i="22"/>
  <c r="N7" i="22"/>
  <c r="AR6" i="22"/>
  <c r="AQ6" i="22"/>
  <c r="AH6" i="22"/>
  <c r="AX6" i="22" s="1"/>
  <c r="AF6" i="22"/>
  <c r="AF33" i="22" s="1"/>
  <c r="AC6" i="22"/>
  <c r="AC33" i="22" s="1"/>
  <c r="AA6" i="22"/>
  <c r="AA33" i="22" s="1"/>
  <c r="Z6" i="22"/>
  <c r="N6" i="22"/>
  <c r="G6" i="22"/>
  <c r="AR5" i="22"/>
  <c r="AQ5" i="22"/>
  <c r="AH5" i="22"/>
  <c r="AX5" i="22" s="1"/>
  <c r="Z5" i="22"/>
  <c r="N5" i="22"/>
  <c r="AR4" i="22"/>
  <c r="AQ4" i="22"/>
  <c r="AH4" i="22"/>
  <c r="AX4" i="22" s="1"/>
  <c r="Z4" i="22"/>
  <c r="AS4" i="22" s="1"/>
  <c r="AU4" i="22" s="1"/>
  <c r="AV4" i="22" s="1"/>
  <c r="AY4" i="22" s="1"/>
  <c r="N4" i="22"/>
  <c r="AX3" i="22"/>
  <c r="AR3" i="22"/>
  <c r="AQ3" i="22"/>
  <c r="AH3" i="22"/>
  <c r="Z3" i="22"/>
  <c r="N3" i="22"/>
  <c r="AW3" i="22" s="1"/>
  <c r="AW4" i="22" l="1"/>
  <c r="AW9" i="22"/>
  <c r="AW15" i="22"/>
  <c r="AS17" i="22"/>
  <c r="AU17" i="22" s="1"/>
  <c r="AV17" i="22" s="1"/>
  <c r="AY17" i="22" s="1"/>
  <c r="AW19" i="22"/>
  <c r="AX20" i="22"/>
  <c r="Z33" i="22"/>
  <c r="AQ33" i="22"/>
  <c r="AS6" i="22"/>
  <c r="AU6" i="22" s="1"/>
  <c r="AS14" i="22"/>
  <c r="AU14" i="22" s="1"/>
  <c r="AV14" i="22" s="1"/>
  <c r="AY14" i="22" s="1"/>
  <c r="AW17" i="22"/>
  <c r="AW21" i="22"/>
  <c r="AS20" i="22"/>
  <c r="AU20" i="22" s="1"/>
  <c r="AV20" i="22" s="1"/>
  <c r="AY20" i="22" s="1"/>
  <c r="AH33" i="22"/>
  <c r="AW6" i="22"/>
  <c r="AS8" i="22"/>
  <c r="AU8" i="22" s="1"/>
  <c r="AV8" i="22" s="1"/>
  <c r="AY8" i="22" s="1"/>
  <c r="AW13" i="22"/>
  <c r="AX18" i="22"/>
  <c r="AS21" i="22"/>
  <c r="AU21" i="22" s="1"/>
  <c r="AV21" i="22" s="1"/>
  <c r="AY21" i="22" s="1"/>
  <c r="AW24" i="22"/>
  <c r="AW5" i="22"/>
  <c r="AW7" i="22"/>
  <c r="AX8" i="22"/>
  <c r="AX33" i="22" s="1"/>
  <c r="AW12" i="22"/>
  <c r="AW16" i="22"/>
  <c r="AW27" i="22"/>
  <c r="AR33" i="22"/>
  <c r="AS5" i="22"/>
  <c r="AU5" i="22" s="1"/>
  <c r="AV5" i="22" s="1"/>
  <c r="AY5" i="22" s="1"/>
  <c r="AS7" i="22"/>
  <c r="AU7" i="22" s="1"/>
  <c r="AV7" i="22" s="1"/>
  <c r="AY7" i="22" s="1"/>
  <c r="AW10" i="22"/>
  <c r="AS16" i="22"/>
  <c r="AU16" i="22" s="1"/>
  <c r="AV16" i="22" s="1"/>
  <c r="AY16" i="22" s="1"/>
  <c r="AW20" i="22"/>
  <c r="AV6" i="22"/>
  <c r="AY6" i="22" s="1"/>
  <c r="AW28" i="22"/>
  <c r="N33" i="22"/>
  <c r="G33" i="22"/>
  <c r="AS3" i="22"/>
  <c r="AW33" i="22" l="1"/>
  <c r="AU3" i="22"/>
  <c r="AS33" i="22"/>
  <c r="AU33" i="22" l="1"/>
  <c r="AV3" i="22"/>
  <c r="AY3" i="22" l="1"/>
  <c r="AV33" i="22"/>
  <c r="M214" i="17" l="1"/>
  <c r="L214" i="17" l="1"/>
  <c r="N214" i="17"/>
  <c r="R214" i="17"/>
  <c r="S214" i="17"/>
</calcChain>
</file>

<file path=xl/sharedStrings.xml><?xml version="1.0" encoding="utf-8"?>
<sst xmlns="http://schemas.openxmlformats.org/spreadsheetml/2006/main" count="2818" uniqueCount="588">
  <si>
    <t>S.No.</t>
  </si>
  <si>
    <t>CDD</t>
  </si>
  <si>
    <t>Equipment Name</t>
  </si>
  <si>
    <t>Category</t>
  </si>
  <si>
    <t>Customer</t>
  </si>
  <si>
    <t>Total Purchase Budget</t>
  </si>
  <si>
    <t>MRM</t>
  </si>
  <si>
    <t>MBOS</t>
  </si>
  <si>
    <t>MBOD</t>
  </si>
  <si>
    <t>MSC</t>
  </si>
  <si>
    <t>LOG</t>
  </si>
  <si>
    <t>Fabrication</t>
  </si>
  <si>
    <t>Total</t>
  </si>
  <si>
    <t>Assembly</t>
  </si>
  <si>
    <t>Total Hours</t>
  </si>
  <si>
    <t xml:space="preserve">Total Hours Cost
</t>
  </si>
  <si>
    <t>BO/FIM
(LLD)</t>
  </si>
  <si>
    <t>Machining-2 
(RD,UD &amp; HMT)</t>
  </si>
  <si>
    <t>Total Manufacturing Budget</t>
  </si>
  <si>
    <t>Hours</t>
  </si>
  <si>
    <t xml:space="preserve"> Budget</t>
  </si>
  <si>
    <t>Cost</t>
  </si>
  <si>
    <t>DIRECT</t>
  </si>
  <si>
    <t>SERVICE</t>
  </si>
  <si>
    <t>WBS</t>
  </si>
  <si>
    <t>VOITH</t>
  </si>
  <si>
    <t>RRAN</t>
  </si>
  <si>
    <t>PADE</t>
  </si>
  <si>
    <t>GRAND TOTAL</t>
  </si>
  <si>
    <t>TATA-JSR</t>
  </si>
  <si>
    <t>TATA-KPO</t>
  </si>
  <si>
    <t>Total Material
 Cost</t>
  </si>
  <si>
    <t>SAHAXAVI</t>
  </si>
  <si>
    <t>Project Budget Value (INR)</t>
  </si>
  <si>
    <t>PRRR</t>
  </si>
  <si>
    <t>TAKRAF</t>
  </si>
  <si>
    <t>AMNS-HAZIRA</t>
  </si>
  <si>
    <t>Project Result</t>
  </si>
  <si>
    <t>Purchase Order Commitments
( B )</t>
  </si>
  <si>
    <t>Total EXP. Order Cost
( A+B)</t>
  </si>
  <si>
    <t>SCM Result</t>
  </si>
  <si>
    <t>Zero Date</t>
  </si>
  <si>
    <t>Planner</t>
  </si>
  <si>
    <t>Manufacturing Result</t>
  </si>
  <si>
    <t>Turret Base</t>
  </si>
  <si>
    <t>ASDH01</t>
  </si>
  <si>
    <t>Machining -1
(SKODA+INNSE+GIANA+5 Axis)</t>
  </si>
  <si>
    <t>Total
Manufacturing Cost  2022
( A )</t>
  </si>
  <si>
    <t>FINAL MACHINING &amp; ASSEMBLY OF WORK ROLL CHOCKS - 2 SETS</t>
  </si>
  <si>
    <t xml:space="preserve">LADLE TURRET WEDGE TYPE 1 </t>
  </si>
  <si>
    <t>WBS/SO</t>
  </si>
  <si>
    <t>HOA PHAT</t>
  </si>
  <si>
    <t xml:space="preserve">GANTRY ASSEMBLY </t>
  </si>
  <si>
    <t>TRUNNION RING</t>
  </si>
  <si>
    <t>JSOL-ANGUL</t>
  </si>
  <si>
    <t>Converter Trunnion Ring</t>
  </si>
  <si>
    <t>Lamella Suspension</t>
  </si>
  <si>
    <t>AURUBIS-USA</t>
  </si>
  <si>
    <t xml:space="preserve">
Gross
Margin
%</t>
  </si>
  <si>
    <t>Convertor Vessel (Unit -1)</t>
  </si>
  <si>
    <t>ET430076201-72004060</t>
  </si>
  <si>
    <t>ADJUSTABLE SKIRT &amp; COOLING RING</t>
  </si>
  <si>
    <t>JEAM01</t>
  </si>
  <si>
    <t xml:space="preserve">Mandrel Spares </t>
  </si>
  <si>
    <t>Mandrel Spares -Segments</t>
  </si>
  <si>
    <t>LF ROOF</t>
  </si>
  <si>
    <t>MANDREL THRUST BLOCK SPARE ITEMS</t>
  </si>
  <si>
    <t>SMS-BAHRAIN</t>
  </si>
  <si>
    <t>GGN 
BOOKED</t>
  </si>
  <si>
    <t>Converter Oxygen Lance - 2 Nos</t>
  </si>
  <si>
    <t>HOUSING &amp; BEARING ASSEMBLY (IS12/450)</t>
  </si>
  <si>
    <t>Machining -1
(SKODA+INNSE+GIANA+ 5 Axis+VTL+HMC)</t>
  </si>
  <si>
    <t>Machining-2 
Others Machine</t>
  </si>
  <si>
    <t>Converter vessel</t>
  </si>
  <si>
    <t>PAUL WURTH-LUXEMBOURG</t>
  </si>
  <si>
    <t>SMS Concast AG</t>
  </si>
  <si>
    <t>TUNDISH</t>
  </si>
  <si>
    <t>Segment 8</t>
  </si>
  <si>
    <t>LANTERN PINION SEGMENT</t>
  </si>
  <si>
    <t>TIGHTENER DISC SPRING 763 MM</t>
  </si>
  <si>
    <t>C00450X010.99.1000</t>
  </si>
  <si>
    <t>C00525X010.1000</t>
  </si>
  <si>
    <t>A03141M220.21.20P0110</t>
  </si>
  <si>
    <t>A03141M220.22.20P0110</t>
  </si>
  <si>
    <t>A03141M220.21.10.10P1150</t>
  </si>
  <si>
    <t>A03141M220.40.10.40P1020</t>
  </si>
  <si>
    <t>A03332M610.60.20.30P1000</t>
  </si>
  <si>
    <t>A03332M610.60.20.30P2000</t>
  </si>
  <si>
    <t>A03332M610.60.20.30P3000</t>
  </si>
  <si>
    <t>C00596X010.1000
C00596X010.2000</t>
  </si>
  <si>
    <t>A03314M220.21.10.10P1000</t>
  </si>
  <si>
    <t>C00629X010.1000</t>
  </si>
  <si>
    <t>C00630X010.1000</t>
  </si>
  <si>
    <t>A03394M220.20.10.10P1000</t>
  </si>
  <si>
    <t>C00656X010.1000</t>
  </si>
  <si>
    <t>Ladle Transport Car No.1</t>
  </si>
  <si>
    <t>Ladle Transport Car No.2</t>
  </si>
  <si>
    <t>Ladle Transport Car No.3</t>
  </si>
  <si>
    <t>C00686X010.1000</t>
  </si>
  <si>
    <t>A03080M221.20.10.10P1350</t>
  </si>
  <si>
    <t>A03080M221.20.10.10P1400</t>
  </si>
  <si>
    <t>A03080M221.20.10.10P1050</t>
  </si>
  <si>
    <t>Drive Side Trunnion Pin</t>
  </si>
  <si>
    <t>Non drive side trunnion pin</t>
  </si>
  <si>
    <t>Lip Ring Segment 1 Nos</t>
  </si>
  <si>
    <t>A03314M220.21.10.10P1010</t>
  </si>
  <si>
    <t>A03141M220.21.10.10P1050</t>
  </si>
  <si>
    <t>GOKR</t>
  </si>
  <si>
    <t>UNDER CARRIAGE BOTTOM PART</t>
  </si>
  <si>
    <t>Bogies &amp; Equalisers Service</t>
  </si>
  <si>
    <t>ET470089284-72004880</t>
  </si>
  <si>
    <t>UPPER SELING RING COMPONENTS</t>
  </si>
  <si>
    <t>FLUX CHUTES</t>
  </si>
  <si>
    <t>ET470089468-72004894</t>
  </si>
  <si>
    <t>Freight</t>
  </si>
  <si>
    <t>Packing</t>
  </si>
  <si>
    <t>TATA-NINL</t>
  </si>
  <si>
    <t>A03307M220.40.10.10P1010</t>
  </si>
  <si>
    <t>C00593X010.1000
C00593X010.2000
C00593X010.3000
C00593X010.4000</t>
  </si>
  <si>
    <t>C00683X010.1000</t>
  </si>
  <si>
    <t>C00687X010.3000</t>
  </si>
  <si>
    <t>.</t>
  </si>
  <si>
    <t>MBOD  
( Drawing Parts)</t>
  </si>
  <si>
    <t>MBOS
(Standard Parts)</t>
  </si>
  <si>
    <t>MRM 
(Plate, Structural &amp; Pipe)</t>
  </si>
  <si>
    <t>FIM/LLD</t>
  </si>
  <si>
    <t>Others
(Bank service, Business Trip, Indirect Materail cost &amp; Miscellaneous Expenses</t>
  </si>
  <si>
    <t>Consumables</t>
  </si>
  <si>
    <t>Adjustment 
Cost</t>
  </si>
  <si>
    <t xml:space="preserve">Adjustment
 Hours </t>
  </si>
  <si>
    <t>C00594X010
C00595X010</t>
  </si>
  <si>
    <t>FIXED HOOD LD2</t>
  </si>
  <si>
    <t>SEGMENT 9_14</t>
  </si>
  <si>
    <t>A03520M220.20.20P0110</t>
  </si>
  <si>
    <t>A03520M220.85P1000</t>
  </si>
  <si>
    <t>Blowing lance body</t>
  </si>
  <si>
    <t>operational change parts oxygen lance</t>
  </si>
  <si>
    <t>A03520M220.40.10.50P1010</t>
  </si>
  <si>
    <t>Electrode Arms - PCA</t>
  </si>
  <si>
    <t>Electrode Clamp Assbly-Spare</t>
  </si>
  <si>
    <t>Contact Pad- Spare</t>
  </si>
  <si>
    <t>ROLLER ASSEMBLY</t>
  </si>
  <si>
    <t>COOLING STACK 1 to 5 &amp; COVER</t>
  </si>
  <si>
    <t>DEWATERING DRUM</t>
  </si>
  <si>
    <t>INTERCONNECTING PIPING</t>
  </si>
  <si>
    <t>A03520M220.20.70.44P0500</t>
  </si>
  <si>
    <t>A03508M120.10.12P3000
A03508M120.96.01P2000</t>
  </si>
  <si>
    <t>TUYERE STOCK
(MAIN -24+SPARE -5)  
MOUNTING JIG 
REFRACTORY JIG 
DOWNLEG &amp; ELBOW-BLOWPIPE 
DISMANTLING DEVICE</t>
  </si>
  <si>
    <t>DOWNLEG ARRANGEMENT</t>
  </si>
  <si>
    <t>A03520M220.35.20.40P1100</t>
  </si>
  <si>
    <t>TEEMING LADLE TRANSFER CAR AT LF</t>
  </si>
  <si>
    <t>A03520M220.86.30P0100</t>
  </si>
  <si>
    <t>A03520M220.86.30P0200</t>
  </si>
  <si>
    <t>EAF TILTING PLATFORM &amp; SUBSTRUCTRES</t>
  </si>
  <si>
    <t>MOLD OSCILLATION UNIT &amp; MOLD CARRIER</t>
  </si>
  <si>
    <t>Main cylinder with platten with bush</t>
  </si>
  <si>
    <t>Rejeesh</t>
  </si>
  <si>
    <t>Ravi Ranjan</t>
  </si>
  <si>
    <t>Kameshwaran</t>
  </si>
  <si>
    <t>Amulya Jena</t>
  </si>
  <si>
    <t>TWIN LADLE FURNACE WATER COOLED ROOF</t>
  </si>
  <si>
    <t>LOWER SHELL</t>
  </si>
  <si>
    <t>KRISHNASIS</t>
  </si>
  <si>
    <t>A03520M220.86.40P0200</t>
  </si>
  <si>
    <t>SPARES FOR LADLE TRANSFER CARS-GEARBOX,COUPLINGS,BRAKE,BEARING,DRIVE WHEEL ASSLY</t>
  </si>
  <si>
    <t>STEEL TEEMING LADLE</t>
  </si>
  <si>
    <t>SO</t>
  </si>
  <si>
    <t xml:space="preserve">FINAL MACHINING OF EDGER HOUSING CASSETTE ASSEMBLY WITH LINERS </t>
  </si>
  <si>
    <t>ARUN KUMAR</t>
  </si>
  <si>
    <t>A03520M220.55.40.20P0100</t>
  </si>
  <si>
    <t>LADLE TILTER</t>
  </si>
  <si>
    <t>CHASSIS FRAME</t>
  </si>
  <si>
    <t>ROLL CHOCK ASSEMBLY UR/UF &amp; EDGER</t>
  </si>
  <si>
    <t>SEGMENT 11</t>
  </si>
  <si>
    <t>REJEESH</t>
  </si>
  <si>
    <t xml:space="preserve">AMULYA JENA </t>
  </si>
  <si>
    <t>AVIJIT SAHA</t>
  </si>
  <si>
    <t>SEGMENT 12</t>
  </si>
  <si>
    <t>SANGRAM SWAIN</t>
  </si>
  <si>
    <t>ET560065841</t>
  </si>
  <si>
    <t>ET560067341</t>
  </si>
  <si>
    <t>ET430095286</t>
  </si>
  <si>
    <t>ET460096489</t>
  </si>
  <si>
    <t>REFURBISHMENT OF DSITRIBUTION CHUITE</t>
  </si>
  <si>
    <t>ELECTRODE ARM ASSEMBLY</t>
  </si>
  <si>
    <t>REFURBISHMENT OF DSITRIBUTION CHUTE MIDI L-3.6M</t>
  </si>
  <si>
    <t>ECCENTRIC WHEL ASSEMBLY</t>
  </si>
  <si>
    <t>WEAR PLATES</t>
  </si>
  <si>
    <t>REFURBISHMENT OF LSV/USV DRIVE</t>
  </si>
  <si>
    <t>RAVI RANJAN</t>
  </si>
  <si>
    <t>SKIP CAR ASSEMBLY</t>
  </si>
  <si>
    <t>A03607X01P1</t>
  </si>
  <si>
    <t>A03608X01P1</t>
  </si>
  <si>
    <t xml:space="preserve">Cladded Rolls &amp; Copper plates </t>
  </si>
  <si>
    <t xml:space="preserve">Narrow Foot Roll-Spare </t>
  </si>
  <si>
    <t>OXYGEN LANCE</t>
  </si>
  <si>
    <t>ELBOW, BLOWPIPE &amp; SIGHT HOLE COVER</t>
  </si>
  <si>
    <t>HYDRAULIC CYLINDER ASSEMBLY</t>
  </si>
  <si>
    <t>LADLE ROOF</t>
  </si>
  <si>
    <t>CONTAINER HOLDER</t>
  </si>
  <si>
    <t>SEGMENT 3-5 ROLLER ASSEMBLY</t>
  </si>
  <si>
    <t>ROCKER FRAME ASSEMBLY</t>
  </si>
  <si>
    <t>A03607X01.10.3000</t>
  </si>
  <si>
    <t>MOULD FOOT ROLLER</t>
  </si>
  <si>
    <t>EAF &amp; LF TRANSFER CARS</t>
  </si>
  <si>
    <t>WATER COOLED ROOF</t>
  </si>
  <si>
    <t>C01RB1PSMP.LSH.LTF.LTCK</t>
  </si>
  <si>
    <t>SURFACE RECLAIM FEEDER</t>
  </si>
  <si>
    <t>FRAMEWORK,CRUSHER,COMPLETE</t>
  </si>
  <si>
    <t>S000611SMP.LSH.LAS.LAL1
S000611SMP.LSH.LAS.LAL2
S000611SMP.LSH.LAS.LAL3
S000611SMP.LSH.LAS.LAL4
S000611SMP.LSH.LAS.LAL5
S000611SMP.LSH.LAS.LAL6</t>
  </si>
  <si>
    <t>C01RB1PSMP.LHF.EAR.EASK</t>
  </si>
  <si>
    <t>C01RB1PSMP.LHF.ROS.WCRK</t>
  </si>
  <si>
    <t>WATERBOX,NARROW FACE CARRIER INCLUDING NECKDOWN BOLT &amp; SWIVEL JOINT</t>
  </si>
  <si>
    <t>SHASHIKUMAR</t>
  </si>
  <si>
    <t>TOP &amp; BOTTOM CHOCKS</t>
  </si>
  <si>
    <t>ETA PRESS 66- BALER ASSEMBLY</t>
  </si>
  <si>
    <t>C01RB1PSMP.LSH.LTL.LTCK</t>
  </si>
  <si>
    <t>Ladle transfer car (LF ladle car)</t>
  </si>
  <si>
    <t>C01RB1PSMP.LSH.LTL.LTC2K</t>
  </si>
  <si>
    <t>Ladle Transfer Car 2 Khurda</t>
  </si>
  <si>
    <t>A03533M120.80.01P3005</t>
  </si>
  <si>
    <t>BF 2Yr Spare - Centering and Wear device</t>
  </si>
  <si>
    <t>HSM F2 MAIN GB HOUSING</t>
  </si>
  <si>
    <t>RECONDITIONING OF WR &amp; BUR CHOCKS</t>
  </si>
  <si>
    <t>UPPER SHELL</t>
  </si>
  <si>
    <t xml:space="preserve">CVC BLOCK F5-F7 OP EXIT SIDE </t>
  </si>
  <si>
    <t>PIVOT ARM</t>
  </si>
  <si>
    <t>31ST MAR'26
15TH MAY'26</t>
  </si>
  <si>
    <t>A02261M210.30.10.11P1010</t>
  </si>
  <si>
    <t>A02261M210.30.10.11P1020</t>
  </si>
  <si>
    <t>INJECTOR BOX - 2 PC ,OXYGEN INJECTOR -10 PC</t>
  </si>
  <si>
    <t xml:space="preserve">EAF ROOF SPOKE FRAME,ROOF LIFTING FRAME &amp; LIFTING FORK </t>
  </si>
  <si>
    <t>AMARSHI BEHERA</t>
  </si>
  <si>
    <t>EAF UPPER SHELL FRAME W/SLAG DOOR &amp; EAF ROOF SPOKE FRAME</t>
  </si>
  <si>
    <t>SKIRT ASSEMBLY, LOWER STACK, COOLING RING, MOVABLE SKIRT &amp; LOWER HOOD</t>
  </si>
  <si>
    <t xml:space="preserve">DIPPER HANDLE ASSY </t>
  </si>
  <si>
    <t>HANDLE MACHINING</t>
  </si>
  <si>
    <t>ASSEMBLY ABGT L4000 &amp; ACC.</t>
  </si>
  <si>
    <t>SPARE- VESSEL GUIDE</t>
  </si>
  <si>
    <t>REFURBISHMENT OF DISTRIBUTION CHUTE -3.8 &amp; 3.5</t>
  </si>
  <si>
    <t>ROLL FORCE CYLINDER VERTICAL AGC</t>
  </si>
  <si>
    <t>A03613M120.25P1525</t>
  </si>
  <si>
    <t>A03613M120.25P1500</t>
  </si>
  <si>
    <t>COMBUSTION GAS ENRICHMENT GOGGLE VALVE DN 450</t>
  </si>
  <si>
    <t>GOGGLE VALVE ND 1600 SLIDE TYPE</t>
  </si>
  <si>
    <t>ADJUSTING SKIRT &amp; INSPECTION COVER</t>
  </si>
  <si>
    <t>A03520M220.35.20.60P1100</t>
  </si>
  <si>
    <t>SPARE;COOLING RING FOR VESSEL 3,VESSEL</t>
  </si>
  <si>
    <t>BOOM &amp; ARM</t>
  </si>
  <si>
    <t>SPARE KIT FOR GSSV ND1200</t>
  </si>
  <si>
    <t>REFURBISHMENT OF DISTRIBUTION CHUTE -REINFORCED TYPE</t>
  </si>
  <si>
    <t>INTERBAY TRANSFER CAR</t>
  </si>
  <si>
    <t>COOLING RING &amp; SKIRT WITH LIFTING BRACKET</t>
  </si>
  <si>
    <t>HOT METAL TRANSFER CAR FOR KR-2
+ 2 YEARS SPARE</t>
  </si>
  <si>
    <t>MANDREL BEARING HOUSING</t>
  </si>
  <si>
    <t>REFURBISHMENT OF DISTRIBUTION CHUTE L-4M
REFURBISHMENT OF HOT BLAST VALVE ND 1600</t>
  </si>
  <si>
    <t>DEWATERING DRUM &amp; FEEDING OF DRUM</t>
  </si>
  <si>
    <t>Qty</t>
  </si>
  <si>
    <t>S000781CAS1.SCP.STG.HOS
S000781CAS2.SCP.STG.HOS
S000781CAS3.SCP.STG.HOS</t>
  </si>
  <si>
    <t>S000348RML.FMA.URM.CHO
S000348RML.FMA.EDM.CHO</t>
  </si>
  <si>
    <t>S000659CAS.SCP.STG.HOS
S000659CAS.SCP.STG.HOS01
S000659CAS.SCP.STG.HOS02</t>
  </si>
  <si>
    <t>S000722CAS.SCP.STG.HOS</t>
  </si>
  <si>
    <t>SEGMENT 7(Loose side)</t>
  </si>
  <si>
    <t>S000765DIP.DUX.DIX.DYX1
S000765DIP.DUX.DIX.DYX2
S000765DIP.DUX.DIX.DYX3</t>
  </si>
  <si>
    <t>BLOWPIPE TIGHTENER ARRGMNT</t>
  </si>
  <si>
    <t>SEGMENT 8</t>
  </si>
  <si>
    <t>REFURBISHMENT OF LMG DRIVE
REFURBISHMENT OF DISTRIBUTION CHUTE L-4M</t>
  </si>
  <si>
    <t>DISTRIBUTION ROCKER NONE DRIVE ASSEMBLY
DISTRIBUTOR ROCKER DRIVE CYLINDER SIDE</t>
  </si>
  <si>
    <t>SPARE KIT FOR LSV DRIVE ND900
DISTRIBUTOR ROCKER DRIVE CYLINDER SIDE</t>
  </si>
  <si>
    <t>FINAL MACHINNG OF TOP EDGER CHOCK
FINAL MACHINNG OF BOTTOM EDGER CHOCK</t>
  </si>
  <si>
    <t>ROTATING FRAME ASSY OF GRIP TYPE TILTER</t>
  </si>
  <si>
    <t>S000847CSP.TSC.STG.SSF
S000847CSP.TSC.CAB.RUS</t>
  </si>
  <si>
    <t>CARRIER FRAME &amp; SEGMENT REMOVAL RAILS</t>
  </si>
  <si>
    <t>FINAL MACHINING OF LAY SHAFT FOR 4000 TON 
PAD CARRIER -BREAK HUB
CLUTCH HUB</t>
  </si>
  <si>
    <t>COOLED DUCT, MOVABLE ELBOW &amp; MOVABLE ELBOW</t>
  </si>
  <si>
    <t>OIL GUM,SPLIT BEARING BUSH,COVER,SPLIT RING, DOWEL PINS</t>
  </si>
  <si>
    <t>BUR CHOCK -TOP &amp; BOTTOM -OS &amp; DS</t>
  </si>
  <si>
    <t>NEW REINFORCED DISTRIBUTION CHUTE L-4.5M</t>
  </si>
  <si>
    <t>REFURBISHMENT OF COLD BLAST VALVE</t>
  </si>
  <si>
    <t>Sambit Sahoo</t>
  </si>
  <si>
    <t>SUPP. WHEEL D710/240 WITHOUT GUID. &amp; ACC
SUPP. WHEEL D710/240 WITH GUID. &amp; ACC</t>
  </si>
  <si>
    <t>S000645SMP.HMH.HMC.LTCKH</t>
  </si>
  <si>
    <t>S000885CAS.SCP.STG.HOS</t>
  </si>
  <si>
    <t>REFURBISHMENT OF INBA SUPPORT ROLLER</t>
  </si>
  <si>
    <t>STAVE REPLACEMENT AT TSM</t>
  </si>
  <si>
    <t>FURNACE SHELL</t>
  </si>
  <si>
    <t>SUPPORT ROLLER ASSEMBLY-CLADDING+MACHINING +ASSEMBLY</t>
  </si>
  <si>
    <t>TRANSPORT ROLLER ASSEMBLY-ASSEMBLY</t>
  </si>
  <si>
    <t>AMAN SINGH</t>
  </si>
  <si>
    <t>F1-F4 BUR CHANGE SLEDGE ASSEMBLY</t>
  </si>
  <si>
    <t>A03533M120.10.12P3000
A03533M120.80.01P3020
A03533M120.80.01P4000</t>
  </si>
  <si>
    <t>Tuyere Stock
BF 2Yr Spare - Tuyere stock
BF - Comm Spare - Tuyere stock</t>
  </si>
  <si>
    <t>S000771CSP.TSC.STG.BED</t>
  </si>
  <si>
    <t>S000874CSP.RCA.ERA.ROT</t>
  </si>
  <si>
    <t>S000851BFP.BLF.BLP.STC</t>
  </si>
  <si>
    <t>S000823CFP.MCP.CDF.ECS</t>
  </si>
  <si>
    <t>REFURBISHMENT OF GRITZKO VALVE</t>
  </si>
  <si>
    <t>DRUM DEFLECTOR PLATE</t>
  </si>
  <si>
    <t>DISTRIBUTION ROCKER CHUTE
OCTAGONAL CHUTE
WEAR LINER FOR SEAT ACC</t>
  </si>
  <si>
    <t>REFURBISHMENT OF DISTRIBUTION CHUTE L-5M</t>
  </si>
  <si>
    <t>BEARING LEVER, KING PIN, UPRIGHT-LEFT, UPRIGHT-RIGHT</t>
  </si>
  <si>
    <t>SIDEBAR REFURBISHMENT</t>
  </si>
  <si>
    <t>DISTRIBUTION CHUTE L-4M</t>
  </si>
  <si>
    <t>REFURBISHMENT OF DOWNLEGS</t>
  </si>
  <si>
    <t>S000850SMP.FTP.WCG.DUC
S000850SMP.FTP.WCG.COH</t>
  </si>
  <si>
    <t xml:space="preserve">REFURBISHMENT OF HOT BLAST VALVE </t>
  </si>
  <si>
    <t xml:space="preserve">DEWATERING DRUM-D5000x6250 </t>
  </si>
  <si>
    <t>FRAMING PARTS (CLADDED)
FRAMING PARTS (SS 304L)</t>
  </si>
  <si>
    <t>BALE SLIDE, FLAP ASSEMBLY &amp; OIL PAN ASSEMBLY</t>
  </si>
  <si>
    <t>S000738EXP.ETP.EXR.CEH</t>
  </si>
  <si>
    <t>Swing bridge, Frame &amp; Electrode regulating cylinder</t>
  </si>
  <si>
    <t>30-10-2026
31-12-2026</t>
  </si>
  <si>
    <t>TUNDISH DAMAGE PLATE CHANGE
REPAIR OF TUNDISH DAMAGE BOTTOM PLATE</t>
  </si>
  <si>
    <t>EAF FES WATER COOLED SEGMENTS 1-6</t>
  </si>
  <si>
    <t>S000993SMP.EAF.GYS.GNY</t>
  </si>
  <si>
    <t>REFURBISHMENT OF HYDRAULIC PLUGGING CYLINDER
REFURBISHMENT OF DIFFERENTIAL CYLINDER</t>
  </si>
  <si>
    <t>SEGMENT 4-6 LOOSE SIDE ASSEMBLY</t>
  </si>
  <si>
    <t>C04MC3PPCM.RLS.TRP.RSCK</t>
  </si>
  <si>
    <t>C04MC3PPCM.RLS.SRG.SGPK</t>
  </si>
  <si>
    <t>C04MC3PPCM.RLS.SRG.SRCK</t>
  </si>
  <si>
    <t>C04MC3PPCM.RLS.SRG.SGEK</t>
  </si>
  <si>
    <t>C04MC3PPCM.RLS.SRG.SGVK</t>
  </si>
  <si>
    <t>C04MC3PPCM.RLS.AUX.DECK</t>
  </si>
  <si>
    <t>ROLL TRANSFER CAR</t>
  </si>
  <si>
    <t>STORAGE PAD</t>
  </si>
  <si>
    <t>STORAGE RACK</t>
  </si>
  <si>
    <t>STORAGE CRADLE</t>
  </si>
  <si>
    <t>STORAGE SHELVE</t>
  </si>
  <si>
    <t>DECHOCKER (WR)</t>
  </si>
  <si>
    <t>S000982CAS.SCP.STG.BOS</t>
  </si>
  <si>
    <t>C0CDA1PCAS1LPC.CPE.LATK</t>
  </si>
  <si>
    <t>C0CDA1PCAS2LPC.CPE.LATK</t>
  </si>
  <si>
    <t>LADLE TURRET</t>
  </si>
  <si>
    <t>DISTRIBUTOR &amp; ACC.</t>
  </si>
  <si>
    <t>MOULD OSCILLATION ASSEMBLY</t>
  </si>
  <si>
    <t>TOP PINCH ROLL &amp; BOTTOM PINCH ROLL</t>
  </si>
  <si>
    <t>S000924SMP.EAF.FSH1
S000924SMP.EAF.FSH2</t>
  </si>
  <si>
    <t>S001004CSP.TSC.MAO.OSC</t>
  </si>
  <si>
    <t>C0COA1PBFP.BLF.PES.VGO1K</t>
  </si>
  <si>
    <t>TIGHTENER ARRANGEMENT</t>
  </si>
  <si>
    <t xml:space="preserve"> SPARE KIT FOR 32" SUB BY-PASS VALVE
 SPARE KIT FOR 64" MAIN BY-PASS VALVE</t>
  </si>
  <si>
    <t>GOGGLE VALVE ND500</t>
  </si>
  <si>
    <t>SKIRT, MOVABLE HOOD &amp; LANCE DOME</t>
  </si>
  <si>
    <t>FS SWIVEL ARM, BRACKET</t>
  </si>
  <si>
    <t>DISTRIBUTION CHUTE &amp; CONICAL CHUTE ND1000 &amp; ACC.</t>
  </si>
  <si>
    <t>BALLA RANI</t>
  </si>
  <si>
    <t>DECHOCKER (BUR)</t>
  </si>
  <si>
    <t>CHOCK TILTER</t>
  </si>
  <si>
    <t>CHOCK &amp; BEARING CLEANING MACHINE</t>
  </si>
  <si>
    <t>ROLL CLEANING STATION</t>
  </si>
  <si>
    <t>C04MC3PPCM.RLS.AUX.CKTK</t>
  </si>
  <si>
    <t>C04MC3PPCM.RLS.AUX.BECK</t>
  </si>
  <si>
    <t>C04MC3PPCM.RLS.AUX.RCLK</t>
  </si>
  <si>
    <t>APEX</t>
  </si>
  <si>
    <t>REFURBISHMENT OF DISTRIBUTION CHUTE</t>
  </si>
  <si>
    <t>SLOWDOWN BOX &amp; DISTRIBUTOR</t>
  </si>
  <si>
    <t>SPARES FOR DRIVE OF LSV/USV</t>
  </si>
  <si>
    <t>DRIVE DR &amp; ACC</t>
  </si>
  <si>
    <t>REFURBISHMENT OF BD MILL CHOCK</t>
  </si>
  <si>
    <t>ACESSORIES FOR TWIN LF ROOF</t>
  </si>
  <si>
    <t>UPRIGHT LEFT
UPRIGHT RIGHT</t>
  </si>
  <si>
    <t>ACESSORIES FOR PROJECT</t>
  </si>
  <si>
    <t xml:space="preserve">INJECTION LANCE ASSEMBLY </t>
  </si>
  <si>
    <t>COAL INJECTION LANCE</t>
  </si>
  <si>
    <t>MATERIAL ANALYSIS</t>
  </si>
  <si>
    <t>INBA PERFORATED PLATE ASSEMBLY</t>
  </si>
  <si>
    <t>SPARE KIT FOR DC</t>
  </si>
  <si>
    <t>GOGGLE VALVE ND500 PN10</t>
  </si>
  <si>
    <t>C04MC3PPCM.RLS.AUX.DEC2K</t>
  </si>
  <si>
    <t>EBT TOP SHELL</t>
  </si>
  <si>
    <t>COMBUSTION CHAMBER &amp; MOVABLE ELBOW</t>
  </si>
  <si>
    <t>ET560076197</t>
  </si>
  <si>
    <t>ET430084421</t>
  </si>
  <si>
    <t>ET460096654</t>
  </si>
  <si>
    <t>ET300093198</t>
  </si>
  <si>
    <t>ET430096681</t>
  </si>
  <si>
    <t>ET760096764</t>
  </si>
  <si>
    <t>C0COA1PBFP.BLF.TCS.DIRK</t>
  </si>
  <si>
    <t>C0COA1PBFP.BLF.TCS.VAUK</t>
  </si>
  <si>
    <t>C0COA1PBFP.BLF.TCS.MAHK</t>
  </si>
  <si>
    <t>C0COA1PBFP.BLF.TGS.BLEK</t>
  </si>
  <si>
    <t>C0COA1PBFP.SGR.DEW.DRUK</t>
  </si>
  <si>
    <t>C0COA1PBFP.SGR.DEW.DSUK</t>
  </si>
  <si>
    <t>DISTRIBUTION ROCKER INCLUDING LINERS</t>
  </si>
  <si>
    <t>LOWER VALVE ACTUATION UNIT &amp; ACCESSORIES</t>
  </si>
  <si>
    <t>MATERIAL HOPPER (2 NOS) &amp; ACCESSORIES</t>
  </si>
  <si>
    <t>BLEEDER VALVE &amp; ACCESSORIES</t>
  </si>
  <si>
    <t>ADAPTER FLANGES FOR BLEEDER VALVES</t>
  </si>
  <si>
    <t>DEWATERING DRUM SUPPORT+ PILLOW BLOCK - + DRIVE WHEELS</t>
  </si>
  <si>
    <t>S001071SMP.FTP.WCG.COH</t>
  </si>
  <si>
    <t>WEAR PLATE ASSEMBLY</t>
  </si>
  <si>
    <t>SPARE KIT FOR HBV</t>
  </si>
  <si>
    <t>DEFLECTORS, RAIL &amp; SLOW DOWN BOX</t>
  </si>
  <si>
    <t>BLOWPIPE ASSEMBLY</t>
  </si>
  <si>
    <t xml:space="preserve">A03314M431.86P0300	</t>
  </si>
  <si>
    <t xml:space="preserve">ADJUSTABLE SKIRT </t>
  </si>
  <si>
    <t>WR CHOCK</t>
  </si>
  <si>
    <t>A03080M431.86.20P2000</t>
  </si>
  <si>
    <t>FLUX CHUTE</t>
  </si>
  <si>
    <t>FEEDER SPOUT</t>
  </si>
  <si>
    <t>CYLINDER BARREL</t>
  </si>
  <si>
    <t>DRAWING DEVELOPMENT OF VC COVER HOOD</t>
  </si>
  <si>
    <t>DRIVING &amp; TIPING STATION</t>
  </si>
  <si>
    <t>C094B1PCSP.TSC.STG.VSE1K</t>
  </si>
  <si>
    <t>C094B1SOCPCSPSTG.VSE801K</t>
  </si>
  <si>
    <t>C094B1PCSP.TSC.STG.VSE2K</t>
  </si>
  <si>
    <t>C094B1SOCPCSPSTG.VSE802K</t>
  </si>
  <si>
    <t>C094B1PCSP.TSC.STG.VSE3K</t>
  </si>
  <si>
    <t>C094B1PCSP.TSC.STG.VSE4K</t>
  </si>
  <si>
    <t>C094B1SOCPCSPSTG.VSE803K</t>
  </si>
  <si>
    <t>C094B1SOCPCSPSTG.VSE804K</t>
  </si>
  <si>
    <t>UPPER VERTICAL SEGMENT - SEG#1-MAIN</t>
  </si>
  <si>
    <t>UPPER VERTICAL SEGMENT (OCP) - SEG#1 - SPARE</t>
  </si>
  <si>
    <t>INTERMEDIATE VERTICAL SEGMENT - SEG#2 - MAIN</t>
  </si>
  <si>
    <t>INTERMEDIATE VERTICAL SEGMENT (OCP) - SEG#2 - SPARE</t>
  </si>
  <si>
    <t>LOWER VERTICAL SEGMENT - SEG# 3 - MAIN</t>
  </si>
  <si>
    <t>LOWER VERTICAL SEGMENT - SEG# 4 -MAIN</t>
  </si>
  <si>
    <t>LOWER VERTICAL SEGMENT - (OCP) -SEG# 3 - SPARE</t>
  </si>
  <si>
    <t>LOWER VERTICAL SEGMENT - (OCP) - SEG# 4 - SPARE</t>
  </si>
  <si>
    <t>S001094SMP.GCP.CSS.COS</t>
  </si>
  <si>
    <t>S001126PEP.BAS.MAB</t>
  </si>
  <si>
    <t>Milling
Machining</t>
  </si>
  <si>
    <t>Manufacturing Planned Hours</t>
  </si>
  <si>
    <t>Welding</t>
  </si>
  <si>
    <t>CNC Lathe Machining</t>
  </si>
  <si>
    <t>Available Capacity SCB</t>
  </si>
  <si>
    <t>Manufacturing Utilization Hours</t>
  </si>
  <si>
    <t>Actual Capacity SCB</t>
  </si>
  <si>
    <t>Actual Welding</t>
  </si>
  <si>
    <t>Actual Milling 
Machining</t>
  </si>
  <si>
    <t>Actual CNC Lathe Machining</t>
  </si>
  <si>
    <t>Actual Assembly</t>
  </si>
  <si>
    <t>Equipment Weight in KG</t>
  </si>
  <si>
    <t>Total  Hours</t>
  </si>
  <si>
    <t>Planned</t>
  </si>
  <si>
    <t>WELDING</t>
  </si>
  <si>
    <t>MACHINING</t>
  </si>
  <si>
    <t>ASSEMBLY</t>
  </si>
  <si>
    <t>ROLL REFURBISHMENT</t>
  </si>
  <si>
    <t>PLATING</t>
  </si>
  <si>
    <t>TOTAL</t>
  </si>
  <si>
    <t>NPK Capacity</t>
  </si>
  <si>
    <t>Planned Hours</t>
  </si>
  <si>
    <t>LOI</t>
  </si>
  <si>
    <t>GROUP COMPANY</t>
  </si>
  <si>
    <t>CONTRACT MFG.</t>
  </si>
  <si>
    <t>PLANNED HOURS</t>
  </si>
  <si>
    <t>NPK</t>
  </si>
  <si>
    <t>UTILIZATION (%)</t>
  </si>
  <si>
    <t>Planned Hour</t>
  </si>
  <si>
    <t>Planned Hours 
Apr'26-Dec'26</t>
  </si>
  <si>
    <t>Sl No</t>
  </si>
  <si>
    <t>Available Capacity (NPK)-2026</t>
  </si>
  <si>
    <t>Total Available Hour</t>
  </si>
  <si>
    <t>KHURDA-WELDING-SMI</t>
  </si>
  <si>
    <t>KHURDA-WELDING-LS</t>
  </si>
  <si>
    <t>KHURDA-WELDING-JC</t>
  </si>
  <si>
    <t>1.1-1.3</t>
  </si>
  <si>
    <t>KHURDA-WELDING (SMI+LS+JC)</t>
  </si>
  <si>
    <t>MANCHESWAR-WELDING-JC</t>
  </si>
  <si>
    <t>MANCHESWAR-WELDING-LS</t>
  </si>
  <si>
    <t>MANCHESWAR-WELDING-SMI</t>
  </si>
  <si>
    <t>K &amp; M - WELDING (TOTAL)</t>
  </si>
  <si>
    <t>TOTAL MACHINE SHOP</t>
  </si>
  <si>
    <t>ASSEMBLY-SMI</t>
  </si>
  <si>
    <t>ASSEMBLY-LS</t>
  </si>
  <si>
    <t>ASSEMBLY-JS</t>
  </si>
  <si>
    <t>ASSEMBLY-MFG</t>
  </si>
  <si>
    <t>TOTAL MANUFACTRING</t>
  </si>
  <si>
    <t>SUMMARY</t>
  </si>
  <si>
    <t>Total Planned Hour</t>
  </si>
  <si>
    <t>OTHERS ORDERS</t>
  </si>
  <si>
    <t>CONTRACT MANUFACTURING</t>
  </si>
  <si>
    <t>TOTAL WELDING</t>
  </si>
  <si>
    <t>TS</t>
  </si>
  <si>
    <t>TOTAL MACHINING</t>
  </si>
  <si>
    <t>ASSEMBLY-Hydraulic Test Stand</t>
  </si>
  <si>
    <t>IRON MAKING</t>
  </si>
  <si>
    <t>TOTAL ASSEMBLY</t>
  </si>
  <si>
    <t>SERVICE-ROLL REFURBISHMENT</t>
  </si>
  <si>
    <t>SERVICE-PLATING</t>
  </si>
  <si>
    <t>Available Capacity (NPK)</t>
  </si>
  <si>
    <t>MANCHESWAR-WELDING (SMI+LS+JC)</t>
  </si>
  <si>
    <t>TOTAL GROUP COMPANY HOURS</t>
  </si>
  <si>
    <t>TOTAL CONTRACT MANUFACTURING HOURS</t>
  </si>
  <si>
    <t>Row Labels</t>
  </si>
  <si>
    <t>(blank)</t>
  </si>
  <si>
    <t>Grand Total</t>
  </si>
  <si>
    <t>Sum of Jun-26</t>
  </si>
  <si>
    <t xml:space="preserve">Total </t>
  </si>
  <si>
    <t xml:space="preserve">Total 
</t>
  </si>
  <si>
    <t>Sum of Jul-26</t>
  </si>
  <si>
    <t>Sum of Aug-26</t>
  </si>
  <si>
    <t>Sum of Sep-26</t>
  </si>
  <si>
    <t>Sum of Oct-26</t>
  </si>
  <si>
    <t>Sum of Nov-26</t>
  </si>
  <si>
    <t>Sum of Dec-26</t>
  </si>
  <si>
    <t>Sum of Jan-27</t>
  </si>
  <si>
    <t>Sum of Feb-27</t>
  </si>
  <si>
    <t>Sum of Mar-27</t>
  </si>
  <si>
    <t>Sum of Apr-27</t>
  </si>
  <si>
    <t>Sum of May-27</t>
  </si>
  <si>
    <t>Milling Machining</t>
  </si>
  <si>
    <t>Total Machinig</t>
  </si>
  <si>
    <t>scope</t>
  </si>
  <si>
    <t>NA</t>
  </si>
  <si>
    <t>NA only ass</t>
  </si>
  <si>
    <t>PANKAJ</t>
  </si>
  <si>
    <t>Sanad</t>
  </si>
  <si>
    <t>HOLD</t>
  </si>
  <si>
    <t>DONE</t>
  </si>
  <si>
    <t xml:space="preserve"> </t>
  </si>
  <si>
    <t>Diff-FAB</t>
  </si>
  <si>
    <t>Diff-MILL</t>
  </si>
  <si>
    <t>Diff-LATHE</t>
  </si>
  <si>
    <t>Diff-ASS</t>
  </si>
  <si>
    <t>Contract</t>
  </si>
  <si>
    <t>Group</t>
  </si>
  <si>
    <t>OTH</t>
  </si>
  <si>
    <t>Sum of Jun/26</t>
  </si>
  <si>
    <t>Sum of Jul/26</t>
  </si>
  <si>
    <t>Sum of Aug/26</t>
  </si>
  <si>
    <t>Sum of Sep/26</t>
  </si>
  <si>
    <t>Sum of Oct/26</t>
  </si>
  <si>
    <t>Sum of Nov/26</t>
  </si>
  <si>
    <t>Sum of Dec/26</t>
  </si>
  <si>
    <t>Sum of Jan/27</t>
  </si>
  <si>
    <t>Sum of Feb/27</t>
  </si>
  <si>
    <t>Sum of Mar/27</t>
  </si>
  <si>
    <t>Sum of Apr/27</t>
  </si>
  <si>
    <t>Sum of May/27</t>
  </si>
  <si>
    <t>Order</t>
  </si>
  <si>
    <t>Planned Hours Jun'26-May'27</t>
  </si>
  <si>
    <t>MS</t>
  </si>
  <si>
    <t xml:space="preserve">Job yet to receive </t>
  </si>
  <si>
    <t xml:space="preserve">CNC Plano Miller </t>
  </si>
  <si>
    <t>MMMCIBPM</t>
  </si>
  <si>
    <t xml:space="preserve">8 Meter CNC Lathe </t>
  </si>
  <si>
    <t>MMMCCNC8</t>
  </si>
  <si>
    <t xml:space="preserve">SKODA Machine </t>
  </si>
  <si>
    <t>MMMCSKHB</t>
  </si>
  <si>
    <t>3 Meter CNC Lathe</t>
  </si>
  <si>
    <t>SKMSLTH3</t>
  </si>
  <si>
    <t>5 Meter CNC Lathe</t>
  </si>
  <si>
    <t>SKMSLTH5</t>
  </si>
  <si>
    <t>3 Axis CNC Milling Machine</t>
  </si>
  <si>
    <t>SKMSCN3A</t>
  </si>
  <si>
    <t>5 Axis CNC Milling Machine</t>
  </si>
  <si>
    <t>SKMSCN5A</t>
  </si>
  <si>
    <t>PL</t>
  </si>
  <si>
    <t>Grit Blasting Machine</t>
  </si>
  <si>
    <t>SKPLBLST</t>
  </si>
  <si>
    <t>HVOF Machine</t>
  </si>
  <si>
    <t>SKPLHVOF</t>
  </si>
  <si>
    <t>Dip Plating</t>
  </si>
  <si>
    <t>SKPLDIPP</t>
  </si>
  <si>
    <t>Box Plating</t>
  </si>
  <si>
    <t>SKPLBOXP</t>
  </si>
  <si>
    <t>Plating / HVOF Labour Hours</t>
  </si>
  <si>
    <t>SKPLASDI</t>
  </si>
  <si>
    <t>RR</t>
  </si>
  <si>
    <t>Furnace</t>
  </si>
  <si>
    <t>SKRRFURN</t>
  </si>
  <si>
    <t>1100 mm - 2 Head Roll Welding Lathe</t>
  </si>
  <si>
    <t>SKRRL11M</t>
  </si>
  <si>
    <t>500 mm - 2 Head Roll Welding Lathe</t>
  </si>
  <si>
    <t>SKRRL500</t>
  </si>
  <si>
    <t>Assembly / Disassembly</t>
  </si>
  <si>
    <t>SKRRASDI</t>
  </si>
  <si>
    <t>CC</t>
  </si>
  <si>
    <t>Hydraulic Test Stand</t>
  </si>
  <si>
    <t>SKCCCYRE</t>
  </si>
  <si>
    <t>Assembly/ Testing</t>
  </si>
  <si>
    <t>MAATASLY</t>
  </si>
  <si>
    <t xml:space="preserve">Inactual job availability </t>
  </si>
  <si>
    <t>capacity</t>
  </si>
  <si>
    <t>Month</t>
  </si>
  <si>
    <t>Product Group</t>
  </si>
  <si>
    <t>WORK centre</t>
  </si>
  <si>
    <t>MILL</t>
  </si>
  <si>
    <t>LATHE</t>
  </si>
  <si>
    <t>dispatched-10</t>
  </si>
  <si>
    <t>Spare JSW BELLARY COPPER JOB</t>
  </si>
  <si>
    <t>RAVI RANJAN/SASHI</t>
  </si>
  <si>
    <t>RAVI RANJAN/AMAN</t>
  </si>
  <si>
    <t>RAVI RANJAN/SAMBIT</t>
  </si>
  <si>
    <t>WORK ROLL CHOCK</t>
  </si>
  <si>
    <t>S001100HPR.FMI.MIS.WOX1 S001100HPR.FMI.MIS.WOX2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</si>
</sst>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_);[Red]\(0\)"/>
    <numFmt numFmtId="167" formatCode="0_);\(0\)"/>
    <numFmt numFmtId="168" formatCode="[$-409]d\-mmm\-yy;@"/>
    <numFmt numFmtId="169" formatCode="_ * #,##0_ ;_ * \-#,##0_ ;_ * &quot;-&quot;??_ ;_ @_ "/>
    <numFmt numFmtId="170" formatCode="0.0000000000"/>
    <numFmt numFmtId="171" formatCode="0.0%"/>
    <numFmt numFmtId="172" formatCode="[$-409]mmm\-yy;@"/>
    <numFmt numFmtId="173" formatCode="0.0"/>
    <numFmt numFmtId="174" formatCode="[$-409]mmm/yy;@"/>
    <numFmt numFmtId="175" formatCode="_-* #,##0.00\ _€_-;\-* #,##0.00\ _€_-;_-* &quot;-&quot;??\ _€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9"/>
      <color theme="1"/>
      <name val="Verdana"/>
      <family val="2"/>
    </font>
    <font>
      <sz val="10"/>
      <color theme="1"/>
      <name val="Verdana"/>
      <family val="2"/>
    </font>
    <font>
      <b/>
      <sz val="12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8"/>
      <color theme="1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rgb="FFFF0000"/>
      <name val="Verdana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Verdan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Verdana"/>
      <family val="2"/>
    </font>
    <font>
      <b/>
      <sz val="18"/>
      <color theme="1"/>
      <name val="Verdana"/>
      <family val="2"/>
    </font>
    <font>
      <b/>
      <sz val="20"/>
      <color theme="1"/>
      <name val="Verdana"/>
      <family val="2"/>
    </font>
    <font>
      <b/>
      <sz val="9"/>
      <name val="Verdan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Verdana"/>
      <family val="2"/>
    </font>
    <font>
      <b/>
      <sz val="10"/>
      <name val="Verdana"/>
      <family val="2"/>
    </font>
    <font>
      <b/>
      <sz val="10"/>
      <color theme="2"/>
      <name val="Verdana"/>
      <family val="2"/>
    </font>
    <font>
      <sz val="10"/>
      <color theme="2"/>
      <name val="Verdana"/>
      <family val="2"/>
    </font>
    <font>
      <b/>
      <sz val="12"/>
      <color theme="1"/>
      <name val="Calibri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Verdana"/>
      <family val="2"/>
    </font>
  </fonts>
  <fills count="6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2CE5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0F5BD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2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" fillId="0" borderId="0"/>
    <xf numFmtId="0" fontId="14" fillId="0" borderId="0"/>
    <xf numFmtId="0" fontId="15" fillId="0" borderId="0"/>
    <xf numFmtId="9" fontId="1" fillId="0" borderId="0" applyFont="0" applyFill="0" applyBorder="0" applyAlignment="0" applyProtection="0"/>
    <xf numFmtId="0" fontId="16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4" fillId="15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7" fillId="18" borderId="11" applyNumberFormat="0" applyAlignment="0" applyProtection="0"/>
    <xf numFmtId="0" fontId="28" fillId="19" borderId="12" applyNumberFormat="0" applyAlignment="0" applyProtection="0"/>
    <xf numFmtId="0" fontId="29" fillId="19" borderId="11" applyNumberFormat="0" applyAlignment="0" applyProtection="0"/>
    <xf numFmtId="0" fontId="30" fillId="0" borderId="13" applyNumberFormat="0" applyFill="0" applyAlignment="0" applyProtection="0"/>
    <xf numFmtId="0" fontId="31" fillId="20" borderId="14" applyNumberFormat="0" applyAlignment="0" applyProtection="0"/>
    <xf numFmtId="0" fontId="32" fillId="0" borderId="0" applyNumberFormat="0" applyFill="0" applyBorder="0" applyAlignment="0" applyProtection="0"/>
    <xf numFmtId="0" fontId="1" fillId="21" borderId="15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16" applyNumberFormat="0" applyFill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5" fillId="45" borderId="0" applyNumberFormat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37" fillId="0" borderId="0"/>
    <xf numFmtId="0" fontId="38" fillId="0" borderId="0"/>
    <xf numFmtId="0" fontId="11" fillId="0" borderId="0"/>
    <xf numFmtId="0" fontId="11" fillId="0" borderId="0"/>
    <xf numFmtId="0" fontId="11" fillId="0" borderId="0"/>
    <xf numFmtId="175" fontId="11" fillId="0" borderId="0" applyFont="0" applyFill="0" applyBorder="0" applyAlignment="0" applyProtection="0"/>
  </cellStyleXfs>
  <cellXfs count="36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9" fillId="0" borderId="1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7" fontId="8" fillId="0" borderId="5" xfId="0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65" fontId="9" fillId="0" borderId="6" xfId="1" applyNumberFormat="1" applyFont="1" applyFill="1" applyBorder="1" applyAlignment="1">
      <alignment horizontal="center" vertical="center" wrapText="1"/>
    </xf>
    <xf numFmtId="165" fontId="9" fillId="0" borderId="7" xfId="1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0" borderId="0" xfId="0" applyNumberFormat="1" applyFont="1"/>
    <xf numFmtId="1" fontId="2" fillId="0" borderId="0" xfId="0" applyNumberFormat="1" applyFont="1"/>
    <xf numFmtId="4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170" fontId="2" fillId="0" borderId="0" xfId="0" applyNumberFormat="1" applyFont="1"/>
    <xf numFmtId="3" fontId="19" fillId="0" borderId="0" xfId="0" applyNumberFormat="1" applyFont="1"/>
    <xf numFmtId="4" fontId="17" fillId="0" borderId="0" xfId="0" applyNumberFormat="1" applyFont="1"/>
    <xf numFmtId="164" fontId="2" fillId="0" borderId="0" xfId="0" applyNumberFormat="1" applyFont="1"/>
    <xf numFmtId="165" fontId="2" fillId="0" borderId="0" xfId="1" applyNumberFormat="1" applyFont="1"/>
    <xf numFmtId="10" fontId="2" fillId="0" borderId="0" xfId="8" applyNumberFormat="1" applyFont="1" applyAlignment="1">
      <alignment horizontal="center"/>
    </xf>
    <xf numFmtId="169" fontId="2" fillId="0" borderId="0" xfId="0" applyNumberFormat="1" applyFont="1"/>
    <xf numFmtId="169" fontId="17" fillId="0" borderId="0" xfId="0" applyNumberFormat="1" applyFont="1"/>
    <xf numFmtId="167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 vertical="center"/>
    </xf>
    <xf numFmtId="169" fontId="2" fillId="0" borderId="0" xfId="8" applyNumberFormat="1" applyFont="1"/>
    <xf numFmtId="164" fontId="9" fillId="0" borderId="1" xfId="0" applyNumberFormat="1" applyFont="1" applyBorder="1" applyAlignment="1">
      <alignment horizontal="center" vertical="center" wrapText="1"/>
    </xf>
    <xf numFmtId="171" fontId="2" fillId="0" borderId="0" xfId="8" applyNumberFormat="1" applyFont="1"/>
    <xf numFmtId="9" fontId="2" fillId="0" borderId="0" xfId="8" applyFont="1"/>
    <xf numFmtId="167" fontId="8" fillId="0" borderId="1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165" fontId="3" fillId="13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165" fontId="8" fillId="3" borderId="1" xfId="1" applyNumberFormat="1" applyFont="1" applyFill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38" fontId="8" fillId="0" borderId="1" xfId="1" applyNumberFormat="1" applyFont="1" applyFill="1" applyBorder="1" applyAlignment="1">
      <alignment horizontal="center" vertical="center"/>
    </xf>
    <xf numFmtId="9" fontId="8" fillId="0" borderId="1" xfId="8" applyFont="1" applyFill="1" applyBorder="1" applyAlignment="1">
      <alignment horizontal="center" vertical="center"/>
    </xf>
    <xf numFmtId="164" fontId="9" fillId="0" borderId="1" xfId="1" applyFont="1" applyFill="1" applyBorder="1" applyAlignment="1">
      <alignment horizontal="center" vertical="center" wrapText="1"/>
    </xf>
    <xf numFmtId="166" fontId="8" fillId="0" borderId="3" xfId="0" applyNumberFormat="1" applyFont="1" applyBorder="1" applyAlignment="1">
      <alignment horizontal="center" vertical="center"/>
    </xf>
    <xf numFmtId="165" fontId="8" fillId="0" borderId="4" xfId="1" applyNumberFormat="1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65" fontId="8" fillId="11" borderId="1" xfId="1" applyNumberFormat="1" applyFont="1" applyFill="1" applyBorder="1" applyAlignment="1">
      <alignment horizontal="center" vertical="center"/>
    </xf>
    <xf numFmtId="165" fontId="5" fillId="10" borderId="1" xfId="1" applyNumberFormat="1" applyFont="1" applyFill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7" fontId="3" fillId="7" borderId="20" xfId="0" applyNumberFormat="1" applyFont="1" applyFill="1" applyBorder="1" applyAlignment="1">
      <alignment horizontal="center" vertical="center"/>
    </xf>
    <xf numFmtId="17" fontId="3" fillId="7" borderId="21" xfId="0" applyNumberFormat="1" applyFont="1" applyFill="1" applyBorder="1" applyAlignment="1">
      <alignment horizontal="center" vertical="center"/>
    </xf>
    <xf numFmtId="17" fontId="3" fillId="14" borderId="20" xfId="0" applyNumberFormat="1" applyFont="1" applyFill="1" applyBorder="1" applyAlignment="1">
      <alignment horizontal="center" vertical="center"/>
    </xf>
    <xf numFmtId="17" fontId="3" fillId="14" borderId="21" xfId="0" applyNumberFormat="1" applyFont="1" applyFill="1" applyBorder="1" applyAlignment="1">
      <alignment horizontal="center" vertical="center"/>
    </xf>
    <xf numFmtId="0" fontId="3" fillId="14" borderId="25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 wrapText="1"/>
    </xf>
    <xf numFmtId="165" fontId="3" fillId="9" borderId="21" xfId="1" applyNumberFormat="1" applyFont="1" applyFill="1" applyBorder="1" applyAlignment="1">
      <alignment horizontal="center" vertical="center" wrapText="1"/>
    </xf>
    <xf numFmtId="0" fontId="3" fillId="47" borderId="21" xfId="0" applyFont="1" applyFill="1" applyBorder="1" applyAlignment="1">
      <alignment horizontal="center" vertical="center"/>
    </xf>
    <xf numFmtId="0" fontId="3" fillId="47" borderId="21" xfId="0" applyFont="1" applyFill="1" applyBorder="1" applyAlignment="1">
      <alignment horizontal="center" vertical="center" wrapText="1"/>
    </xf>
    <xf numFmtId="0" fontId="3" fillId="48" borderId="21" xfId="0" applyFont="1" applyFill="1" applyBorder="1" applyAlignment="1">
      <alignment horizontal="center" vertical="center"/>
    </xf>
    <xf numFmtId="0" fontId="3" fillId="48" borderId="21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3" fillId="47" borderId="20" xfId="0" applyFont="1" applyFill="1" applyBorder="1" applyAlignment="1">
      <alignment horizontal="center" vertical="center"/>
    </xf>
    <xf numFmtId="0" fontId="3" fillId="47" borderId="25" xfId="0" applyFont="1" applyFill="1" applyBorder="1" applyAlignment="1">
      <alignment horizontal="center" vertical="center" wrapText="1"/>
    </xf>
    <xf numFmtId="0" fontId="3" fillId="48" borderId="20" xfId="0" applyFont="1" applyFill="1" applyBorder="1" applyAlignment="1">
      <alignment horizontal="center" vertical="center"/>
    </xf>
    <xf numFmtId="0" fontId="3" fillId="48" borderId="25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" fontId="3" fillId="4" borderId="41" xfId="0" applyNumberFormat="1" applyFont="1" applyFill="1" applyBorder="1" applyAlignment="1">
      <alignment horizontal="center" vertical="center"/>
    </xf>
    <xf numFmtId="17" fontId="3" fillId="4" borderId="42" xfId="0" applyNumberFormat="1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2" fontId="43" fillId="51" borderId="1" xfId="0" applyNumberFormat="1" applyFont="1" applyFill="1" applyBorder="1" applyAlignment="1">
      <alignment horizontal="center" vertical="center"/>
    </xf>
    <xf numFmtId="172" fontId="43" fillId="2" borderId="1" xfId="0" applyNumberFormat="1" applyFont="1" applyFill="1" applyBorder="1" applyAlignment="1">
      <alignment horizontal="center" vertical="center"/>
    </xf>
    <xf numFmtId="172" fontId="43" fillId="2" borderId="1" xfId="0" applyNumberFormat="1" applyFont="1" applyFill="1" applyBorder="1" applyAlignment="1">
      <alignment horizontal="center" vertical="center" wrapText="1"/>
    </xf>
    <xf numFmtId="0" fontId="44" fillId="0" borderId="0" xfId="0" applyFont="1"/>
    <xf numFmtId="0" fontId="43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44" fillId="0" borderId="0" xfId="0" applyNumberFormat="1" applyFont="1"/>
    <xf numFmtId="1" fontId="3" fillId="52" borderId="1" xfId="0" applyNumberFormat="1" applyFont="1" applyFill="1" applyBorder="1" applyAlignment="1">
      <alignment horizontal="center" vertical="center"/>
    </xf>
    <xf numFmtId="0" fontId="45" fillId="0" borderId="0" xfId="0" applyFont="1"/>
    <xf numFmtId="173" fontId="8" fillId="0" borderId="1" xfId="0" applyNumberFormat="1" applyFont="1" applyBorder="1" applyAlignment="1">
      <alignment horizontal="center" vertical="center"/>
    </xf>
    <xf numFmtId="173" fontId="3" fillId="52" borderId="1" xfId="0" applyNumberFormat="1" applyFont="1" applyFill="1" applyBorder="1" applyAlignment="1">
      <alignment horizontal="center" vertical="center"/>
    </xf>
    <xf numFmtId="1" fontId="45" fillId="0" borderId="0" xfId="0" applyNumberFormat="1" applyFont="1"/>
    <xf numFmtId="9" fontId="3" fillId="52" borderId="2" xfId="8" applyFont="1" applyFill="1" applyBorder="1" applyAlignment="1">
      <alignment horizontal="center" vertical="center"/>
    </xf>
    <xf numFmtId="1" fontId="3" fillId="52" borderId="2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172" fontId="43" fillId="53" borderId="1" xfId="0" applyNumberFormat="1" applyFont="1" applyFill="1" applyBorder="1" applyAlignment="1">
      <alignment horizontal="center" vertical="center"/>
    </xf>
    <xf numFmtId="9" fontId="46" fillId="50" borderId="1" xfId="0" applyNumberFormat="1" applyFont="1" applyFill="1" applyBorder="1" applyAlignment="1">
      <alignment horizontal="center" vertical="center"/>
    </xf>
    <xf numFmtId="2" fontId="45" fillId="0" borderId="0" xfId="8" applyNumberFormat="1" applyFont="1"/>
    <xf numFmtId="9" fontId="45" fillId="0" borderId="0" xfId="8" applyFont="1"/>
    <xf numFmtId="9" fontId="45" fillId="0" borderId="0" xfId="0" applyNumberFormat="1" applyFont="1"/>
    <xf numFmtId="2" fontId="45" fillId="0" borderId="0" xfId="0" applyNumberFormat="1" applyFont="1"/>
    <xf numFmtId="172" fontId="47" fillId="53" borderId="41" xfId="0" applyNumberFormat="1" applyFont="1" applyFill="1" applyBorder="1" applyAlignment="1">
      <alignment horizontal="center" vertical="center"/>
    </xf>
    <xf numFmtId="172" fontId="47" fillId="53" borderId="42" xfId="0" applyNumberFormat="1" applyFont="1" applyFill="1" applyBorder="1" applyAlignment="1">
      <alignment horizontal="center" vertical="center"/>
    </xf>
    <xf numFmtId="1" fontId="47" fillId="53" borderId="4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47" fillId="0" borderId="34" xfId="0" applyFont="1" applyBorder="1" applyAlignment="1">
      <alignment horizontal="center" vertical="center"/>
    </xf>
    <xf numFmtId="0" fontId="47" fillId="0" borderId="2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47" fillId="54" borderId="36" xfId="0" applyFont="1" applyFill="1" applyBorder="1" applyAlignment="1">
      <alignment horizontal="center" vertical="center"/>
    </xf>
    <xf numFmtId="0" fontId="47" fillId="54" borderId="1" xfId="0" applyFont="1" applyFill="1" applyBorder="1" applyAlignment="1">
      <alignment horizontal="left" vertical="center"/>
    </xf>
    <xf numFmtId="1" fontId="3" fillId="54" borderId="1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0" fontId="47" fillId="55" borderId="36" xfId="0" applyFont="1" applyFill="1" applyBorder="1" applyAlignment="1">
      <alignment horizontal="center" vertical="center"/>
    </xf>
    <xf numFmtId="0" fontId="47" fillId="55" borderId="1" xfId="0" applyFont="1" applyFill="1" applyBorder="1" applyAlignment="1">
      <alignment horizontal="left" vertical="center"/>
    </xf>
    <xf numFmtId="1" fontId="3" fillId="55" borderId="1" xfId="0" applyNumberFormat="1" applyFont="1" applyFill="1" applyBorder="1" applyAlignment="1">
      <alignment horizontal="center" vertical="center"/>
    </xf>
    <xf numFmtId="0" fontId="47" fillId="49" borderId="48" xfId="0" applyFont="1" applyFill="1" applyBorder="1" applyAlignment="1">
      <alignment horizontal="center" vertical="center"/>
    </xf>
    <xf numFmtId="0" fontId="47" fillId="49" borderId="49" xfId="0" applyFont="1" applyFill="1" applyBorder="1" applyAlignment="1">
      <alignment horizontal="left" vertical="center"/>
    </xf>
    <xf numFmtId="1" fontId="3" fillId="49" borderId="4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47" fillId="55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40" fillId="0" borderId="0" xfId="0" applyFont="1" applyAlignment="1">
      <alignment vertical="center"/>
    </xf>
    <xf numFmtId="172" fontId="47" fillId="56" borderId="41" xfId="0" applyNumberFormat="1" applyFont="1" applyFill="1" applyBorder="1" applyAlignment="1">
      <alignment horizontal="center" vertical="center"/>
    </xf>
    <xf numFmtId="172" fontId="47" fillId="56" borderId="42" xfId="0" applyNumberFormat="1" applyFont="1" applyFill="1" applyBorder="1" applyAlignment="1">
      <alignment horizontal="center" vertical="center"/>
    </xf>
    <xf numFmtId="172" fontId="47" fillId="56" borderId="42" xfId="0" applyNumberFormat="1" applyFont="1" applyFill="1" applyBorder="1" applyAlignment="1">
      <alignment horizontal="center" vertical="center" wrapText="1"/>
    </xf>
    <xf numFmtId="0" fontId="47" fillId="14" borderId="36" xfId="0" applyFont="1" applyFill="1" applyBorder="1" applyAlignment="1">
      <alignment horizontal="center" vertical="center"/>
    </xf>
    <xf numFmtId="0" fontId="47" fillId="14" borderId="1" xfId="0" applyFont="1" applyFill="1" applyBorder="1" applyAlignment="1">
      <alignment horizontal="left" vertical="center"/>
    </xf>
    <xf numFmtId="1" fontId="3" fillId="14" borderId="1" xfId="0" applyNumberFormat="1" applyFont="1" applyFill="1" applyBorder="1" applyAlignment="1">
      <alignment horizontal="center" vertical="center"/>
    </xf>
    <xf numFmtId="0" fontId="47" fillId="46" borderId="36" xfId="0" applyFont="1" applyFill="1" applyBorder="1" applyAlignment="1">
      <alignment horizontal="center" vertical="center"/>
    </xf>
    <xf numFmtId="0" fontId="47" fillId="46" borderId="1" xfId="0" applyFont="1" applyFill="1" applyBorder="1" applyAlignment="1">
      <alignment horizontal="left" vertical="center"/>
    </xf>
    <xf numFmtId="1" fontId="3" fillId="46" borderId="1" xfId="0" applyNumberFormat="1" applyFont="1" applyFill="1" applyBorder="1" applyAlignment="1">
      <alignment horizontal="center" vertical="center"/>
    </xf>
    <xf numFmtId="1" fontId="3" fillId="49" borderId="50" xfId="0" applyNumberFormat="1" applyFont="1" applyFill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3" fillId="46" borderId="37" xfId="0" applyNumberFormat="1" applyFont="1" applyFill="1" applyBorder="1" applyAlignment="1">
      <alignment horizontal="center" vertical="center"/>
    </xf>
    <xf numFmtId="0" fontId="48" fillId="3" borderId="36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left" vertical="center"/>
    </xf>
    <xf numFmtId="1" fontId="48" fillId="3" borderId="1" xfId="0" applyNumberFormat="1" applyFont="1" applyFill="1" applyBorder="1" applyAlignment="1">
      <alignment horizontal="center" vertical="center"/>
    </xf>
    <xf numFmtId="1" fontId="48" fillId="3" borderId="37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7" fillId="54" borderId="20" xfId="0" applyFont="1" applyFill="1" applyBorder="1" applyAlignment="1">
      <alignment horizontal="center" vertical="center"/>
    </xf>
    <xf numFmtId="0" fontId="47" fillId="54" borderId="21" xfId="0" applyFont="1" applyFill="1" applyBorder="1" applyAlignment="1">
      <alignment horizontal="left" vertical="center"/>
    </xf>
    <xf numFmtId="1" fontId="3" fillId="57" borderId="21" xfId="0" applyNumberFormat="1" applyFont="1" applyFill="1" applyBorder="1" applyAlignment="1">
      <alignment horizontal="center" vertical="center"/>
    </xf>
    <xf numFmtId="1" fontId="3" fillId="54" borderId="21" xfId="0" applyNumberFormat="1" applyFont="1" applyFill="1" applyBorder="1" applyAlignment="1">
      <alignment horizontal="center" vertical="center"/>
    </xf>
    <xf numFmtId="1" fontId="3" fillId="54" borderId="25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9" fontId="6" fillId="3" borderId="0" xfId="8" applyFont="1" applyFill="1" applyAlignment="1">
      <alignment vertical="center"/>
    </xf>
    <xf numFmtId="1" fontId="3" fillId="11" borderId="2" xfId="0" applyNumberFormat="1" applyFont="1" applyFill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center" vertical="center"/>
    </xf>
    <xf numFmtId="1" fontId="3" fillId="54" borderId="37" xfId="0" applyNumberFormat="1" applyFont="1" applyFill="1" applyBorder="1" applyAlignment="1">
      <alignment horizontal="center" vertical="center"/>
    </xf>
    <xf numFmtId="1" fontId="47" fillId="55" borderId="37" xfId="0" applyNumberFormat="1" applyFont="1" applyFill="1" applyBorder="1" applyAlignment="1">
      <alignment horizontal="center" vertical="center"/>
    </xf>
    <xf numFmtId="1" fontId="3" fillId="57" borderId="1" xfId="0" applyNumberFormat="1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/>
    </xf>
    <xf numFmtId="9" fontId="3" fillId="11" borderId="42" xfId="8" applyFont="1" applyFill="1" applyBorder="1" applyAlignment="1">
      <alignment horizontal="center" vertical="center"/>
    </xf>
    <xf numFmtId="9" fontId="3" fillId="11" borderId="43" xfId="8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/>
    <xf numFmtId="173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7" borderId="25" xfId="0" applyFont="1" applyFill="1" applyBorder="1" applyAlignment="1">
      <alignment horizontal="center" vertical="center" wrapText="1"/>
    </xf>
    <xf numFmtId="174" fontId="3" fillId="12" borderId="20" xfId="0" applyNumberFormat="1" applyFont="1" applyFill="1" applyBorder="1" applyAlignment="1">
      <alignment horizontal="center" vertical="center"/>
    </xf>
    <xf numFmtId="174" fontId="3" fillId="12" borderId="21" xfId="0" applyNumberFormat="1" applyFont="1" applyFill="1" applyBorder="1" applyAlignment="1">
      <alignment horizontal="center" vertical="center"/>
    </xf>
    <xf numFmtId="0" fontId="50" fillId="14" borderId="0" xfId="0" applyFont="1" applyFill="1"/>
    <xf numFmtId="165" fontId="34" fillId="0" borderId="1" xfId="1" applyNumberFormat="1" applyFont="1" applyBorder="1"/>
    <xf numFmtId="0" fontId="34" fillId="14" borderId="22" xfId="0" applyFont="1" applyFill="1" applyBorder="1" applyAlignment="1">
      <alignment horizontal="left"/>
    </xf>
    <xf numFmtId="17" fontId="0" fillId="14" borderId="23" xfId="0" applyNumberFormat="1" applyFill="1" applyBorder="1"/>
    <xf numFmtId="17" fontId="0" fillId="14" borderId="24" xfId="0" applyNumberFormat="1" applyFill="1" applyBorder="1"/>
    <xf numFmtId="165" fontId="5" fillId="10" borderId="42" xfId="1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" fontId="8" fillId="0" borderId="6" xfId="0" applyNumberFormat="1" applyFont="1" applyBorder="1" applyAlignment="1">
      <alignment horizontal="center" vertical="center"/>
    </xf>
    <xf numFmtId="1" fontId="3" fillId="4" borderId="20" xfId="0" applyNumberFormat="1" applyFont="1" applyFill="1" applyBorder="1" applyAlignment="1">
      <alignment horizontal="center" vertical="center" wrapText="1"/>
    </xf>
    <xf numFmtId="1" fontId="3" fillId="4" borderId="25" xfId="0" applyNumberFormat="1" applyFont="1" applyFill="1" applyBorder="1" applyAlignment="1">
      <alignment horizontal="center" vertical="center" wrapText="1"/>
    </xf>
    <xf numFmtId="1" fontId="8" fillId="0" borderId="37" xfId="1" applyNumberFormat="1" applyFont="1" applyFill="1" applyBorder="1" applyAlignment="1">
      <alignment horizontal="center" vertical="center"/>
    </xf>
    <xf numFmtId="1" fontId="8" fillId="0" borderId="27" xfId="1" applyNumberFormat="1" applyFont="1" applyFill="1" applyBorder="1" applyAlignment="1">
      <alignment horizontal="center" vertical="center"/>
    </xf>
    <xf numFmtId="1" fontId="5" fillId="10" borderId="42" xfId="1" applyNumberFormat="1" applyFont="1" applyFill="1" applyBorder="1" applyAlignment="1">
      <alignment horizontal="center" vertical="center"/>
    </xf>
    <xf numFmtId="1" fontId="10" fillId="4" borderId="21" xfId="0" applyNumberFormat="1" applyFont="1" applyFill="1" applyBorder="1" applyAlignment="1">
      <alignment horizontal="center" vertical="center" wrapText="1"/>
    </xf>
    <xf numFmtId="1" fontId="3" fillId="4" borderId="21" xfId="0" applyNumberFormat="1" applyFont="1" applyFill="1" applyBorder="1" applyAlignment="1">
      <alignment horizontal="center" vertical="center" wrapText="1"/>
    </xf>
    <xf numFmtId="1" fontId="9" fillId="0" borderId="1" xfId="1" applyNumberFormat="1" applyFont="1" applyFill="1" applyBorder="1" applyAlignment="1">
      <alignment horizontal="center" vertical="center" wrapText="1"/>
    </xf>
    <xf numFmtId="1" fontId="9" fillId="0" borderId="6" xfId="1" applyNumberFormat="1" applyFont="1" applyFill="1" applyBorder="1" applyAlignment="1">
      <alignment horizontal="center" vertical="center" wrapText="1"/>
    </xf>
    <xf numFmtId="1" fontId="9" fillId="0" borderId="36" xfId="1" applyNumberFormat="1" applyFont="1" applyFill="1" applyBorder="1" applyAlignment="1">
      <alignment horizontal="center" vertical="center" wrapText="1"/>
    </xf>
    <xf numFmtId="1" fontId="9" fillId="0" borderId="26" xfId="1" applyNumberFormat="1" applyFont="1" applyFill="1" applyBorder="1" applyAlignment="1">
      <alignment horizontal="center" vertical="center" wrapText="1"/>
    </xf>
    <xf numFmtId="38" fontId="51" fillId="0" borderId="1" xfId="1" applyNumberFormat="1" applyFont="1" applyFill="1" applyBorder="1" applyAlignment="1">
      <alignment horizontal="center" vertical="center" wrapText="1"/>
    </xf>
    <xf numFmtId="38" fontId="6" fillId="0" borderId="1" xfId="1" applyNumberFormat="1" applyFont="1" applyFill="1" applyBorder="1" applyAlignment="1">
      <alignment horizontal="center" vertical="center" wrapText="1"/>
    </xf>
    <xf numFmtId="165" fontId="5" fillId="10" borderId="41" xfId="1" applyNumberFormat="1" applyFont="1" applyFill="1" applyBorder="1" applyAlignment="1">
      <alignment horizontal="center" vertical="center"/>
    </xf>
    <xf numFmtId="0" fontId="42" fillId="14" borderId="0" xfId="0" applyFont="1" applyFill="1" applyAlignment="1">
      <alignment horizontal="center" vertical="center"/>
    </xf>
    <xf numFmtId="172" fontId="47" fillId="49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/>
    </xf>
    <xf numFmtId="1" fontId="8" fillId="0" borderId="36" xfId="1" applyNumberFormat="1" applyFont="1" applyBorder="1" applyAlignment="1">
      <alignment horizontal="center" vertical="center"/>
    </xf>
    <xf numFmtId="1" fontId="8" fillId="0" borderId="37" xfId="1" applyNumberFormat="1" applyFont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 vertical="center"/>
    </xf>
    <xf numFmtId="1" fontId="8" fillId="0" borderId="36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" fontId="2" fillId="0" borderId="36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46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7" fontId="52" fillId="0" borderId="1" xfId="0" applyNumberFormat="1" applyFont="1" applyBorder="1" applyAlignment="1">
      <alignment horizontal="center" vertical="center" wrapText="1"/>
    </xf>
    <xf numFmtId="0" fontId="34" fillId="0" borderId="0" xfId="0" applyFont="1"/>
    <xf numFmtId="165" fontId="6" fillId="0" borderId="1" xfId="1" applyNumberFormat="1" applyFont="1" applyBorder="1" applyAlignment="1">
      <alignment horizontal="center" vertical="center" wrapText="1"/>
    </xf>
    <xf numFmtId="165" fontId="8" fillId="0" borderId="4" xfId="1" applyNumberFormat="1" applyFont="1" applyFill="1" applyBorder="1" applyAlignment="1">
      <alignment horizontal="center" vertical="center" wrapText="1"/>
    </xf>
    <xf numFmtId="165" fontId="8" fillId="0" borderId="7" xfId="1" applyNumberFormat="1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/>
    </xf>
    <xf numFmtId="165" fontId="5" fillId="10" borderId="44" xfId="1" applyNumberFormat="1" applyFont="1" applyFill="1" applyBorder="1" applyAlignment="1">
      <alignment horizontal="center" vertical="center"/>
    </xf>
    <xf numFmtId="165" fontId="5" fillId="10" borderId="43" xfId="1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2" fillId="12" borderId="1" xfId="0" applyNumberFormat="1" applyFont="1" applyFill="1" applyBorder="1" applyAlignment="1">
      <alignment vertical="center"/>
    </xf>
    <xf numFmtId="1" fontId="50" fillId="8" borderId="4" xfId="0" applyNumberFormat="1" applyFont="1" applyFill="1" applyBorder="1" applyAlignment="1">
      <alignment horizontal="center" vertical="center"/>
    </xf>
    <xf numFmtId="172" fontId="53" fillId="0" borderId="1" xfId="0" applyNumberFormat="1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vertical="center"/>
    </xf>
    <xf numFmtId="172" fontId="10" fillId="58" borderId="1" xfId="0" applyNumberFormat="1" applyFont="1" applyFill="1" applyBorder="1" applyAlignment="1">
      <alignment horizontal="center" vertical="center"/>
    </xf>
    <xf numFmtId="1" fontId="2" fillId="12" borderId="1" xfId="0" applyNumberFormat="1" applyFont="1" applyFill="1" applyBorder="1" applyAlignment="1">
      <alignment horizontal="center" vertical="center"/>
    </xf>
    <xf numFmtId="1" fontId="50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54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/>
    </xf>
    <xf numFmtId="0" fontId="10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vertical="center"/>
    </xf>
    <xf numFmtId="1" fontId="0" fillId="0" borderId="0" xfId="0" applyNumberFormat="1"/>
    <xf numFmtId="165" fontId="6" fillId="0" borderId="1" xfId="0" applyNumberFormat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14" fontId="6" fillId="59" borderId="1" xfId="0" applyNumberFormat="1" applyFont="1" applyFill="1" applyBorder="1" applyAlignment="1">
      <alignment horizontal="center" vertical="center" wrapText="1"/>
    </xf>
    <xf numFmtId="165" fontId="6" fillId="59" borderId="1" xfId="1" applyNumberFormat="1" applyFont="1" applyFill="1" applyBorder="1" applyAlignment="1">
      <alignment horizontal="center" vertical="center" wrapText="1"/>
    </xf>
    <xf numFmtId="1" fontId="6" fillId="59" borderId="1" xfId="0" applyNumberFormat="1" applyFont="1" applyFill="1" applyBorder="1" applyAlignment="1">
      <alignment horizontal="center" vertical="center" wrapText="1"/>
    </xf>
    <xf numFmtId="0" fontId="52" fillId="59" borderId="1" xfId="0" applyFont="1" applyFill="1" applyBorder="1" applyAlignment="1">
      <alignment horizontal="center" vertical="center" wrapText="1"/>
    </xf>
    <xf numFmtId="0" fontId="2" fillId="59" borderId="0" xfId="0" applyFont="1" applyFill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9" fontId="10" fillId="0" borderId="1" xfId="8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6" fillId="11" borderId="1" xfId="0" applyNumberFormat="1" applyFont="1" applyFill="1" applyBorder="1" applyAlignment="1">
      <alignment horizontal="center" vertical="center" wrapText="1"/>
    </xf>
    <xf numFmtId="165" fontId="6" fillId="11" borderId="1" xfId="1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0" fontId="52" fillId="11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168" fontId="55" fillId="0" borderId="1" xfId="0" applyNumberFormat="1" applyFont="1" applyBorder="1" applyAlignment="1">
      <alignment horizontal="center" vertical="center" wrapText="1"/>
    </xf>
    <xf numFmtId="165" fontId="52" fillId="0" borderId="1" xfId="1" applyNumberFormat="1" applyFont="1" applyBorder="1" applyAlignment="1">
      <alignment horizontal="center" vertical="center"/>
    </xf>
    <xf numFmtId="165" fontId="52" fillId="11" borderId="1" xfId="1" applyNumberFormat="1" applyFont="1" applyFill="1" applyBorder="1" applyAlignment="1">
      <alignment horizontal="center" vertical="center"/>
    </xf>
    <xf numFmtId="165" fontId="52" fillId="59" borderId="1" xfId="1" applyNumberFormat="1" applyFont="1" applyFill="1" applyBorder="1" applyAlignment="1">
      <alignment horizontal="center" vertical="center"/>
    </xf>
    <xf numFmtId="0" fontId="41" fillId="12" borderId="52" xfId="0" applyFont="1" applyFill="1" applyBorder="1" applyAlignment="1">
      <alignment horizontal="center" vertical="center"/>
    </xf>
    <xf numFmtId="0" fontId="41" fillId="12" borderId="51" xfId="0" applyFont="1" applyFill="1" applyBorder="1" applyAlignment="1">
      <alignment horizontal="center" vertical="center"/>
    </xf>
    <xf numFmtId="0" fontId="41" fillId="12" borderId="40" xfId="0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center"/>
    </xf>
    <xf numFmtId="0" fontId="41" fillId="7" borderId="51" xfId="0" applyFont="1" applyFill="1" applyBorder="1" applyAlignment="1">
      <alignment horizontal="center" vertical="center"/>
    </xf>
    <xf numFmtId="0" fontId="41" fillId="7" borderId="40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center" vertical="center"/>
    </xf>
    <xf numFmtId="0" fontId="42" fillId="4" borderId="54" xfId="0" applyFont="1" applyFill="1" applyBorder="1" applyAlignment="1">
      <alignment horizontal="center" vertical="center"/>
    </xf>
    <xf numFmtId="0" fontId="42" fillId="4" borderId="55" xfId="0" applyFont="1" applyFill="1" applyBorder="1" applyAlignment="1">
      <alignment horizontal="center" vertical="center"/>
    </xf>
    <xf numFmtId="0" fontId="42" fillId="14" borderId="52" xfId="0" applyFont="1" applyFill="1" applyBorder="1" applyAlignment="1">
      <alignment horizontal="center" vertical="center"/>
    </xf>
    <xf numFmtId="0" fontId="42" fillId="14" borderId="51" xfId="0" applyFont="1" applyFill="1" applyBorder="1" applyAlignment="1">
      <alignment horizontal="center" vertical="center"/>
    </xf>
    <xf numFmtId="0" fontId="42" fillId="14" borderId="40" xfId="0" applyFont="1" applyFill="1" applyBorder="1" applyAlignment="1">
      <alignment horizontal="center" vertical="center"/>
    </xf>
    <xf numFmtId="165" fontId="3" fillId="2" borderId="32" xfId="1" applyNumberFormat="1" applyFont="1" applyFill="1" applyBorder="1" applyAlignment="1">
      <alignment horizontal="center" vertical="center" wrapText="1"/>
    </xf>
    <xf numFmtId="165" fontId="3" fillId="2" borderId="33" xfId="1" applyNumberFormat="1" applyFont="1" applyFill="1" applyBorder="1" applyAlignment="1">
      <alignment horizontal="center" vertical="center" wrapText="1"/>
    </xf>
    <xf numFmtId="0" fontId="7" fillId="47" borderId="22" xfId="0" applyFont="1" applyFill="1" applyBorder="1" applyAlignment="1">
      <alignment horizontal="center" vertical="center" wrapText="1"/>
    </xf>
    <xf numFmtId="0" fontId="7" fillId="47" borderId="23" xfId="0" applyFont="1" applyFill="1" applyBorder="1" applyAlignment="1">
      <alignment horizontal="center" vertical="center" wrapText="1"/>
    </xf>
    <xf numFmtId="0" fontId="7" fillId="47" borderId="24" xfId="0" applyFont="1" applyFill="1" applyBorder="1" applyAlignment="1">
      <alignment horizontal="center" vertical="center" wrapText="1"/>
    </xf>
    <xf numFmtId="0" fontId="7" fillId="48" borderId="22" xfId="0" applyFont="1" applyFill="1" applyBorder="1" applyAlignment="1">
      <alignment horizontal="center" vertical="center" wrapText="1"/>
    </xf>
    <xf numFmtId="0" fontId="7" fillId="48" borderId="23" xfId="0" applyFont="1" applyFill="1" applyBorder="1" applyAlignment="1">
      <alignment horizontal="center" vertical="center" wrapText="1"/>
    </xf>
    <xf numFmtId="0" fontId="7" fillId="48" borderId="24" xfId="0" applyFont="1" applyFill="1" applyBorder="1" applyAlignment="1">
      <alignment horizontal="center" vertical="center" wrapText="1"/>
    </xf>
    <xf numFmtId="1" fontId="7" fillId="4" borderId="22" xfId="0" applyNumberFormat="1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1" fontId="7" fillId="4" borderId="24" xfId="0" applyNumberFormat="1" applyFont="1" applyFill="1" applyBorder="1" applyAlignment="1">
      <alignment horizontal="center" vertical="center" wrapText="1"/>
    </xf>
    <xf numFmtId="0" fontId="7" fillId="9" borderId="22" xfId="0" applyFont="1" applyFill="1" applyBorder="1" applyAlignment="1">
      <alignment horizontal="center" vertical="center" wrapText="1"/>
    </xf>
    <xf numFmtId="0" fontId="7" fillId="9" borderId="23" xfId="0" applyFont="1" applyFill="1" applyBorder="1" applyAlignment="1">
      <alignment horizontal="center" vertical="center" wrapText="1"/>
    </xf>
    <xf numFmtId="0" fontId="7" fillId="9" borderId="24" xfId="0" applyFont="1" applyFill="1" applyBorder="1" applyAlignment="1">
      <alignment horizontal="center" vertical="center" wrapText="1"/>
    </xf>
    <xf numFmtId="165" fontId="5" fillId="10" borderId="41" xfId="1" applyNumberFormat="1" applyFont="1" applyFill="1" applyBorder="1" applyAlignment="1">
      <alignment horizontal="center" vertical="center"/>
    </xf>
    <xf numFmtId="165" fontId="5" fillId="10" borderId="42" xfId="1" applyNumberFormat="1" applyFont="1" applyFill="1" applyBorder="1" applyAlignment="1">
      <alignment horizontal="center" vertical="center"/>
    </xf>
    <xf numFmtId="14" fontId="5" fillId="10" borderId="42" xfId="1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14" fontId="3" fillId="2" borderId="29" xfId="0" applyNumberFormat="1" applyFont="1" applyFill="1" applyBorder="1" applyAlignment="1">
      <alignment horizontal="center" vertical="center" wrapText="1"/>
    </xf>
    <xf numFmtId="14" fontId="3" fillId="2" borderId="31" xfId="0" applyNumberFormat="1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53" fillId="0" borderId="4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3" fillId="2" borderId="6" xfId="0" applyFont="1" applyFill="1" applyBorder="1" applyAlignment="1">
      <alignment horizontal="center" vertical="center"/>
    </xf>
    <xf numFmtId="0" fontId="53" fillId="2" borderId="57" xfId="0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3" fillId="0" borderId="5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2" borderId="49" xfId="0" applyFont="1" applyFill="1" applyBorder="1" applyAlignment="1">
      <alignment horizontal="center" vertical="center"/>
    </xf>
    <xf numFmtId="165" fontId="5" fillId="1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72">
    <cellStyle name="20% - Accent1" xfId="40" builtinId="30" customBuiltin="1"/>
    <cellStyle name="20% - Accent2" xfId="44" builtinId="34" customBuiltin="1"/>
    <cellStyle name="20% - Accent3" xfId="48" builtinId="38" customBuiltin="1"/>
    <cellStyle name="20% - Accent4" xfId="52" builtinId="42" customBuiltin="1"/>
    <cellStyle name="20% - Accent5" xfId="56" builtinId="46" customBuiltin="1"/>
    <cellStyle name="20% - Accent6" xfId="60" builtinId="50" customBuiltin="1"/>
    <cellStyle name="40% - Accent1" xfId="41" builtinId="31" customBuiltin="1"/>
    <cellStyle name="40% - Accent2" xfId="45" builtinId="35" customBuiltin="1"/>
    <cellStyle name="40% - Accent3" xfId="49" builtinId="39" customBuiltin="1"/>
    <cellStyle name="40% - Accent4" xfId="53" builtinId="43" customBuiltin="1"/>
    <cellStyle name="40% - Accent5" xfId="57" builtinId="47" customBuiltin="1"/>
    <cellStyle name="40% - Accent6" xfId="61" builtinId="51" customBuiltin="1"/>
    <cellStyle name="60% - Accent1" xfId="42" builtinId="32" customBuiltin="1"/>
    <cellStyle name="60% - Accent2" xfId="46" builtinId="36" customBuiltin="1"/>
    <cellStyle name="60% - Accent3" xfId="50" builtinId="40" customBuiltin="1"/>
    <cellStyle name="60% - Accent4" xfId="54" builtinId="44" customBuiltin="1"/>
    <cellStyle name="60% - Accent5" xfId="58" builtinId="48" customBuiltin="1"/>
    <cellStyle name="60% - Accent6" xfId="62" builtinId="52" customBuiltin="1"/>
    <cellStyle name="Accent1" xfId="39" builtinId="29" customBuiltin="1"/>
    <cellStyle name="Accent2" xfId="43" builtinId="33" customBuiltin="1"/>
    <cellStyle name="Accent3" xfId="47" builtinId="37" customBuiltin="1"/>
    <cellStyle name="Accent4" xfId="51" builtinId="41" customBuiltin="1"/>
    <cellStyle name="Accent5" xfId="55" builtinId="45" customBuiltin="1"/>
    <cellStyle name="Accent6" xfId="59" builtinId="49" customBuiltin="1"/>
    <cellStyle name="Bad" xfId="28" builtinId="27" customBuiltin="1"/>
    <cellStyle name="Calculation" xfId="32" builtinId="22" customBuiltin="1"/>
    <cellStyle name="Check Cell" xfId="34" builtinId="23" customBuiltin="1"/>
    <cellStyle name="Comma" xfId="1" builtinId="3"/>
    <cellStyle name="Comma 2" xfId="14" xr:uid="{00000000-0005-0000-0000-00001C000000}"/>
    <cellStyle name="Comma 3" xfId="22" xr:uid="{00000000-0005-0000-0000-00001D000000}"/>
    <cellStyle name="Comma 4" xfId="71" xr:uid="{25B60128-638D-4E70-A6FD-7E7E9204F639}"/>
    <cellStyle name="Explanatory Text" xfId="37" builtinId="53" customBuiltin="1"/>
    <cellStyle name="Good" xfId="27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30" builtinId="20" customBuiltin="1"/>
    <cellStyle name="Linked Cell" xfId="33" builtinId="24" customBuiltin="1"/>
    <cellStyle name="Neutral" xfId="29" builtinId="28" customBuiltin="1"/>
    <cellStyle name="Normal" xfId="0" builtinId="0"/>
    <cellStyle name="Normal 10" xfId="67" xr:uid="{00000000-0005-0000-0000-000028000000}"/>
    <cellStyle name="Normal 10 2" xfId="69" xr:uid="{348B9E01-D2A8-4666-B864-3C99AB56135D}"/>
    <cellStyle name="Normal 10 2 3" xfId="64" xr:uid="{00000000-0005-0000-0000-000029000000}"/>
    <cellStyle name="Normal 11" xfId="70" xr:uid="{4205A0F3-2B5C-4AE3-93F2-7D8DD0D1770E}"/>
    <cellStyle name="Normal 119 2" xfId="65" xr:uid="{00000000-0005-0000-0000-00002A000000}"/>
    <cellStyle name="Normal 2" xfId="3" xr:uid="{00000000-0005-0000-0000-00002B000000}"/>
    <cellStyle name="Normal 2 2" xfId="5" xr:uid="{00000000-0005-0000-0000-00002C000000}"/>
    <cellStyle name="Normal 2 3" xfId="15" xr:uid="{00000000-0005-0000-0000-00002D000000}"/>
    <cellStyle name="Normal 3" xfId="4" xr:uid="{00000000-0005-0000-0000-00002E000000}"/>
    <cellStyle name="Normal 3 2" xfId="16" xr:uid="{00000000-0005-0000-0000-00002F000000}"/>
    <cellStyle name="Normal 4" xfId="6" xr:uid="{00000000-0005-0000-0000-000030000000}"/>
    <cellStyle name="Normal 4 2" xfId="17" xr:uid="{00000000-0005-0000-0000-000031000000}"/>
    <cellStyle name="Normal 5" xfId="7" xr:uid="{00000000-0005-0000-0000-000032000000}"/>
    <cellStyle name="Normal 5 2" xfId="18" xr:uid="{00000000-0005-0000-0000-000033000000}"/>
    <cellStyle name="Normal 6" xfId="9" xr:uid="{00000000-0005-0000-0000-000034000000}"/>
    <cellStyle name="Normal 6 2" xfId="20" xr:uid="{00000000-0005-0000-0000-000035000000}"/>
    <cellStyle name="Normal 7" xfId="12" xr:uid="{00000000-0005-0000-0000-000036000000}"/>
    <cellStyle name="Normal 7 2" xfId="21" xr:uid="{00000000-0005-0000-0000-000037000000}"/>
    <cellStyle name="Normal 8" xfId="13" xr:uid="{00000000-0005-0000-0000-000038000000}"/>
    <cellStyle name="Normal 88" xfId="2" xr:uid="{00000000-0005-0000-0000-000039000000}"/>
    <cellStyle name="Normal 9" xfId="66" xr:uid="{00000000-0005-0000-0000-00003A000000}"/>
    <cellStyle name="Normal 9 2" xfId="68" xr:uid="{FA1253EB-5753-4CAA-8248-AB7D8DC83338}"/>
    <cellStyle name="Note" xfId="36" builtinId="10" customBuiltin="1"/>
    <cellStyle name="Output" xfId="31" builtinId="21" customBuiltin="1"/>
    <cellStyle name="Percent" xfId="8" builtinId="5"/>
    <cellStyle name="Percent 2" xfId="19" xr:uid="{00000000-0005-0000-0000-00003E000000}"/>
    <cellStyle name="Percent 3" xfId="10" xr:uid="{00000000-0005-0000-0000-00003F000000}"/>
    <cellStyle name="Percent 8" xfId="11" xr:uid="{00000000-0005-0000-0000-000040000000}"/>
    <cellStyle name="Title 2" xfId="63" xr:uid="{00000000-0005-0000-0000-000041000000}"/>
    <cellStyle name="Total" xfId="38" builtinId="25" customBuiltin="1"/>
    <cellStyle name="Warning Text" xfId="35" builtinId="11" customBuiltin="1"/>
  </cellStyles>
  <dxfs count="505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B8E08C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B8E08C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32CE5B"/>
      <color rgb="FF0032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16" Type="http://schemas.openxmlformats.org/officeDocument/2006/relationships/externalLink" Target="externalLinks/externalLink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74" Type="http://schemas.openxmlformats.org/officeDocument/2006/relationships/pivotCacheDefinition" Target="pivotCache/pivotCacheDefinition2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0.xml"/><Relationship Id="rId75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pivotCacheDefinition" Target="pivotCache/pivotCacheDefinition1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518587065284728E-2"/>
          <c:y val="4.7705932308074364E-2"/>
          <c:w val="0.77092321215280246"/>
          <c:h val="0.77158145290545932"/>
        </c:manualLayout>
      </c:layout>
      <c:areaChart>
        <c:grouping val="standard"/>
        <c:varyColors val="0"/>
        <c:ser>
          <c:idx val="3"/>
          <c:order val="5"/>
          <c:tx>
            <c:strRef>
              <c:f>'SCB ACTUAL'!$A$29</c:f>
              <c:strCache>
                <c:ptCount val="1"/>
                <c:pt idx="0">
                  <c:v>NPK</c:v>
                </c:pt>
              </c:strCache>
            </c:strRef>
          </c:tx>
          <c:spPr>
            <a:pattFill prst="pct60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dLbls>
            <c:dLbl>
              <c:idx val="0"/>
              <c:layout>
                <c:manualLayout>
                  <c:x val="0"/>
                  <c:y val="-0.38986124623362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72-442E-A878-50D168B6E71E}"/>
                </c:ext>
              </c:extLst>
            </c:dLbl>
            <c:dLbl>
              <c:idx val="1"/>
              <c:layout>
                <c:manualLayout>
                  <c:x val="-2.2658163543927224E-17"/>
                  <c:y val="-0.38063376111566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72-442E-A878-50D168B6E71E}"/>
                </c:ext>
              </c:extLst>
            </c:dLbl>
            <c:dLbl>
              <c:idx val="2"/>
              <c:layout>
                <c:manualLayout>
                  <c:x val="-2.4718282137781069E-3"/>
                  <c:y val="-0.392168117513112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72-442E-A878-50D168B6E71E}"/>
                </c:ext>
              </c:extLst>
            </c:dLbl>
            <c:dLbl>
              <c:idx val="3"/>
              <c:layout>
                <c:manualLayout>
                  <c:x val="1.2359141068890081E-3"/>
                  <c:y val="-0.385247503674646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72-442E-A878-50D168B6E71E}"/>
                </c:ext>
              </c:extLst>
            </c:dLbl>
            <c:dLbl>
              <c:idx val="4"/>
              <c:layout>
                <c:manualLayout>
                  <c:x val="-4.9436564275562138E-3"/>
                  <c:y val="-0.38063376111566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72-442E-A878-50D168B6E71E}"/>
                </c:ext>
              </c:extLst>
            </c:dLbl>
            <c:dLbl>
              <c:idx val="5"/>
              <c:layout>
                <c:manualLayout>
                  <c:x val="-8.6513987482234184E-3"/>
                  <c:y val="-0.41523683030800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72-442E-A878-50D168B6E71E}"/>
                </c:ext>
              </c:extLst>
            </c:dLbl>
            <c:dLbl>
              <c:idx val="6"/>
              <c:layout>
                <c:manualLayout>
                  <c:x val="-1.112322696200148E-2"/>
                  <c:y val="-0.382940632395157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72-442E-A878-50D168B6E71E}"/>
                </c:ext>
              </c:extLst>
            </c:dLbl>
            <c:dLbl>
              <c:idx val="7"/>
              <c:layout>
                <c:manualLayout>
                  <c:x val="-7.4154846413343198E-3"/>
                  <c:y val="-0.38986124623362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72-442E-A878-50D168B6E71E}"/>
                </c:ext>
              </c:extLst>
            </c:dLbl>
            <c:dLbl>
              <c:idx val="8"/>
              <c:layout>
                <c:manualLayout>
                  <c:x val="-3.7077423206671599E-3"/>
                  <c:y val="-0.38063376111566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72-442E-A878-50D168B6E71E}"/>
                </c:ext>
              </c:extLst>
            </c:dLbl>
            <c:dLbl>
              <c:idx val="9"/>
              <c:layout>
                <c:manualLayout>
                  <c:x val="-7.4154846413344109E-3"/>
                  <c:y val="-0.396781860072090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72-442E-A878-50D168B6E71E}"/>
                </c:ext>
              </c:extLst>
            </c:dLbl>
            <c:dLbl>
              <c:idx val="10"/>
              <c:layout>
                <c:manualLayout>
                  <c:x val="-1.3595055175779677E-2"/>
                  <c:y val="-0.387554374954135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72-442E-A878-50D168B6E71E}"/>
                </c:ext>
              </c:extLst>
            </c:dLbl>
            <c:dLbl>
              <c:idx val="11"/>
              <c:layout>
                <c:manualLayout>
                  <c:x val="-2.1010539817113816E-2"/>
                  <c:y val="-0.394474988792601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72-442E-A878-50D168B6E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ACTUAL'!$B$17:$M$17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ACTUAL'!$B$35:$M$35</c:f>
              <c:numCache>
                <c:formatCode>0</c:formatCode>
                <c:ptCount val="12"/>
                <c:pt idx="0">
                  <c:v>71.273837978904098</c:v>
                </c:pt>
                <c:pt idx="1">
                  <c:v>64.846000000000004</c:v>
                </c:pt>
                <c:pt idx="2">
                  <c:v>71.273837978904098</c:v>
                </c:pt>
                <c:pt idx="3">
                  <c:v>69.131540914520556</c:v>
                </c:pt>
                <c:pt idx="4">
                  <c:v>71.116978979452057</c:v>
                </c:pt>
                <c:pt idx="5">
                  <c:v>68.974681915068501</c:v>
                </c:pt>
                <c:pt idx="6">
                  <c:v>71.273837978904098</c:v>
                </c:pt>
                <c:pt idx="7">
                  <c:v>71.273837978904098</c:v>
                </c:pt>
                <c:pt idx="8">
                  <c:v>68.974681915068501</c:v>
                </c:pt>
                <c:pt idx="9">
                  <c:v>71.273837978904098</c:v>
                </c:pt>
                <c:pt idx="10">
                  <c:v>68.974681915068501</c:v>
                </c:pt>
                <c:pt idx="11">
                  <c:v>71.273837978904098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72-442E-A878-50D168B6E71E}"/>
            </c:ext>
          </c:extLst>
        </c:ser>
        <c:ser>
          <c:idx val="5"/>
          <c:order val="6"/>
          <c:tx>
            <c:strRef>
              <c:f>'SCB ACTUAL'!$A$26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chemeClr val="bg1">
                <a:lumMod val="75000"/>
                <a:alpha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layout>
                <c:manualLayout>
                  <c:x val="-1.2359141068890534E-3"/>
                  <c:y val="-0.352951305761801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72-442E-A878-50D168B6E71E}"/>
                </c:ext>
              </c:extLst>
            </c:dLbl>
            <c:dLbl>
              <c:idx val="1"/>
              <c:layout>
                <c:manualLayout>
                  <c:x val="-1.2359141068890534E-3"/>
                  <c:y val="-0.359871919600268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72-442E-A878-50D168B6E71E}"/>
                </c:ext>
              </c:extLst>
            </c:dLbl>
            <c:dLbl>
              <c:idx val="2"/>
              <c:layout>
                <c:manualLayout>
                  <c:x val="-1.235914106889076E-3"/>
                  <c:y val="-0.359871919600268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72-442E-A878-50D168B6E71E}"/>
                </c:ext>
              </c:extLst>
            </c:dLbl>
            <c:dLbl>
              <c:idx val="3"/>
              <c:layout>
                <c:manualLayout>
                  <c:x val="0"/>
                  <c:y val="-0.364485662159246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72-442E-A878-50D168B6E71E}"/>
                </c:ext>
              </c:extLst>
            </c:dLbl>
            <c:dLbl>
              <c:idx val="4"/>
              <c:layout>
                <c:manualLayout>
                  <c:x val="-3.7077423206672054E-3"/>
                  <c:y val="-0.369099404718223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72-442E-A878-50D168B6E71E}"/>
                </c:ext>
              </c:extLst>
            </c:dLbl>
            <c:dLbl>
              <c:idx val="5"/>
              <c:layout>
                <c:manualLayout>
                  <c:x val="-2.4718282137781975E-3"/>
                  <c:y val="-0.396781860072090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72-442E-A878-50D168B6E71E}"/>
                </c:ext>
              </c:extLst>
            </c:dLbl>
            <c:dLbl>
              <c:idx val="6"/>
              <c:layout>
                <c:manualLayout>
                  <c:x val="-1.112322696200148E-2"/>
                  <c:y val="-0.38986124623362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72-442E-A878-50D168B6E71E}"/>
                </c:ext>
              </c:extLst>
            </c:dLbl>
            <c:dLbl>
              <c:idx val="7"/>
              <c:layout>
                <c:manualLayout>
                  <c:x val="-4.943656427556304E-3"/>
                  <c:y val="-0.385247503674646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72-442E-A878-50D168B6E71E}"/>
                </c:ext>
              </c:extLst>
            </c:dLbl>
            <c:dLbl>
              <c:idx val="8"/>
              <c:layout>
                <c:manualLayout>
                  <c:x val="2.4718282137780163E-3"/>
                  <c:y val="-0.382940632395157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72-442E-A878-50D168B6E71E}"/>
                </c:ext>
              </c:extLst>
            </c:dLbl>
            <c:dLbl>
              <c:idx val="9"/>
              <c:layout>
                <c:manualLayout>
                  <c:x val="-2.4718282137781069E-3"/>
                  <c:y val="-0.41523683030800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72-442E-A878-50D168B6E71E}"/>
                </c:ext>
              </c:extLst>
            </c:dLbl>
            <c:dLbl>
              <c:idx val="10"/>
              <c:layout>
                <c:manualLayout>
                  <c:x val="-1.2359141068890625E-2"/>
                  <c:y val="-0.43830554310289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72-442E-A878-50D168B6E71E}"/>
                </c:ext>
              </c:extLst>
            </c:dLbl>
            <c:dLbl>
              <c:idx val="11"/>
              <c:layout>
                <c:manualLayout>
                  <c:x val="-8.6513987482234635E-3"/>
                  <c:y val="-0.477522354854202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72-442E-A878-50D168B6E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ACTUAL'!$B$17:$M$17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ACTUAL'!$B$26:$M$26</c:f>
              <c:numCache>
                <c:formatCode>0.0</c:formatCode>
                <c:ptCount val="12"/>
                <c:pt idx="0">
                  <c:v>70.601545000000002</c:v>
                </c:pt>
                <c:pt idx="1">
                  <c:v>65.326999999999998</c:v>
                </c:pt>
                <c:pt idx="2">
                  <c:v>70.376999999999995</c:v>
                </c:pt>
                <c:pt idx="3">
                  <c:v>70.067999999999998</c:v>
                </c:pt>
                <c:pt idx="4">
                  <c:v>70.043999999999997</c:v>
                </c:pt>
                <c:pt idx="5">
                  <c:v>66.834249999999997</c:v>
                </c:pt>
                <c:pt idx="6">
                  <c:v>64.262249999999995</c:v>
                </c:pt>
                <c:pt idx="7">
                  <c:v>63.695750000000004</c:v>
                </c:pt>
                <c:pt idx="8">
                  <c:v>59.171749999999996</c:v>
                </c:pt>
                <c:pt idx="9">
                  <c:v>59.660499999999999</c:v>
                </c:pt>
                <c:pt idx="10">
                  <c:v>55.201499999999996</c:v>
                </c:pt>
                <c:pt idx="11">
                  <c:v>37.396000000000001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372-442E-A878-50D168B6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17280"/>
        <c:axId val="98018816"/>
      </c:areaChart>
      <c:barChart>
        <c:barDir val="col"/>
        <c:grouping val="stacked"/>
        <c:varyColors val="0"/>
        <c:ser>
          <c:idx val="0"/>
          <c:order val="0"/>
          <c:tx>
            <c:strRef>
              <c:f>'SCB ACTUAL'!$A$18</c:f>
              <c:strCache>
                <c:ptCount val="1"/>
                <c:pt idx="0">
                  <c:v>WELDING</c:v>
                </c:pt>
              </c:strCache>
            </c:strRef>
          </c:tx>
          <c:spPr>
            <a:solidFill>
              <a:srgbClr val="0A3C55"/>
            </a:solidFill>
            <a:ln w="3175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A3C55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372-442E-A878-50D168B6E7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ACTUAL'!$B$29:$M$29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ACTUAL'!$B$18:$M$18</c:f>
              <c:numCache>
                <c:formatCode>0.0</c:formatCode>
                <c:ptCount val="12"/>
                <c:pt idx="0">
                  <c:v>51.351295</c:v>
                </c:pt>
                <c:pt idx="1">
                  <c:v>47.292999999999999</c:v>
                </c:pt>
                <c:pt idx="2">
                  <c:v>51.848999999999997</c:v>
                </c:pt>
                <c:pt idx="3">
                  <c:v>52.534999999999997</c:v>
                </c:pt>
                <c:pt idx="4">
                  <c:v>52.484999999999999</c:v>
                </c:pt>
                <c:pt idx="5">
                  <c:v>49.831249999999997</c:v>
                </c:pt>
                <c:pt idx="6">
                  <c:v>49.02675</c:v>
                </c:pt>
                <c:pt idx="7">
                  <c:v>47.313749999999999</c:v>
                </c:pt>
                <c:pt idx="8">
                  <c:v>44.617750000000001</c:v>
                </c:pt>
                <c:pt idx="9">
                  <c:v>44.183500000000002</c:v>
                </c:pt>
                <c:pt idx="10">
                  <c:v>41.776499999999999</c:v>
                </c:pt>
                <c:pt idx="11">
                  <c:v>24.975000000000001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372-442E-A878-50D168B6E71E}"/>
            </c:ext>
          </c:extLst>
        </c:ser>
        <c:ser>
          <c:idx val="1"/>
          <c:order val="1"/>
          <c:tx>
            <c:strRef>
              <c:f>'SCB ACTUAL'!$A$19</c:f>
              <c:strCache>
                <c:ptCount val="1"/>
                <c:pt idx="0">
                  <c:v>MACHINING</c:v>
                </c:pt>
              </c:strCache>
            </c:strRef>
          </c:tx>
          <c:spPr>
            <a:solidFill>
              <a:srgbClr val="006C92"/>
            </a:solidFill>
            <a:ln w="31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ACTUAL'!$B$29:$M$29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ACTUAL'!$B$19:$M$19</c:f>
              <c:numCache>
                <c:formatCode>0.0</c:formatCode>
                <c:ptCount val="12"/>
                <c:pt idx="0">
                  <c:v>7.5192200000000025</c:v>
                </c:pt>
                <c:pt idx="1">
                  <c:v>8.1530000000000005</c:v>
                </c:pt>
                <c:pt idx="2">
                  <c:v>9.0280000000000005</c:v>
                </c:pt>
                <c:pt idx="3">
                  <c:v>8.9469999999999992</c:v>
                </c:pt>
                <c:pt idx="4">
                  <c:v>9.1289999999999996</c:v>
                </c:pt>
                <c:pt idx="5">
                  <c:v>8.4749999999999996</c:v>
                </c:pt>
                <c:pt idx="6">
                  <c:v>6.7925000000000004</c:v>
                </c:pt>
                <c:pt idx="7">
                  <c:v>8.1440000000000001</c:v>
                </c:pt>
                <c:pt idx="8">
                  <c:v>6.54</c:v>
                </c:pt>
                <c:pt idx="9">
                  <c:v>7.6349999999999998</c:v>
                </c:pt>
                <c:pt idx="10">
                  <c:v>6.55</c:v>
                </c:pt>
                <c:pt idx="11">
                  <c:v>5.7560000000000002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372-442E-A878-50D168B6E71E}"/>
            </c:ext>
          </c:extLst>
        </c:ser>
        <c:ser>
          <c:idx val="2"/>
          <c:order val="2"/>
          <c:tx>
            <c:strRef>
              <c:f>'SCB ACTUAL'!$A$20</c:f>
              <c:strCache>
                <c:ptCount val="1"/>
                <c:pt idx="0">
                  <c:v>ASSEMBLY</c:v>
                </c:pt>
              </c:strCache>
            </c:strRef>
          </c:tx>
          <c:spPr>
            <a:solidFill>
              <a:srgbClr val="009ED6"/>
            </a:solidFill>
            <a:ln w="3175">
              <a:noFill/>
            </a:ln>
            <a:effectLst/>
          </c:spPr>
          <c:invertIfNegative val="0"/>
          <c:dLbls>
            <c:dLbl>
              <c:idx val="139"/>
              <c:layout>
                <c:manualLayout>
                  <c:x val="7.0365358592692759E-2"/>
                  <c:y val="-1.78287193527940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72-442E-A878-50D168B6E71E}"/>
                </c:ext>
              </c:extLst>
            </c:dLbl>
            <c:dLbl>
              <c:idx val="144"/>
              <c:layout>
                <c:manualLayout>
                  <c:x val="9.2769449291572638E-3"/>
                  <c:y val="1.0745888780897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72-442E-A878-50D168B6E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ACTUAL'!$B$29:$M$29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ACTUAL'!$B$20:$M$20</c:f>
              <c:numCache>
                <c:formatCode>0.0</c:formatCode>
                <c:ptCount val="12"/>
                <c:pt idx="0">
                  <c:v>4.9450099999999999</c:v>
                </c:pt>
                <c:pt idx="1">
                  <c:v>5.1589999999999998</c:v>
                </c:pt>
                <c:pt idx="2">
                  <c:v>5.7</c:v>
                </c:pt>
                <c:pt idx="3">
                  <c:v>5.6859999999999999</c:v>
                </c:pt>
                <c:pt idx="4">
                  <c:v>5.63</c:v>
                </c:pt>
                <c:pt idx="5">
                  <c:v>5.4279999999999999</c:v>
                </c:pt>
                <c:pt idx="6">
                  <c:v>5.5430000000000001</c:v>
                </c:pt>
                <c:pt idx="7">
                  <c:v>5.5380000000000003</c:v>
                </c:pt>
                <c:pt idx="8">
                  <c:v>5.6139999999999999</c:v>
                </c:pt>
                <c:pt idx="9">
                  <c:v>5.5419999999999998</c:v>
                </c:pt>
                <c:pt idx="10">
                  <c:v>4.7850000000000001</c:v>
                </c:pt>
                <c:pt idx="11">
                  <c:v>4.7649999999999997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372-442E-A878-50D168B6E71E}"/>
            </c:ext>
          </c:extLst>
        </c:ser>
        <c:ser>
          <c:idx val="4"/>
          <c:order val="3"/>
          <c:tx>
            <c:strRef>
              <c:f>'SCB ACTUAL'!$A$21</c:f>
              <c:strCache>
                <c:ptCount val="1"/>
                <c:pt idx="0">
                  <c:v>ROLL REFURBISHMENT</c:v>
                </c:pt>
              </c:strCache>
            </c:strRef>
          </c:tx>
          <c:spPr>
            <a:solidFill>
              <a:srgbClr val="78C1DE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6696044646972657E-5"/>
                  <c:y val="-2.285541546779679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72-442E-A878-50D168B6E71E}"/>
                </c:ext>
              </c:extLst>
            </c:dLbl>
            <c:dLbl>
              <c:idx val="137"/>
              <c:layout>
                <c:manualLayout>
                  <c:x val="3.0923149763857922E-3"/>
                  <c:y val="1.79098146348287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72-442E-A878-50D168B6E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ACTUAL'!$B$29:$M$29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ACTUAL'!$B$21:$M$21</c:f>
              <c:numCache>
                <c:formatCode>0.0</c:formatCode>
                <c:ptCount val="12"/>
                <c:pt idx="0">
                  <c:v>2.7650199999999998</c:v>
                </c:pt>
                <c:pt idx="1">
                  <c:v>2.2000000000000002</c:v>
                </c:pt>
                <c:pt idx="2">
                  <c:v>1.6</c:v>
                </c:pt>
                <c:pt idx="3">
                  <c:v>1.6</c:v>
                </c:pt>
                <c:pt idx="4">
                  <c:v>1.5</c:v>
                </c:pt>
                <c:pt idx="5">
                  <c:v>1.8</c:v>
                </c:pt>
                <c:pt idx="6">
                  <c:v>1.6</c:v>
                </c:pt>
                <c:pt idx="7">
                  <c:v>1.5</c:v>
                </c:pt>
                <c:pt idx="8">
                  <c:v>1.4</c:v>
                </c:pt>
                <c:pt idx="9">
                  <c:v>1.3</c:v>
                </c:pt>
                <c:pt idx="10">
                  <c:v>1.2</c:v>
                </c:pt>
                <c:pt idx="11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372-442E-A878-50D168B6E71E}"/>
            </c:ext>
          </c:extLst>
        </c:ser>
        <c:ser>
          <c:idx val="6"/>
          <c:order val="4"/>
          <c:tx>
            <c:strRef>
              <c:f>'SCB ACTUAL'!$A$22</c:f>
              <c:strCache>
                <c:ptCount val="1"/>
                <c:pt idx="0">
                  <c:v>PLATING</c:v>
                </c:pt>
              </c:strCache>
            </c:strRef>
          </c:tx>
          <c:spPr>
            <a:solidFill>
              <a:srgbClr val="727F92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135409748934083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72-442E-A878-50D168B6E71E}"/>
                </c:ext>
              </c:extLst>
            </c:dLbl>
            <c:dLbl>
              <c:idx val="136"/>
              <c:layout>
                <c:manualLayout>
                  <c:x val="3.5561622228436611E-2"/>
                  <c:y val="-1.2536870244380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72-442E-A878-50D168B6E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ACTUAL'!$B$29:$M$29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ACTUAL'!$B$22:$M$22</c:f>
              <c:numCache>
                <c:formatCode>0.0</c:formatCode>
                <c:ptCount val="12"/>
                <c:pt idx="0">
                  <c:v>4.0209999999999999</c:v>
                </c:pt>
                <c:pt idx="1">
                  <c:v>2.5219999999999998</c:v>
                </c:pt>
                <c:pt idx="2">
                  <c:v>2.2000000000000002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1.2</c:v>
                </c:pt>
                <c:pt idx="8">
                  <c:v>1</c:v>
                </c:pt>
                <c:pt idx="9">
                  <c:v>1</c:v>
                </c:pt>
                <c:pt idx="10">
                  <c:v>0.89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372-442E-A878-50D168B6E71E}"/>
            </c:ext>
          </c:extLst>
        </c:ser>
        <c:ser>
          <c:idx val="9"/>
          <c:order val="10"/>
          <c:tx>
            <c:strRef>
              <c:f>'SCB ACTUAL'!$A$23</c:f>
              <c:strCache>
                <c:ptCount val="1"/>
                <c:pt idx="0">
                  <c:v>LOI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25400">
              <a:noFill/>
            </a:ln>
            <a:effectLst/>
          </c:spPr>
          <c:invertIfNegative val="0"/>
          <c:cat>
            <c:numRef>
              <c:f>'SCB ACTUAL'!$B$17:$M$17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ACTUAL'!$B$23:$M$23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11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372-442E-A878-50D168B6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17280"/>
        <c:axId val="98018816"/>
      </c:barChart>
      <c:lineChart>
        <c:grouping val="stacked"/>
        <c:varyColors val="0"/>
        <c:ser>
          <c:idx val="10"/>
          <c:order val="8"/>
          <c:tx>
            <c:strRef>
              <c:f>'SCB ACTUAL'!$A$24</c:f>
              <c:strCache>
                <c:ptCount val="1"/>
                <c:pt idx="0">
                  <c:v>GROUP COMPANY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2545738779922151E-3"/>
                  <c:y val="-3.901992669728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72-442E-A878-50D168B6E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'SCB ACTUAL'!$B$17:$M$17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ACTUAL'!$B$24:$M$24</c:f>
              <c:numCache>
                <c:formatCode>0.0</c:formatCode>
                <c:ptCount val="12"/>
                <c:pt idx="0">
                  <c:v>10.9</c:v>
                </c:pt>
                <c:pt idx="1">
                  <c:v>4.0999999999999996</c:v>
                </c:pt>
                <c:pt idx="2">
                  <c:v>5.4</c:v>
                </c:pt>
                <c:pt idx="3">
                  <c:v>10.646000000000001</c:v>
                </c:pt>
                <c:pt idx="4">
                  <c:v>8.49</c:v>
                </c:pt>
                <c:pt idx="5">
                  <c:v>15.265499999999999</c:v>
                </c:pt>
                <c:pt idx="6">
                  <c:v>15.5025</c:v>
                </c:pt>
                <c:pt idx="7">
                  <c:v>15.5905</c:v>
                </c:pt>
                <c:pt idx="8">
                  <c:v>16.8535</c:v>
                </c:pt>
                <c:pt idx="9">
                  <c:v>21.3095</c:v>
                </c:pt>
                <c:pt idx="10">
                  <c:v>22.240500000000001</c:v>
                </c:pt>
                <c:pt idx="11">
                  <c:v>10.726000000000001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372-442E-A878-50D168B6E71E}"/>
            </c:ext>
          </c:extLst>
        </c:ser>
        <c:ser>
          <c:idx val="8"/>
          <c:order val="9"/>
          <c:tx>
            <c:strRef>
              <c:f>'SCB ACTUAL'!$A$25</c:f>
              <c:strCache>
                <c:ptCount val="1"/>
                <c:pt idx="0">
                  <c:v>CONTRACT MFG.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'SCB ACTUAL'!$B$17:$M$17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ACTUAL'!$B$25:$M$25</c:f>
              <c:numCache>
                <c:formatCode>0.0</c:formatCode>
                <c:ptCount val="12"/>
                <c:pt idx="0">
                  <c:v>7.1395800000000005</c:v>
                </c:pt>
                <c:pt idx="1">
                  <c:v>13.3</c:v>
                </c:pt>
                <c:pt idx="2">
                  <c:v>11.57</c:v>
                </c:pt>
                <c:pt idx="3">
                  <c:v>11.57</c:v>
                </c:pt>
                <c:pt idx="4">
                  <c:v>11.779</c:v>
                </c:pt>
                <c:pt idx="5">
                  <c:v>6.9755000000000003</c:v>
                </c:pt>
                <c:pt idx="6">
                  <c:v>7.5164999999999997</c:v>
                </c:pt>
                <c:pt idx="7">
                  <c:v>4.7889999999999997</c:v>
                </c:pt>
                <c:pt idx="8">
                  <c:v>3.879</c:v>
                </c:pt>
                <c:pt idx="9">
                  <c:v>4.0279999999999996</c:v>
                </c:pt>
                <c:pt idx="10">
                  <c:v>2.9849999999999999</c:v>
                </c:pt>
                <c:pt idx="11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372-442E-A878-50D168B6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17280"/>
        <c:axId val="98018816"/>
      </c:lineChart>
      <c:lineChart>
        <c:grouping val="standard"/>
        <c:varyColors val="0"/>
        <c:ser>
          <c:idx val="7"/>
          <c:order val="7"/>
          <c:tx>
            <c:strRef>
              <c:f>'SCB ACTUAL'!$A$36</c:f>
              <c:strCache>
                <c:ptCount val="1"/>
                <c:pt idx="0">
                  <c:v>UTILIZATION (%)</c:v>
                </c:pt>
              </c:strCache>
            </c:strRef>
          </c:tx>
          <c:spPr>
            <a:ln w="2222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102704413726251E-2"/>
                  <c:y val="-9.4691238918668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72-442E-A878-50D168B6E71E}"/>
                </c:ext>
              </c:extLst>
            </c:dLbl>
            <c:dLbl>
              <c:idx val="1"/>
              <c:layout>
                <c:manualLayout>
                  <c:x val="-3.4015464740243716E-2"/>
                  <c:y val="-0.103869566494605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72-442E-A878-50D168B6E71E}"/>
                </c:ext>
              </c:extLst>
            </c:dLbl>
            <c:dLbl>
              <c:idx val="2"/>
              <c:layout>
                <c:manualLayout>
                  <c:x val="-4.3292409669401094E-2"/>
                  <c:y val="-0.106177781121489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72-442E-A878-50D168B6E71E}"/>
                </c:ext>
              </c:extLst>
            </c:dLbl>
            <c:dLbl>
              <c:idx val="3"/>
              <c:layout>
                <c:manualLayout>
                  <c:x val="-4.145218274936413E-2"/>
                  <c:y val="-0.114148584413340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372-442E-A878-50D168B6E71E}"/>
                </c:ext>
              </c:extLst>
            </c:dLbl>
            <c:dLbl>
              <c:idx val="4"/>
              <c:layout>
                <c:manualLayout>
                  <c:x val="-4.6057980832626751E-2"/>
                  <c:y val="-0.12812597332703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72-442E-A878-50D168B6E71E}"/>
                </c:ext>
              </c:extLst>
            </c:dLbl>
            <c:dLbl>
              <c:idx val="5"/>
              <c:layout>
                <c:manualLayout>
                  <c:x val="-3.8381650693855678E-2"/>
                  <c:y val="-0.132785102964930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72-442E-A878-50D168B6E71E}"/>
                </c:ext>
              </c:extLst>
            </c:dLbl>
            <c:dLbl>
              <c:idx val="6"/>
              <c:layout>
                <c:manualLayout>
                  <c:x val="-3.3775852610593002E-2"/>
                  <c:y val="-0.1514216215165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72-442E-A878-50D168B6E71E}"/>
                </c:ext>
              </c:extLst>
            </c:dLbl>
            <c:dLbl>
              <c:idx val="7"/>
              <c:layout>
                <c:manualLayout>
                  <c:x val="-3.5311118638347176E-2"/>
                  <c:y val="-0.15375118633546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72-442E-A878-50D168B6E71E}"/>
                </c:ext>
              </c:extLst>
            </c:dLbl>
            <c:dLbl>
              <c:idx val="8"/>
              <c:layout>
                <c:manualLayout>
                  <c:x val="-3.684638466610151E-2"/>
                  <c:y val="-0.163069445611264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72-442E-A878-50D168B6E71E}"/>
                </c:ext>
              </c:extLst>
            </c:dLbl>
            <c:dLbl>
              <c:idx val="9"/>
              <c:layout>
                <c:manualLayout>
                  <c:x val="-3.8381650693855733E-2"/>
                  <c:y val="-0.20966074199024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72-442E-A878-50D168B6E71E}"/>
                </c:ext>
              </c:extLst>
            </c:dLbl>
            <c:dLbl>
              <c:idx val="10"/>
              <c:layout>
                <c:manualLayout>
                  <c:x val="-4.6057980832626751E-2"/>
                  <c:y val="-0.251592908731319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72-442E-A878-50D168B6E71E}"/>
                </c:ext>
              </c:extLst>
            </c:dLbl>
            <c:dLbl>
              <c:idx val="11"/>
              <c:layout>
                <c:manualLayout>
                  <c:x val="-4.1452182749364075E-2"/>
                  <c:y val="-0.295854640291346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72-442E-A878-50D168B6E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flowChartConnector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'SCB ACTUAL'!$B$17:$M$17</c:f>
              <c:numCache>
                <c:formatCode>[$-409]mmm\-yy;@</c:formatCode>
                <c:ptCount val="12"/>
                <c:pt idx="0">
                  <c:v>46028</c:v>
                </c:pt>
                <c:pt idx="1">
                  <c:v>46060</c:v>
                </c:pt>
                <c:pt idx="2">
                  <c:v>46092</c:v>
                </c:pt>
                <c:pt idx="3">
                  <c:v>46124</c:v>
                </c:pt>
                <c:pt idx="4">
                  <c:v>46156</c:v>
                </c:pt>
                <c:pt idx="5">
                  <c:v>46188</c:v>
                </c:pt>
                <c:pt idx="6">
                  <c:v>46220</c:v>
                </c:pt>
                <c:pt idx="7">
                  <c:v>46252</c:v>
                </c:pt>
                <c:pt idx="8">
                  <c:v>46284</c:v>
                </c:pt>
                <c:pt idx="9">
                  <c:v>46316</c:v>
                </c:pt>
                <c:pt idx="10">
                  <c:v>46348</c:v>
                </c:pt>
                <c:pt idx="11">
                  <c:v>46380</c:v>
                </c:pt>
              </c:numCache>
            </c:numRef>
          </c:cat>
          <c:val>
            <c:numRef>
              <c:f>'SCB ACTUAL'!$B$36:$M$36</c:f>
              <c:numCache>
                <c:formatCode>0%</c:formatCode>
                <c:ptCount val="12"/>
                <c:pt idx="0">
                  <c:v>0.99056746489359693</c:v>
                </c:pt>
                <c:pt idx="1">
                  <c:v>1.007417573944422</c:v>
                </c:pt>
                <c:pt idx="2">
                  <c:v>0.98741701016339889</c:v>
                </c:pt>
                <c:pt idx="3">
                  <c:v>1.013546046755089</c:v>
                </c:pt>
                <c:pt idx="4">
                  <c:v>0.98491247807697124</c:v>
                </c:pt>
                <c:pt idx="5">
                  <c:v>0.96896786102320687</c:v>
                </c:pt>
                <c:pt idx="6">
                  <c:v>0.90162466091724403</c:v>
                </c:pt>
                <c:pt idx="7">
                  <c:v>0.89367644294464565</c:v>
                </c:pt>
                <c:pt idx="8">
                  <c:v>0.85787637372305281</c:v>
                </c:pt>
                <c:pt idx="9">
                  <c:v>0.83706029718307773</c:v>
                </c:pt>
                <c:pt idx="10">
                  <c:v>0.8003153978726858</c:v>
                </c:pt>
                <c:pt idx="11">
                  <c:v>0.52468059894667962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372-442E-A878-50D168B6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978192"/>
        <c:axId val="387966712"/>
      </c:lineChart>
      <c:dateAx>
        <c:axId val="9801728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8816"/>
        <c:crosses val="autoZero"/>
        <c:auto val="1"/>
        <c:lblOffset val="100"/>
        <c:baseTimeUnit val="months"/>
      </c:dateAx>
      <c:valAx>
        <c:axId val="9801881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7280"/>
        <c:crosses val="autoZero"/>
        <c:crossBetween val="between"/>
        <c:majorUnit val="5"/>
      </c:valAx>
      <c:valAx>
        <c:axId val="3879667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78192"/>
        <c:crosses val="max"/>
        <c:crossBetween val="between"/>
      </c:valAx>
      <c:dateAx>
        <c:axId val="387978192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387966712"/>
        <c:crosses val="autoZero"/>
        <c:auto val="1"/>
        <c:lblOffset val="100"/>
        <c:baseTimeUnit val="months"/>
      </c:dateAx>
      <c:spPr>
        <a:noFill/>
        <a:ln w="25400">
          <a:noFill/>
        </a:ln>
        <a:effectLst/>
      </c:spPr>
    </c:plotArea>
    <c:legend>
      <c:legendPos val="r"/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tx>
            <c:strRef>
              <c:f>'SCB ACTUAL'!$A$26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11-4517-8076-CBBA416B2831}"/>
              </c:ext>
            </c:extLst>
          </c:dPt>
          <c:dLbls>
            <c:dLbl>
              <c:idx val="0"/>
              <c:layout>
                <c:manualLayout>
                  <c:x val="4.9827059827612921E-3"/>
                  <c:y val="-0.3972400436889834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11-4517-8076-CBBA416B28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'CAPACITY UTILIZATION'!#REF!</c:f>
            </c:multiLvlStrRef>
          </c:cat>
          <c:val>
            <c:numRef>
              <c:f>'SCB ACTUAL'!$N$26</c:f>
              <c:numCache>
                <c:formatCode>0</c:formatCode>
                <c:ptCount val="1"/>
                <c:pt idx="0">
                  <c:v>406.22200000000004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1-4517-8076-CBBA416B2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doughnutChart>
        <c:varyColors val="1"/>
        <c:ser>
          <c:idx val="1"/>
          <c:order val="1"/>
          <c:tx>
            <c:strRef>
              <c:f>'SCB ACTUAL'!$A$18</c:f>
              <c:strCache>
                <c:ptCount val="1"/>
                <c:pt idx="0">
                  <c:v>WELDING</c:v>
                </c:pt>
              </c:strCache>
            </c:strRef>
          </c:tx>
          <c:spPr>
            <a:solidFill>
              <a:srgbClr val="0A3C55"/>
            </a:solidFill>
            <a:ln w="19050">
              <a:solidFill>
                <a:sysClr val="window" lastClr="FFFFFF"/>
              </a:solidFill>
            </a:ln>
          </c:spPr>
          <c:dPt>
            <c:idx val="0"/>
            <c:bubble3D val="0"/>
            <c:spPr>
              <a:solidFill>
                <a:srgbClr val="0A3C55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11-4517-8076-CBBA416B2831}"/>
              </c:ext>
            </c:extLst>
          </c:dPt>
          <c:dPt>
            <c:idx val="1"/>
            <c:bubble3D val="0"/>
            <c:spPr>
              <a:solidFill>
                <a:srgbClr val="006C92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611-4517-8076-CBBA416B2831}"/>
              </c:ext>
            </c:extLst>
          </c:dPt>
          <c:dPt>
            <c:idx val="2"/>
            <c:bubble3D val="0"/>
            <c:spPr>
              <a:solidFill>
                <a:srgbClr val="009ED6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611-4517-8076-CBBA416B2831}"/>
              </c:ext>
            </c:extLst>
          </c:dPt>
          <c:dPt>
            <c:idx val="3"/>
            <c:bubble3D val="0"/>
            <c:spPr>
              <a:solidFill>
                <a:srgbClr val="78C1DE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611-4517-8076-CBBA416B2831}"/>
              </c:ext>
            </c:extLst>
          </c:dPt>
          <c:dPt>
            <c:idx val="4"/>
            <c:bubble3D val="0"/>
            <c:spPr>
              <a:solidFill>
                <a:srgbClr val="727F92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611-4517-8076-CBBA416B2831}"/>
              </c:ext>
            </c:extLst>
          </c:dPt>
          <c:dLbls>
            <c:dLbl>
              <c:idx val="0"/>
              <c:layout>
                <c:manualLayout>
                  <c:x val="-1.9404012627581384E-2"/>
                  <c:y val="0.121446060445296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11-4517-8076-CBBA416B2831}"/>
                </c:ext>
              </c:extLst>
            </c:dLbl>
            <c:dLbl>
              <c:idx val="1"/>
              <c:layout>
                <c:manualLayout>
                  <c:x val="3.8808025255162768E-3"/>
                  <c:y val="-5.808289847383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11-4517-8076-CBBA416B2831}"/>
                </c:ext>
              </c:extLst>
            </c:dLbl>
            <c:dLbl>
              <c:idx val="2"/>
              <c:layout>
                <c:manualLayout>
                  <c:x val="-7.1147224402324208E-17"/>
                  <c:y val="-3.6961844483351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11-4517-8076-CBBA416B2831}"/>
                </c:ext>
              </c:extLst>
            </c:dLbl>
            <c:dLbl>
              <c:idx val="3"/>
              <c:layout>
                <c:manualLayout>
                  <c:x val="6.9862695984347079E-2"/>
                  <c:y val="0.109587919089732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11-4517-8076-CBBA416B2831}"/>
                </c:ext>
              </c:extLst>
            </c:dLbl>
            <c:dLbl>
              <c:idx val="4"/>
              <c:layout>
                <c:manualLayout>
                  <c:x val="-8.149685303584181E-2"/>
                  <c:y val="0.107876199025188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11-4517-8076-CBBA416B28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'SCB ACTUAL'!$A$18:$A$22</c:f>
              <c:strCache>
                <c:ptCount val="5"/>
                <c:pt idx="0">
                  <c:v>WELDING</c:v>
                </c:pt>
                <c:pt idx="1">
                  <c:v>MACHINING</c:v>
                </c:pt>
                <c:pt idx="2">
                  <c:v>ASSEMBLY</c:v>
                </c:pt>
                <c:pt idx="3">
                  <c:v>ROLL REFURBISHMENT</c:v>
                </c:pt>
                <c:pt idx="4">
                  <c:v>PLATING</c:v>
                </c:pt>
              </c:strCache>
            </c:strRef>
          </c:cat>
          <c:val>
            <c:numRef>
              <c:f>'SCB ACTUAL'!$N$18:$N$22</c:f>
              <c:numCache>
                <c:formatCode>0</c:formatCode>
                <c:ptCount val="5"/>
                <c:pt idx="0">
                  <c:v>301.72450000000003</c:v>
                </c:pt>
                <c:pt idx="1">
                  <c:v>49.892499999999998</c:v>
                </c:pt>
                <c:pt idx="2">
                  <c:v>37.215000000000003</c:v>
                </c:pt>
                <c:pt idx="3">
                  <c:v>9.9</c:v>
                </c:pt>
                <c:pt idx="4">
                  <c:v>7.4899999999999993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11-4517-8076-CBBA416B2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518587065284728E-2"/>
          <c:y val="4.7705932308074364E-2"/>
          <c:w val="0.77092321215280246"/>
          <c:h val="0.77158145290545932"/>
        </c:manualLayout>
      </c:layout>
      <c:areaChart>
        <c:grouping val="standard"/>
        <c:varyColors val="0"/>
        <c:ser>
          <c:idx val="3"/>
          <c:order val="5"/>
          <c:tx>
            <c:strRef>
              <c:f>'SCB PLAN'!$A$29</c:f>
              <c:strCache>
                <c:ptCount val="1"/>
                <c:pt idx="0">
                  <c:v>NPK</c:v>
                </c:pt>
              </c:strCache>
            </c:strRef>
          </c:tx>
          <c:spPr>
            <a:pattFill prst="pct60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dLbls>
            <c:dLbl>
              <c:idx val="0"/>
              <c:layout>
                <c:manualLayout>
                  <c:x val="0"/>
                  <c:y val="-0.38986124623362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1-4B7C-885B-ADE9D4AF2DD3}"/>
                </c:ext>
              </c:extLst>
            </c:dLbl>
            <c:dLbl>
              <c:idx val="1"/>
              <c:layout>
                <c:manualLayout>
                  <c:x val="-2.2658163543927224E-17"/>
                  <c:y val="-0.38063376111566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F1-4B7C-885B-ADE9D4AF2DD3}"/>
                </c:ext>
              </c:extLst>
            </c:dLbl>
            <c:dLbl>
              <c:idx val="2"/>
              <c:layout>
                <c:manualLayout>
                  <c:x val="-2.4718282137781069E-3"/>
                  <c:y val="-0.392168117513112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F1-4B7C-885B-ADE9D4AF2DD3}"/>
                </c:ext>
              </c:extLst>
            </c:dLbl>
            <c:dLbl>
              <c:idx val="3"/>
              <c:layout>
                <c:manualLayout>
                  <c:x val="1.2359141068890081E-3"/>
                  <c:y val="-0.385247503674646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F1-4B7C-885B-ADE9D4AF2DD3}"/>
                </c:ext>
              </c:extLst>
            </c:dLbl>
            <c:dLbl>
              <c:idx val="4"/>
              <c:layout>
                <c:manualLayout>
                  <c:x val="-4.9436564275562138E-3"/>
                  <c:y val="-0.38063376111566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F1-4B7C-885B-ADE9D4AF2DD3}"/>
                </c:ext>
              </c:extLst>
            </c:dLbl>
            <c:dLbl>
              <c:idx val="5"/>
              <c:layout>
                <c:manualLayout>
                  <c:x val="-8.6513987482234184E-3"/>
                  <c:y val="-0.41523683030800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F1-4B7C-885B-ADE9D4AF2DD3}"/>
                </c:ext>
              </c:extLst>
            </c:dLbl>
            <c:dLbl>
              <c:idx val="6"/>
              <c:layout>
                <c:manualLayout>
                  <c:x val="-1.112322696200148E-2"/>
                  <c:y val="-0.382940632395157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F1-4B7C-885B-ADE9D4AF2DD3}"/>
                </c:ext>
              </c:extLst>
            </c:dLbl>
            <c:dLbl>
              <c:idx val="7"/>
              <c:layout>
                <c:manualLayout>
                  <c:x val="-7.4154846413343198E-3"/>
                  <c:y val="-0.38986124623362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F1-4B7C-885B-ADE9D4AF2DD3}"/>
                </c:ext>
              </c:extLst>
            </c:dLbl>
            <c:dLbl>
              <c:idx val="8"/>
              <c:layout>
                <c:manualLayout>
                  <c:x val="-3.7077423206671599E-3"/>
                  <c:y val="-0.38063376111566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F1-4B7C-885B-ADE9D4AF2DD3}"/>
                </c:ext>
              </c:extLst>
            </c:dLbl>
            <c:dLbl>
              <c:idx val="9"/>
              <c:layout>
                <c:manualLayout>
                  <c:x val="-7.4154846413344109E-3"/>
                  <c:y val="-0.396781860072090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F1-4B7C-885B-ADE9D4AF2DD3}"/>
                </c:ext>
              </c:extLst>
            </c:dLbl>
            <c:dLbl>
              <c:idx val="10"/>
              <c:layout>
                <c:manualLayout>
                  <c:x val="-1.3595055175779677E-2"/>
                  <c:y val="-0.387554374954135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F1-4B7C-885B-ADE9D4AF2DD3}"/>
                </c:ext>
              </c:extLst>
            </c:dLbl>
            <c:dLbl>
              <c:idx val="11"/>
              <c:layout>
                <c:manualLayout>
                  <c:x val="-2.1010539817113816E-2"/>
                  <c:y val="-0.394474988792601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PLAN'!$B$17:$M$17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PLAN'!$B$35:$M$35</c:f>
              <c:numCache>
                <c:formatCode>0</c:formatCode>
                <c:ptCount val="12"/>
                <c:pt idx="0">
                  <c:v>69.26593130821918</c:v>
                </c:pt>
                <c:pt idx="1">
                  <c:v>70.400089799452061</c:v>
                </c:pt>
                <c:pt idx="2">
                  <c:v>71.273837978904098</c:v>
                </c:pt>
                <c:pt idx="3">
                  <c:v>68.974681915068501</c:v>
                </c:pt>
                <c:pt idx="4">
                  <c:v>71.273837978904098</c:v>
                </c:pt>
                <c:pt idx="5">
                  <c:v>68.974681915068501</c:v>
                </c:pt>
                <c:pt idx="6">
                  <c:v>71.273837978904098</c:v>
                </c:pt>
                <c:pt idx="7">
                  <c:v>71.273837978904098</c:v>
                </c:pt>
                <c:pt idx="8">
                  <c:v>64.958868573698624</c:v>
                </c:pt>
                <c:pt idx="9">
                  <c:v>71.273837978904098</c:v>
                </c:pt>
                <c:pt idx="10">
                  <c:v>68.974681915068501</c:v>
                </c:pt>
                <c:pt idx="11">
                  <c:v>71.273837978904098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F1-4B7C-885B-ADE9D4AF2DD3}"/>
            </c:ext>
          </c:extLst>
        </c:ser>
        <c:ser>
          <c:idx val="5"/>
          <c:order val="6"/>
          <c:tx>
            <c:strRef>
              <c:f>'SCB PLAN'!$A$26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chemeClr val="bg1">
                <a:lumMod val="75000"/>
                <a:alpha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layout>
                <c:manualLayout>
                  <c:x val="-1.2359141068890534E-3"/>
                  <c:y val="-0.352951305761801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F1-4B7C-885B-ADE9D4AF2DD3}"/>
                </c:ext>
              </c:extLst>
            </c:dLbl>
            <c:dLbl>
              <c:idx val="1"/>
              <c:layout>
                <c:manualLayout>
                  <c:x val="-1.2359141068890534E-3"/>
                  <c:y val="-0.359871919600268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F1-4B7C-885B-ADE9D4AF2DD3}"/>
                </c:ext>
              </c:extLst>
            </c:dLbl>
            <c:dLbl>
              <c:idx val="2"/>
              <c:layout>
                <c:manualLayout>
                  <c:x val="-1.235914106889076E-3"/>
                  <c:y val="-0.359871919600268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AF1-4B7C-885B-ADE9D4AF2DD3}"/>
                </c:ext>
              </c:extLst>
            </c:dLbl>
            <c:dLbl>
              <c:idx val="3"/>
              <c:layout>
                <c:manualLayout>
                  <c:x val="0"/>
                  <c:y val="-0.364485662159246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AF1-4B7C-885B-ADE9D4AF2DD3}"/>
                </c:ext>
              </c:extLst>
            </c:dLbl>
            <c:dLbl>
              <c:idx val="4"/>
              <c:layout>
                <c:manualLayout>
                  <c:x val="-3.7077423206672054E-3"/>
                  <c:y val="-0.369099404718223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AF1-4B7C-885B-ADE9D4AF2DD3}"/>
                </c:ext>
              </c:extLst>
            </c:dLbl>
            <c:dLbl>
              <c:idx val="5"/>
              <c:layout>
                <c:manualLayout>
                  <c:x val="-2.4718282137781975E-3"/>
                  <c:y val="-0.396781860072090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AF1-4B7C-885B-ADE9D4AF2DD3}"/>
                </c:ext>
              </c:extLst>
            </c:dLbl>
            <c:dLbl>
              <c:idx val="6"/>
              <c:layout>
                <c:manualLayout>
                  <c:x val="-1.112322696200148E-2"/>
                  <c:y val="-0.38986124623362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AF1-4B7C-885B-ADE9D4AF2DD3}"/>
                </c:ext>
              </c:extLst>
            </c:dLbl>
            <c:dLbl>
              <c:idx val="7"/>
              <c:layout>
                <c:manualLayout>
                  <c:x val="-4.943656427556304E-3"/>
                  <c:y val="-0.385247503674646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AF1-4B7C-885B-ADE9D4AF2DD3}"/>
                </c:ext>
              </c:extLst>
            </c:dLbl>
            <c:dLbl>
              <c:idx val="8"/>
              <c:layout>
                <c:manualLayout>
                  <c:x val="2.4718282137780163E-3"/>
                  <c:y val="-0.382940632395157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AF1-4B7C-885B-ADE9D4AF2DD3}"/>
                </c:ext>
              </c:extLst>
            </c:dLbl>
            <c:dLbl>
              <c:idx val="9"/>
              <c:layout>
                <c:manualLayout>
                  <c:x val="-2.4718282137781069E-3"/>
                  <c:y val="-0.41523683030800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AF1-4B7C-885B-ADE9D4AF2DD3}"/>
                </c:ext>
              </c:extLst>
            </c:dLbl>
            <c:dLbl>
              <c:idx val="10"/>
              <c:layout>
                <c:manualLayout>
                  <c:x val="-1.2359141068890625E-2"/>
                  <c:y val="-0.43830554310289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AF1-4B7C-885B-ADE9D4AF2DD3}"/>
                </c:ext>
              </c:extLst>
            </c:dLbl>
            <c:dLbl>
              <c:idx val="11"/>
              <c:layout>
                <c:manualLayout>
                  <c:x val="-8.6513987482234635E-3"/>
                  <c:y val="-0.477522354854202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PLAN'!$B$17:$M$17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PLAN'!$B$26:$M$26</c:f>
              <c:numCache>
                <c:formatCode>0.0</c:formatCode>
                <c:ptCount val="12"/>
                <c:pt idx="0">
                  <c:v>66.834249999999997</c:v>
                </c:pt>
                <c:pt idx="1">
                  <c:v>64.262249999999995</c:v>
                </c:pt>
                <c:pt idx="2">
                  <c:v>63.695750000000004</c:v>
                </c:pt>
                <c:pt idx="3">
                  <c:v>59.171749999999996</c:v>
                </c:pt>
                <c:pt idx="4">
                  <c:v>59.660499999999999</c:v>
                </c:pt>
                <c:pt idx="5">
                  <c:v>55.201499999999996</c:v>
                </c:pt>
                <c:pt idx="6">
                  <c:v>37.396000000000001</c:v>
                </c:pt>
                <c:pt idx="7">
                  <c:v>31.559000000000001</c:v>
                </c:pt>
                <c:pt idx="8">
                  <c:v>17.522000000000002</c:v>
                </c:pt>
                <c:pt idx="9">
                  <c:v>12.081999999999999</c:v>
                </c:pt>
                <c:pt idx="10">
                  <c:v>9.2319999999999993</c:v>
                </c:pt>
                <c:pt idx="11">
                  <c:v>9.902000000000001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F1-4B7C-885B-ADE9D4AF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17280"/>
        <c:axId val="98018816"/>
      </c:areaChart>
      <c:barChart>
        <c:barDir val="col"/>
        <c:grouping val="stacked"/>
        <c:varyColors val="0"/>
        <c:ser>
          <c:idx val="0"/>
          <c:order val="0"/>
          <c:tx>
            <c:strRef>
              <c:f>'SCB PLAN'!$A$18</c:f>
              <c:strCache>
                <c:ptCount val="1"/>
                <c:pt idx="0">
                  <c:v>WELDING</c:v>
                </c:pt>
              </c:strCache>
            </c:strRef>
          </c:tx>
          <c:spPr>
            <a:solidFill>
              <a:srgbClr val="0A3C55"/>
            </a:solidFill>
            <a:ln w="3175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A3C55"/>
              </a:solidFill>
              <a:ln w="31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AF1-4B7C-885B-ADE9D4AF2D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PLAN'!$B$29:$M$29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PLAN'!$B$18:$M$18</c:f>
              <c:numCache>
                <c:formatCode>0.0</c:formatCode>
                <c:ptCount val="12"/>
                <c:pt idx="0">
                  <c:v>49.831249999999997</c:v>
                </c:pt>
                <c:pt idx="1">
                  <c:v>49.02675</c:v>
                </c:pt>
                <c:pt idx="2">
                  <c:v>47.313749999999999</c:v>
                </c:pt>
                <c:pt idx="3">
                  <c:v>44.617750000000001</c:v>
                </c:pt>
                <c:pt idx="4">
                  <c:v>44.183500000000002</c:v>
                </c:pt>
                <c:pt idx="5">
                  <c:v>41.776499999999999</c:v>
                </c:pt>
                <c:pt idx="6">
                  <c:v>24.975000000000001</c:v>
                </c:pt>
                <c:pt idx="7">
                  <c:v>20.989000000000001</c:v>
                </c:pt>
                <c:pt idx="8">
                  <c:v>9.3000000000000007</c:v>
                </c:pt>
                <c:pt idx="9">
                  <c:v>6.55</c:v>
                </c:pt>
                <c:pt idx="10">
                  <c:v>4.05</c:v>
                </c:pt>
                <c:pt idx="11">
                  <c:v>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F1-4B7C-885B-ADE9D4AF2DD3}"/>
            </c:ext>
          </c:extLst>
        </c:ser>
        <c:ser>
          <c:idx val="1"/>
          <c:order val="1"/>
          <c:tx>
            <c:strRef>
              <c:f>'SCB PLAN'!$A$19</c:f>
              <c:strCache>
                <c:ptCount val="1"/>
                <c:pt idx="0">
                  <c:v>MACHINING</c:v>
                </c:pt>
              </c:strCache>
            </c:strRef>
          </c:tx>
          <c:spPr>
            <a:solidFill>
              <a:srgbClr val="006C92"/>
            </a:solidFill>
            <a:ln w="31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PLAN'!$B$29:$M$29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PLAN'!$B$19:$M$19</c:f>
              <c:numCache>
                <c:formatCode>0.0</c:formatCode>
                <c:ptCount val="12"/>
                <c:pt idx="0">
                  <c:v>8.4749999999999996</c:v>
                </c:pt>
                <c:pt idx="1">
                  <c:v>6.7925000000000004</c:v>
                </c:pt>
                <c:pt idx="2">
                  <c:v>8.1440000000000001</c:v>
                </c:pt>
                <c:pt idx="3">
                  <c:v>6.54</c:v>
                </c:pt>
                <c:pt idx="4">
                  <c:v>7.6349999999999998</c:v>
                </c:pt>
                <c:pt idx="5">
                  <c:v>6.55</c:v>
                </c:pt>
                <c:pt idx="6">
                  <c:v>5.7560000000000002</c:v>
                </c:pt>
                <c:pt idx="7">
                  <c:v>4.6100000000000003</c:v>
                </c:pt>
                <c:pt idx="8">
                  <c:v>3.9820000000000002</c:v>
                </c:pt>
                <c:pt idx="9">
                  <c:v>2.2360000000000002</c:v>
                </c:pt>
                <c:pt idx="10">
                  <c:v>3.5819999999999999</c:v>
                </c:pt>
                <c:pt idx="11">
                  <c:v>4.282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F1-4B7C-885B-ADE9D4AF2DD3}"/>
            </c:ext>
          </c:extLst>
        </c:ser>
        <c:ser>
          <c:idx val="2"/>
          <c:order val="2"/>
          <c:tx>
            <c:strRef>
              <c:f>'SCB PLAN'!$A$20</c:f>
              <c:strCache>
                <c:ptCount val="1"/>
                <c:pt idx="0">
                  <c:v>ASSEMBLY</c:v>
                </c:pt>
              </c:strCache>
            </c:strRef>
          </c:tx>
          <c:spPr>
            <a:solidFill>
              <a:srgbClr val="009ED6"/>
            </a:solidFill>
            <a:ln w="3175">
              <a:noFill/>
            </a:ln>
            <a:effectLst/>
          </c:spPr>
          <c:invertIfNegative val="0"/>
          <c:dLbls>
            <c:dLbl>
              <c:idx val="139"/>
              <c:layout>
                <c:manualLayout>
                  <c:x val="7.0365358592692759E-2"/>
                  <c:y val="-1.78287193527940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AF1-4B7C-885B-ADE9D4AF2DD3}"/>
                </c:ext>
              </c:extLst>
            </c:dLbl>
            <c:dLbl>
              <c:idx val="144"/>
              <c:layout>
                <c:manualLayout>
                  <c:x val="9.2769449291572638E-3"/>
                  <c:y val="1.0745888780897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PLAN'!$B$29:$M$29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PLAN'!$B$20:$M$20</c:f>
              <c:numCache>
                <c:formatCode>0.0</c:formatCode>
                <c:ptCount val="12"/>
                <c:pt idx="0">
                  <c:v>5.4279999999999999</c:v>
                </c:pt>
                <c:pt idx="1">
                  <c:v>5.5430000000000001</c:v>
                </c:pt>
                <c:pt idx="2">
                  <c:v>5.5380000000000003</c:v>
                </c:pt>
                <c:pt idx="3">
                  <c:v>5.6139999999999999</c:v>
                </c:pt>
                <c:pt idx="4">
                  <c:v>5.5419999999999998</c:v>
                </c:pt>
                <c:pt idx="5">
                  <c:v>4.7850000000000001</c:v>
                </c:pt>
                <c:pt idx="6">
                  <c:v>4.7649999999999997</c:v>
                </c:pt>
                <c:pt idx="7">
                  <c:v>4.16</c:v>
                </c:pt>
                <c:pt idx="8">
                  <c:v>2.54</c:v>
                </c:pt>
                <c:pt idx="9">
                  <c:v>1.62</c:v>
                </c:pt>
                <c:pt idx="10">
                  <c:v>0.1</c:v>
                </c:pt>
                <c:pt idx="1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F1-4B7C-885B-ADE9D4AF2DD3}"/>
            </c:ext>
          </c:extLst>
        </c:ser>
        <c:ser>
          <c:idx val="4"/>
          <c:order val="3"/>
          <c:tx>
            <c:strRef>
              <c:f>'SCB PLAN'!$A$21</c:f>
              <c:strCache>
                <c:ptCount val="1"/>
                <c:pt idx="0">
                  <c:v>ROLL REFURBISHMENT</c:v>
                </c:pt>
              </c:strCache>
            </c:strRef>
          </c:tx>
          <c:spPr>
            <a:solidFill>
              <a:srgbClr val="78C1DE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6696044646972657E-5"/>
                  <c:y val="-2.285541546779679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AF1-4B7C-885B-ADE9D4AF2DD3}"/>
                </c:ext>
              </c:extLst>
            </c:dLbl>
            <c:dLbl>
              <c:idx val="137"/>
              <c:layout>
                <c:manualLayout>
                  <c:x val="3.0923149763857922E-3"/>
                  <c:y val="1.79098146348287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PLAN'!$B$29:$M$29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PLAN'!$B$21:$M$21</c:f>
              <c:numCache>
                <c:formatCode>0.0</c:formatCode>
                <c:ptCount val="12"/>
                <c:pt idx="0">
                  <c:v>1.8</c:v>
                </c:pt>
                <c:pt idx="1">
                  <c:v>1.6</c:v>
                </c:pt>
                <c:pt idx="2">
                  <c:v>1.5</c:v>
                </c:pt>
                <c:pt idx="3">
                  <c:v>1.4</c:v>
                </c:pt>
                <c:pt idx="4">
                  <c:v>1.3</c:v>
                </c:pt>
                <c:pt idx="5">
                  <c:v>1.2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1.1759999999999999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F1-4B7C-885B-ADE9D4AF2DD3}"/>
            </c:ext>
          </c:extLst>
        </c:ser>
        <c:ser>
          <c:idx val="6"/>
          <c:order val="4"/>
          <c:tx>
            <c:strRef>
              <c:f>'SCB PLAN'!$A$22</c:f>
              <c:strCache>
                <c:ptCount val="1"/>
                <c:pt idx="0">
                  <c:v>PLATING</c:v>
                </c:pt>
              </c:strCache>
            </c:strRef>
          </c:tx>
          <c:spPr>
            <a:solidFill>
              <a:srgbClr val="727F92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135409748934083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AF1-4B7C-885B-ADE9D4AF2DD3}"/>
                </c:ext>
              </c:extLst>
            </c:dLbl>
            <c:dLbl>
              <c:idx val="136"/>
              <c:layout>
                <c:manualLayout>
                  <c:x val="3.5561622228436611E-2"/>
                  <c:y val="-1.2536870244380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PLAN'!$B$29:$M$29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PLAN'!$B$22:$M$22</c:f>
              <c:numCache>
                <c:formatCode>0.0</c:formatCode>
                <c:ptCount val="12"/>
                <c:pt idx="0">
                  <c:v>1.3</c:v>
                </c:pt>
                <c:pt idx="1">
                  <c:v>1.3</c:v>
                </c:pt>
                <c:pt idx="2">
                  <c:v>1.2</c:v>
                </c:pt>
                <c:pt idx="3">
                  <c:v>1</c:v>
                </c:pt>
                <c:pt idx="4">
                  <c:v>1</c:v>
                </c:pt>
                <c:pt idx="5">
                  <c:v>0.89</c:v>
                </c:pt>
                <c:pt idx="6">
                  <c:v>0.8</c:v>
                </c:pt>
                <c:pt idx="7">
                  <c:v>0.7</c:v>
                </c:pt>
                <c:pt idx="8">
                  <c:v>0.6</c:v>
                </c:pt>
                <c:pt idx="9">
                  <c:v>0.5</c:v>
                </c:pt>
                <c:pt idx="10">
                  <c:v>0.5</c:v>
                </c:pt>
                <c:pt idx="11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F1-4B7C-885B-ADE9D4AF2DD3}"/>
            </c:ext>
          </c:extLst>
        </c:ser>
        <c:ser>
          <c:idx val="9"/>
          <c:order val="10"/>
          <c:tx>
            <c:strRef>
              <c:f>'SCB PLAN'!$A$23</c:f>
              <c:strCache>
                <c:ptCount val="1"/>
                <c:pt idx="0">
                  <c:v>LOI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'SCB PLAN'!$B$17:$M$17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PLAN'!$B$23:$M$23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11</c:v>
                </c:pt>
                <c:pt idx="6">
                  <c:v>27</c:v>
                </c:pt>
                <c:pt idx="7">
                  <c:v>31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AF1-4B7C-885B-ADE9D4AF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17280"/>
        <c:axId val="98018816"/>
      </c:barChart>
      <c:lineChart>
        <c:grouping val="stacked"/>
        <c:varyColors val="0"/>
        <c:ser>
          <c:idx val="10"/>
          <c:order val="8"/>
          <c:tx>
            <c:strRef>
              <c:f>'SCB PLAN'!$A$24</c:f>
              <c:strCache>
                <c:ptCount val="1"/>
                <c:pt idx="0">
                  <c:v>GROUP COMPANY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2545738779922151E-3"/>
                  <c:y val="-3.901992669728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'SCB PLAN'!$B$17:$M$17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PLAN'!$B$24:$M$24</c:f>
              <c:numCache>
                <c:formatCode>0.0</c:formatCode>
                <c:ptCount val="12"/>
                <c:pt idx="0">
                  <c:v>15.265499999999999</c:v>
                </c:pt>
                <c:pt idx="1">
                  <c:v>15.5025</c:v>
                </c:pt>
                <c:pt idx="2">
                  <c:v>15.5905</c:v>
                </c:pt>
                <c:pt idx="3">
                  <c:v>16.8535</c:v>
                </c:pt>
                <c:pt idx="4">
                  <c:v>21.3095</c:v>
                </c:pt>
                <c:pt idx="5">
                  <c:v>22.240500000000001</c:v>
                </c:pt>
                <c:pt idx="6">
                  <c:v>10.726000000000001</c:v>
                </c:pt>
                <c:pt idx="7">
                  <c:v>10.17</c:v>
                </c:pt>
                <c:pt idx="8">
                  <c:v>1.345</c:v>
                </c:pt>
                <c:pt idx="9">
                  <c:v>0.16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AF1-4B7C-885B-ADE9D4AF2DD3}"/>
            </c:ext>
          </c:extLst>
        </c:ser>
        <c:ser>
          <c:idx val="8"/>
          <c:order val="9"/>
          <c:tx>
            <c:strRef>
              <c:f>'SCB PLAN'!$A$25</c:f>
              <c:strCache>
                <c:ptCount val="1"/>
                <c:pt idx="0">
                  <c:v>CONTRACT MFG.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3.90536339501571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'SCB PLAN'!$B$17:$M$17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PLAN'!$B$25:$M$25</c:f>
              <c:numCache>
                <c:formatCode>0.0</c:formatCode>
                <c:ptCount val="12"/>
                <c:pt idx="0">
                  <c:v>6.9755000000000003</c:v>
                </c:pt>
                <c:pt idx="1">
                  <c:v>7.5164999999999997</c:v>
                </c:pt>
                <c:pt idx="2">
                  <c:v>4.7889999999999997</c:v>
                </c:pt>
                <c:pt idx="3">
                  <c:v>3.879</c:v>
                </c:pt>
                <c:pt idx="4">
                  <c:v>4.0279999999999996</c:v>
                </c:pt>
                <c:pt idx="5">
                  <c:v>2.9849999999999999</c:v>
                </c:pt>
                <c:pt idx="6">
                  <c:v>2.91</c:v>
                </c:pt>
                <c:pt idx="7">
                  <c:v>2.91</c:v>
                </c:pt>
                <c:pt idx="8">
                  <c:v>2.8</c:v>
                </c:pt>
                <c:pt idx="9">
                  <c:v>2.8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AF1-4B7C-885B-ADE9D4AF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17280"/>
        <c:axId val="98018816"/>
      </c:lineChart>
      <c:lineChart>
        <c:grouping val="stacked"/>
        <c:varyColors val="0"/>
        <c:ser>
          <c:idx val="7"/>
          <c:order val="7"/>
          <c:tx>
            <c:strRef>
              <c:f>'SCB PLAN'!$A$36</c:f>
              <c:strCache>
                <c:ptCount val="1"/>
                <c:pt idx="0">
                  <c:v>UTILIZATION (%)</c:v>
                </c:pt>
              </c:strCache>
            </c:strRef>
          </c:tx>
          <c:spPr>
            <a:ln w="2222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102682769943138E-2"/>
                  <c:y val="-0.117561151075897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AF1-4B7C-885B-ADE9D4AF2DD3}"/>
                </c:ext>
              </c:extLst>
            </c:dLbl>
            <c:dLbl>
              <c:idx val="1"/>
              <c:layout>
                <c:manualLayout>
                  <c:x val="-3.4015464740243716E-2"/>
                  <c:y val="-0.103869566494605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AF1-4B7C-885B-ADE9D4AF2DD3}"/>
                </c:ext>
              </c:extLst>
            </c:dLbl>
            <c:dLbl>
              <c:idx val="2"/>
              <c:layout>
                <c:manualLayout>
                  <c:x val="-4.3292409669401094E-2"/>
                  <c:y val="-0.106177781121489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AF1-4B7C-885B-ADE9D4AF2DD3}"/>
                </c:ext>
              </c:extLst>
            </c:dLbl>
            <c:dLbl>
              <c:idx val="3"/>
              <c:layout>
                <c:manualLayout>
                  <c:x val="-4.145218274936413E-2"/>
                  <c:y val="-0.114148584413340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9AF1-4B7C-885B-ADE9D4AF2DD3}"/>
                </c:ext>
              </c:extLst>
            </c:dLbl>
            <c:dLbl>
              <c:idx val="4"/>
              <c:layout>
                <c:manualLayout>
                  <c:x val="-4.6057980832626751E-2"/>
                  <c:y val="-0.12812597332703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AF1-4B7C-885B-ADE9D4AF2DD3}"/>
                </c:ext>
              </c:extLst>
            </c:dLbl>
            <c:dLbl>
              <c:idx val="5"/>
              <c:layout>
                <c:manualLayout>
                  <c:x val="-3.8381650693855678E-2"/>
                  <c:y val="-0.132785102964930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AF1-4B7C-885B-ADE9D4AF2DD3}"/>
                </c:ext>
              </c:extLst>
            </c:dLbl>
            <c:dLbl>
              <c:idx val="6"/>
              <c:layout>
                <c:manualLayout>
                  <c:x val="-3.3775852610593002E-2"/>
                  <c:y val="-0.1514216215165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9AF1-4B7C-885B-ADE9D4AF2DD3}"/>
                </c:ext>
              </c:extLst>
            </c:dLbl>
            <c:dLbl>
              <c:idx val="7"/>
              <c:layout>
                <c:manualLayout>
                  <c:x val="-3.5311118638347176E-2"/>
                  <c:y val="-0.15375118633546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9AF1-4B7C-885B-ADE9D4AF2DD3}"/>
                </c:ext>
              </c:extLst>
            </c:dLbl>
            <c:dLbl>
              <c:idx val="8"/>
              <c:layout>
                <c:manualLayout>
                  <c:x val="-3.684638466610151E-2"/>
                  <c:y val="-0.163069445611264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9AF1-4B7C-885B-ADE9D4AF2DD3}"/>
                </c:ext>
              </c:extLst>
            </c:dLbl>
            <c:dLbl>
              <c:idx val="9"/>
              <c:layout>
                <c:manualLayout>
                  <c:x val="-3.8381650693855733E-2"/>
                  <c:y val="-0.20966074199024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9AF1-4B7C-885B-ADE9D4AF2DD3}"/>
                </c:ext>
              </c:extLst>
            </c:dLbl>
            <c:dLbl>
              <c:idx val="10"/>
              <c:layout>
                <c:manualLayout>
                  <c:x val="-4.6057980832626751E-2"/>
                  <c:y val="-0.251592908731319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9AF1-4B7C-885B-ADE9D4AF2DD3}"/>
                </c:ext>
              </c:extLst>
            </c:dLbl>
            <c:dLbl>
              <c:idx val="11"/>
              <c:layout>
                <c:manualLayout>
                  <c:x val="-4.1452182749364075E-2"/>
                  <c:y val="-0.295854640291346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9AF1-4B7C-885B-ADE9D4AF2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flowChartConnector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'SCB PLAN'!$B$17:$M$17</c:f>
              <c:numCache>
                <c:formatCode>[$-409]mmm\-yy;@</c:formatCode>
                <c:ptCount val="12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  <c:pt idx="5">
                  <c:v>46327</c:v>
                </c:pt>
                <c:pt idx="6">
                  <c:v>46357</c:v>
                </c:pt>
                <c:pt idx="7">
                  <c:v>46388</c:v>
                </c:pt>
                <c:pt idx="8">
                  <c:v>46419</c:v>
                </c:pt>
                <c:pt idx="9">
                  <c:v>46447</c:v>
                </c:pt>
                <c:pt idx="10">
                  <c:v>46478</c:v>
                </c:pt>
                <c:pt idx="11">
                  <c:v>46508</c:v>
                </c:pt>
              </c:numCache>
            </c:numRef>
          </c:cat>
          <c:val>
            <c:numRef>
              <c:f>'SCB PLAN'!$B$36:$M$36</c:f>
              <c:numCache>
                <c:formatCode>0%</c:formatCode>
                <c:ptCount val="12"/>
                <c:pt idx="0">
                  <c:v>0.96489354488863077</c:v>
                </c:pt>
                <c:pt idx="1">
                  <c:v>0.91281488678584277</c:v>
                </c:pt>
                <c:pt idx="2">
                  <c:v>0.89367644294464565</c:v>
                </c:pt>
                <c:pt idx="3">
                  <c:v>0.85787637372305281</c:v>
                </c:pt>
                <c:pt idx="4">
                  <c:v>0.83706029718307773</c:v>
                </c:pt>
                <c:pt idx="5">
                  <c:v>0.8003153978726858</c:v>
                </c:pt>
                <c:pt idx="6">
                  <c:v>0.52468059894667962</c:v>
                </c:pt>
                <c:pt idx="7">
                  <c:v>0.44278519152204143</c:v>
                </c:pt>
                <c:pt idx="8">
                  <c:v>0.26973991980972606</c:v>
                </c:pt>
                <c:pt idx="9">
                  <c:v>0.16951521543677886</c:v>
                </c:pt>
                <c:pt idx="10">
                  <c:v>0.13384621347536999</c:v>
                </c:pt>
                <c:pt idx="11">
                  <c:v>0.13892895739571134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AF1-4B7C-885B-ADE9D4AF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978192"/>
        <c:axId val="387966712"/>
      </c:lineChart>
      <c:dateAx>
        <c:axId val="9801728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8816"/>
        <c:crosses val="autoZero"/>
        <c:auto val="1"/>
        <c:lblOffset val="100"/>
        <c:baseTimeUnit val="months"/>
      </c:dateAx>
      <c:valAx>
        <c:axId val="9801881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7280"/>
        <c:crosses val="autoZero"/>
        <c:crossBetween val="between"/>
        <c:majorUnit val="5"/>
      </c:valAx>
      <c:valAx>
        <c:axId val="3879667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78192"/>
        <c:crosses val="max"/>
        <c:crossBetween val="between"/>
      </c:valAx>
      <c:dateAx>
        <c:axId val="387978192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387966712"/>
        <c:crosses val="autoZero"/>
        <c:auto val="1"/>
        <c:lblOffset val="100"/>
        <c:baseTimeUnit val="months"/>
      </c:dateAx>
      <c:spPr>
        <a:noFill/>
        <a:ln w="25400">
          <a:noFill/>
        </a:ln>
        <a:effectLst/>
      </c:spPr>
    </c:plotArea>
    <c:legend>
      <c:legendPos val="r"/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tx>
            <c:strRef>
              <c:f>'SCB PLAN'!$A$26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82-40D4-B7B4-A3477842FB4A}"/>
              </c:ext>
            </c:extLst>
          </c:dPt>
          <c:dLbls>
            <c:dLbl>
              <c:idx val="0"/>
              <c:layout>
                <c:manualLayout>
                  <c:x val="4.9827059827612921E-3"/>
                  <c:y val="-0.3972400436889834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82-40D4-B7B4-A3477842FB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'SCB PLAN'!$K$17</c:f>
              <c:numCache>
                <c:formatCode>[$-409]mmm\-yy;@</c:formatCode>
                <c:ptCount val="1"/>
                <c:pt idx="0">
                  <c:v>46447</c:v>
                </c:pt>
              </c:numCache>
            </c:numRef>
          </c:cat>
          <c:val>
            <c:numRef>
              <c:f>'SCB PLAN'!$N$26</c:f>
              <c:numCache>
                <c:formatCode>0</c:formatCode>
                <c:ptCount val="1"/>
                <c:pt idx="0">
                  <c:v>486.51900000000006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2-40D4-B7B4-A3477842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doughnutChart>
        <c:varyColors val="1"/>
        <c:ser>
          <c:idx val="1"/>
          <c:order val="1"/>
          <c:tx>
            <c:strRef>
              <c:f>'SCB PLAN'!$A$18</c:f>
              <c:strCache>
                <c:ptCount val="1"/>
                <c:pt idx="0">
                  <c:v>WELDING</c:v>
                </c:pt>
              </c:strCache>
            </c:strRef>
          </c:tx>
          <c:spPr>
            <a:solidFill>
              <a:srgbClr val="0A3C55"/>
            </a:solidFill>
            <a:ln w="19050">
              <a:solidFill>
                <a:sysClr val="window" lastClr="FFFFFF"/>
              </a:solidFill>
            </a:ln>
          </c:spPr>
          <c:dPt>
            <c:idx val="0"/>
            <c:bubble3D val="0"/>
            <c:spPr>
              <a:solidFill>
                <a:srgbClr val="0A3C55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82-40D4-B7B4-A3477842FB4A}"/>
              </c:ext>
            </c:extLst>
          </c:dPt>
          <c:dPt>
            <c:idx val="1"/>
            <c:bubble3D val="0"/>
            <c:spPr>
              <a:solidFill>
                <a:srgbClr val="006C92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A82-40D4-B7B4-A3477842FB4A}"/>
              </c:ext>
            </c:extLst>
          </c:dPt>
          <c:dPt>
            <c:idx val="2"/>
            <c:bubble3D val="0"/>
            <c:spPr>
              <a:solidFill>
                <a:srgbClr val="009ED6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A82-40D4-B7B4-A3477842FB4A}"/>
              </c:ext>
            </c:extLst>
          </c:dPt>
          <c:dPt>
            <c:idx val="3"/>
            <c:bubble3D val="0"/>
            <c:spPr>
              <a:solidFill>
                <a:srgbClr val="78C1DE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A82-40D4-B7B4-A3477842FB4A}"/>
              </c:ext>
            </c:extLst>
          </c:dPt>
          <c:dPt>
            <c:idx val="4"/>
            <c:bubble3D val="0"/>
            <c:spPr>
              <a:solidFill>
                <a:srgbClr val="727F92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A82-40D4-B7B4-A3477842FB4A}"/>
              </c:ext>
            </c:extLst>
          </c:dPt>
          <c:dPt>
            <c:idx val="5"/>
            <c:bubble3D val="0"/>
            <c:spPr>
              <a:solidFill>
                <a:srgbClr val="0A3C55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A82-40D4-B7B4-A3477842FB4A}"/>
              </c:ext>
            </c:extLst>
          </c:dPt>
          <c:dPt>
            <c:idx val="6"/>
            <c:bubble3D val="0"/>
            <c:spPr>
              <a:solidFill>
                <a:srgbClr val="0A3C55"/>
              </a:solidFill>
              <a:ln w="19050">
                <a:solidFill>
                  <a:sysClr val="window" lastClr="FFFF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A82-40D4-B7B4-A3477842FB4A}"/>
              </c:ext>
            </c:extLst>
          </c:dPt>
          <c:dLbls>
            <c:dLbl>
              <c:idx val="0"/>
              <c:layout>
                <c:manualLayout>
                  <c:x val="-1.9404012627581384E-2"/>
                  <c:y val="0.121446060445296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82-40D4-B7B4-A3477842FB4A}"/>
                </c:ext>
              </c:extLst>
            </c:dLbl>
            <c:dLbl>
              <c:idx val="1"/>
              <c:layout>
                <c:manualLayout>
                  <c:x val="3.8808025255162768E-3"/>
                  <c:y val="-5.808289847383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82-40D4-B7B4-A3477842FB4A}"/>
                </c:ext>
              </c:extLst>
            </c:dLbl>
            <c:dLbl>
              <c:idx val="2"/>
              <c:layout>
                <c:manualLayout>
                  <c:x val="-7.1147224402324208E-17"/>
                  <c:y val="-3.6961844483351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82-40D4-B7B4-A3477842FB4A}"/>
                </c:ext>
              </c:extLst>
            </c:dLbl>
            <c:dLbl>
              <c:idx val="3"/>
              <c:layout>
                <c:manualLayout>
                  <c:x val="6.9862695984347079E-2"/>
                  <c:y val="0.109587919089732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82-40D4-B7B4-A3477842FB4A}"/>
                </c:ext>
              </c:extLst>
            </c:dLbl>
            <c:dLbl>
              <c:idx val="4"/>
              <c:layout>
                <c:manualLayout>
                  <c:x val="-8.149685303584181E-2"/>
                  <c:y val="0.107876199025188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82-40D4-B7B4-A3477842FB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'SCB PLAN'!$A$18:$A$22</c:f>
              <c:strCache>
                <c:ptCount val="5"/>
                <c:pt idx="0">
                  <c:v>WELDING</c:v>
                </c:pt>
                <c:pt idx="1">
                  <c:v>MACHINING</c:v>
                </c:pt>
                <c:pt idx="2">
                  <c:v>ASSEMBLY</c:v>
                </c:pt>
                <c:pt idx="3">
                  <c:v>ROLL REFURBISHMENT</c:v>
                </c:pt>
                <c:pt idx="4">
                  <c:v>PLATING</c:v>
                </c:pt>
              </c:strCache>
            </c:strRef>
          </c:cat>
          <c:val>
            <c:numRef>
              <c:f>'SCB PLAN'!$N$18:$N$22</c:f>
              <c:numCache>
                <c:formatCode>0</c:formatCode>
                <c:ptCount val="5"/>
                <c:pt idx="0">
                  <c:v>346.66350000000006</c:v>
                </c:pt>
                <c:pt idx="1">
                  <c:v>68.584499999999991</c:v>
                </c:pt>
                <c:pt idx="2">
                  <c:v>45.734999999999999</c:v>
                </c:pt>
                <c:pt idx="3">
                  <c:v>15.276</c:v>
                </c:pt>
                <c:pt idx="4">
                  <c:v>10.26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A82-40D4-B7B4-A3477842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137789</xdr:colOff>
      <xdr:row>0</xdr:row>
      <xdr:rowOff>0</xdr:rowOff>
    </xdr:from>
    <xdr:to>
      <xdr:col>32</xdr:col>
      <xdr:colOff>594261</xdr:colOff>
      <xdr:row>31</xdr:row>
      <xdr:rowOff>139158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EB6D1-10AD-4289-A40B-F9461CD2F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124239</xdr:colOff>
      <xdr:row>38</xdr:row>
      <xdr:rowOff>57979</xdr:rowOff>
    </xdr:from>
    <xdr:to>
      <xdr:col>9</xdr:col>
      <xdr:colOff>508445</xdr:colOff>
      <xdr:row>52</xdr:row>
      <xdr:rowOff>40256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3918C-3AB9-4D52-B56D-9CF99C94D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181332</xdr:colOff>
      <xdr:row>0</xdr:row>
      <xdr:rowOff>0</xdr:rowOff>
    </xdr:from>
    <xdr:to>
      <xdr:col>33</xdr:col>
      <xdr:colOff>17319</xdr:colOff>
      <xdr:row>31</xdr:row>
      <xdr:rowOff>139158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1D23C-0F82-413A-8BDA-4E15E9BCE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124239</xdr:colOff>
      <xdr:row>38</xdr:row>
      <xdr:rowOff>57979</xdr:rowOff>
    </xdr:from>
    <xdr:to>
      <xdr:col>7</xdr:col>
      <xdr:colOff>508445</xdr:colOff>
      <xdr:row>52</xdr:row>
      <xdr:rowOff>40256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4DFAB4-4EB4-4D52-8B55-E5C0ECD94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rahim_demirel\c\My%20Documents\new\EXC_GU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WINNT\TEMP\c.notes.data\PBC\V&#304;CDAN\SmmDEC01-Kapanis-22.04.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~1\ADMINI~1\LOCALS~1\Temp\C.Notes.Data\semih\F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~1\ADMINI~1\LOCALS~1\Temp\C.Notes.Data\semih\My%20Documents\hazera\F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Akkayac\My%20Documents\C_L_I_E_N_T_S\My%20Clients\2005\ASMAS_2005\field\Caglar\FA_USGAAP_Conv_12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KUME~1\tenn\LOKALE~1\Temp\c.notes.daten\MARK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1036\6951$\STAHL\Daten\C-Rep%20Neu\September%202005\CB%20GB%20RPK%20September%202005%20Segmen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125001001\users\WINNT\Profiles\Can_Kural\Temporary%20Internet%20Files\OLK7\JANUARY%20MONTHEND%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AMAN\REPORTI\MONTHS\MONTHS98\Dec\Bsde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EXCEL\BILKAR\haziran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WINNT\Temp\Konzernreporting_englisch_VorlageWinkhaus%20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Administrator\My%20Documents\Ayta&#231;\My%20Documents\FR%20ILAC%2012.2001\PwC%20Financials\GERMAN%20GAAP\legal-input_German%20GAAP%204Q2001-AY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Dik\My%20Documents\CLIENT'S%20WORK\A2%20CLIENTS\ENERJ&#304;SA%2031.12.2003\ENERJ&#304;SA%20UPDATE\PBC\YE&#350;&#304;M+G&#214;KHAN\TLPORTFOY\Simulasyon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My%20Documents\Clients\DBR-31.12.00\SPK%20Formats\FORMSRK.XL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Startup" Target="KCB1_Intern/PRER/NB/NB%202008/0802/GB%20Band%2008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KCB1\KCB1_Intern\PRER\NB\NB%202008\0804\GB%20Band%2008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2.1.94\Appraisal\IV\My%20Documents\Office_files\Salary%20deatils-2003\BASICSPA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Users\buih\AppData\Local\Microsoft\Windows\Temporary%20Internet%20Files\Content.Outlook\VW2E875X\Quality\Site\Public\jobpackets\AcuTuf\ipsco%20-%20iowa\ipsc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Users\buih\AppData\Local\Microsoft\Windows\Temporary%20Internet%20Files\Content.Outlook\VW2E875X\FILES\jobpacket%20-%20DO%20NOT%20EDIT%20ROUTERS%20HERE\AcuTuf\ipsco%20-%20iowa\ipsc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G_fibu\Jahresabschluss%202002\Konzern\Konzernreporting_englisch_VorlagePWC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SMS-BBSRMFG\AMIT\Khurda&amp;Mancheshwar\MonthlyMISReports\October2014Report\BBSRMfg-Sep14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Users\buih\AppData\Local\Microsoft\Windows\Temporary%20Internet%20Files\Content.Outlook\VW2E875X\FILES\jobpacke\USS-FF\FFBFRE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windows\TEMP\1Qu2000\eccs%20output\orginal\Draft\legal_data-input_2-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~1\ADMINI~1\LOCALS~1\Temp\ak97\97AKSP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WINDOWS\TEMP\TEMP\WINDOWS\TEMP\TEST\FT\RISK\RISK_OL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KCB1\KCB1_Intern\PRER\NB\NB%202008\0804\GB%20E&amp;A%200804%20comment%20vor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il1\HOME\FILES\jobpackets\Algoma\FFBFRE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il1\HOME\FILES\jobpacket%20-%20DO%20NOT%20EDIT%20ROUTERS%20HERE\AcuTuf\ipsco%20-%20iowa\ipsc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an_karabulut\c\WINDOWS\TEMP\IHR.GA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bk03\ALLGEM\h934\MEIN\PLANUNG\Plan2003\npkfal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My%20Documents\kav\BAYMAK12.00IA.S-gree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Dik\My%20Documents\CLIENT'S%20WORK\A2%20CLIENTS\ENERJ&#304;SA%2031.12.2003\ENERJ&#304;SA%20UPDATE\PBC\YE&#350;&#304;M+G&#214;KHAN\TLPORTFOY\&#199;iftlikEv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Users\srmi\AppData\Local\Microsoft\Windows\Temporary%20Internet%20Files\Content.Outlook\7TBEF7MW\STR_December_Quaterly_Report_23011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il1\HOME\FILES\jobpacke\USS-FF\FFBFRE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125001001\users\can\My%20Documents\DNB\AUGUST%2002%20MONTHEND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125001001\users\can\My%20Documents\DNB\SEPTEMBER%2002%20MONTHEND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ms-group\smi\Documents%20and%20Settings\Dik\My%20Documents\CLIENT'S%20WORK\A2%20CLIENTS\ENERJ&#304;SA%2031.12.2003\ENERJ&#304;SA%20UPDATE\PBC\YE&#350;&#304;M+G&#214;KHAN\Documents%20and%20Settings\Tasel\My%20Documents\Kocbank310302Audit\Client\Menkul%20K&#305;ymetler\Tablo%20II.xls?195A3796" TargetMode="External"/><Relationship Id="rId1" Type="http://schemas.openxmlformats.org/officeDocument/2006/relationships/externalLinkPath" Target="file:///\\195A3796\Tablo%20II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WINDOWS\TEMP\WINDOWS\TEMP\WINDOWS\TEMP\derivatives-new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EXCEL\ENF-MUH\ASM-ENFLASYON-2004-R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53\bat\berwesen\Neue%202008\2008%20Phoenix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cmizrak\Desktop\SATISLAR-20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Users\srmi\AppData\Local\Microsoft\Windows\Temporary%20Internet%20Files\Content.Outlook\7TBEF7MW\Controlling%20report_STR_311212_170113v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h930-20\UPL\2005-2006\Planungsmappe\UB%20HWT%20040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ike\ias%20report%201\WINDOWS\TEMP\Belgelerim\BALANCE\BALANCE\SALE\2000C&#304;RO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53\bat\PLANUNG\PL-2007-2012\Plan%20BGE%20rev0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EAC2\EAC2_Intern\Controlling\BusinessCase\BusinessCase%202011\BC%202011%2012-2011\BC%20SDE%20201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WINDOWS\TEMP\TEMP\WINDOWS\TEMP\BH\99SI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Gorkey\My%20Documents\Clients\2003\BEKO\CIGDEM\Previous\other%20work\fixed%20asset%20register%20at%2031.12.200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Gorkey\My%20Documents\Clients\2003\BEKO\CIGDEM\Previous\other%20work\fixed%20asset%20disposals%20in%2020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Clients\Celik%20Halat\30.06.98\FR\ALTMENP.XL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syalar\PARA090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projekte\cbdpcoph\a)%20CorpReporting\1)%20Active%20Excel%20Reports\A)%20AE%202_1\b)%20Upload\1)%20Management\Data_input_2-0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hrup\LOCALS~1\Temp\notes6030C8\Appraisal\My%20Documents\APR054S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Administrator\My%20Documents\Ayta&#231;\My%20Documents\FR%20ILAC%2012.2001\PwC%20Financials\GERMAN%20GAAP\legal-input_German%20GAAP%204Q2001-AY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dhfil01\home\ZBAAOrdner\Controlling\Planung\2007\Jahresplanung\Eckwerte\0606%20Benchmarks_Rev.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125001001\users\WINNT\Profiles\Can_Kural\Temporary%20Internet%20Files\OLK7\MARCH%2002%20MONTHEND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kumente%20und%20Einstellungen\roch\Anwendungsdaten\Microsoft\Excel\GB%20Steel%20(version%201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53\bat\PLANUNG\PL-2006\GES\BGE_GLPlan200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Users\buih\Desktop\SMS_240512\SMS\REPORTING\2012\04%20APRIL\SMS_IFRS\Draft\Controlling%20report_STR_300412_Linked_v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tahlgue\Local%20Settings\Temporary%20Internet%20Files\OLKD9\CB%20GB%20PST%20ab%20April%202004%20zerschosse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-group\smi\Documents%20and%20Settings\Dik\My%20Documents\CLIENT'S%20WORK\A2%20CLIENTS\ENERJ&#304;SA%2031.12.2003\ENERJ&#304;SA%20UPDATE\PBC\YE&#350;&#304;M+G&#214;KHAN\TLPORTFOY\Repo\File\Ocak%2001\Portf&#246;y\PORTF&#214;Y%202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SCBH\Internal\OH-INTERNAL\43.Capacity%20Planning\2026\04-APR\BBSR%20Capacity%20Planning%20.xlsx" TargetMode="External"/><Relationship Id="rId1" Type="http://schemas.openxmlformats.org/officeDocument/2006/relationships/externalLinkPath" Target="file:///Q:\SCBH\Internal\OH-INTERNAL\43.Capacity%20Planning\2026\04-APR\BBSR%20Capacity%20Planning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"/>
      <sheetName val="cost center list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STOK"/>
      <sheetName val="IMALAT"/>
      <sheetName val="KAR-ZARAR"/>
      <sheetName val="MATRIX"/>
      <sheetName val="MALI TABLOLAR"/>
      <sheetName val="FARK"/>
      <sheetName val="AKREDETIF"/>
      <sheetName val="IMHA URUN"/>
      <sheetName val="T ACCOUNTS"/>
      <sheetName val="SMMTABLOSU"/>
      <sheetName val="Sheet1"/>
      <sheetName val="FLAGY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ASH"/>
      <sheetName val="MARKETABLE SEC"/>
      <sheetName val="LOAN"/>
      <sheetName val="FIXEDAS"/>
      <sheetName val="OTHASS"/>
      <sheetName val="OTHLIAB"/>
      <sheetName val="BORROW"/>
      <sheetName val="EQUITY"/>
      <sheetName val="PAYRO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s with Hazera"/>
      <sheetName val="balance sheet"/>
      <sheetName val="P&amp;L"/>
      <sheetName val="Shareholders' equity"/>
      <sheetName val="NOTES TO BALANCE SHEET"/>
      <sheetName val="NOTES TO P&amp;L"/>
      <sheetName val="Transactions with TOROS"/>
      <sheetName val="Module1"/>
      <sheetName val="Module2"/>
      <sheetName val="Module3"/>
      <sheetName val="Module4"/>
      <sheetName val="Module5"/>
      <sheetName val="Module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250-251-252"/>
      <sheetName val="253"/>
      <sheetName val="254"/>
      <sheetName val="255"/>
      <sheetName val="256"/>
      <sheetName val="25802"/>
      <sheetName val="260-262-264-267"/>
      <sheetName val="additions03"/>
      <sheetName val="disposals03"/>
      <sheetName val="additions04"/>
      <sheetName val="disposals04"/>
      <sheetName val="tang_intang_mov_USD"/>
      <sheetName val="transf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VDMA"/>
      <sheetName val="Eingaben"/>
      <sheetName val="Grafik"/>
      <sheetName val="Grafik MB"/>
      <sheetName val="Modul1"/>
      <sheetName val="Modul2"/>
    </sheetNames>
    <sheetDataSet>
      <sheetData sheetId="0" refreshError="1">
        <row r="8">
          <cell r="E8">
            <v>1</v>
          </cell>
          <cell r="F8">
            <v>37987</v>
          </cell>
        </row>
        <row r="9">
          <cell r="E9">
            <v>2</v>
          </cell>
          <cell r="F9">
            <v>38018</v>
          </cell>
        </row>
        <row r="10">
          <cell r="E10">
            <v>3</v>
          </cell>
          <cell r="F10">
            <v>38047</v>
          </cell>
        </row>
        <row r="11">
          <cell r="E11">
            <v>4</v>
          </cell>
          <cell r="F11">
            <v>38078</v>
          </cell>
        </row>
        <row r="12">
          <cell r="E12">
            <v>5</v>
          </cell>
          <cell r="F12">
            <v>38108</v>
          </cell>
        </row>
        <row r="13">
          <cell r="E13">
            <v>6</v>
          </cell>
          <cell r="F13">
            <v>38139</v>
          </cell>
        </row>
        <row r="14">
          <cell r="E14">
            <v>7</v>
          </cell>
          <cell r="F14">
            <v>38169</v>
          </cell>
        </row>
        <row r="15">
          <cell r="E15">
            <v>8</v>
          </cell>
          <cell r="F15">
            <v>38200</v>
          </cell>
        </row>
        <row r="16">
          <cell r="E16">
            <v>9</v>
          </cell>
          <cell r="F16">
            <v>38231</v>
          </cell>
        </row>
        <row r="17">
          <cell r="E17">
            <v>10</v>
          </cell>
          <cell r="F17">
            <v>38261</v>
          </cell>
        </row>
        <row r="18">
          <cell r="E18">
            <v>11</v>
          </cell>
          <cell r="F18">
            <v>38292</v>
          </cell>
        </row>
        <row r="19">
          <cell r="E19">
            <v>12</v>
          </cell>
          <cell r="F19">
            <v>38322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Deckblatt"/>
      <sheetName val="Inhalt"/>
      <sheetName val="Zsf. Ist"/>
      <sheetName val="Zsf. Risiko"/>
      <sheetName val="Eckdaten"/>
      <sheetName val="Projektvolumen"/>
      <sheetName val="2005"/>
      <sheetName val="2005  Rohr"/>
      <sheetName val="2005 Profil"/>
      <sheetName val="2005 NE"/>
      <sheetName val="AE"/>
      <sheetName val="AE (Klasse)"/>
      <sheetName val="Treffer"/>
      <sheetName val="LOI"/>
      <sheetName val="UM"/>
      <sheetName val="AB"/>
      <sheetName val="MI"/>
      <sheetName val="Auslastung Konstruktion"/>
      <sheetName val="Auslastung Fertigung"/>
      <sheetName val="MIKA"/>
      <sheetName val="Ergebnis"/>
      <sheetName val="Ergebnisanalyse"/>
      <sheetName val="Ergebnisanalyse EinzelGes"/>
      <sheetName val="Bilanz"/>
      <sheetName val="LI"/>
      <sheetName val="Finanzkennzahlen"/>
      <sheetName val="Finanzkennzahlen Einzelges"/>
      <sheetName val="Finanzkennzahlen (2)"/>
      <sheetName val="Krank"/>
      <sheetName val="Investitionen"/>
      <sheetName val="Personalkennzahlen"/>
      <sheetName val="Status"/>
      <sheetName val="Auftragsliquidität"/>
      <sheetName val="Fällige Kundenzahlungen"/>
      <sheetName val="Absicherung Aufträge"/>
      <sheetName val="Sonstige Chancen und Risiken"/>
      <sheetName val="Def. Eckdaten"/>
      <sheetName val="Def. Kennzahlen"/>
    </sheetNames>
    <sheetDataSet>
      <sheetData sheetId="0" refreshError="1">
        <row r="7">
          <cell r="D7">
            <v>38139</v>
          </cell>
        </row>
        <row r="12">
          <cell r="D12" t="str">
            <v>Ist 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27"/>
      <sheetName val="8023"/>
      <sheetName val="8025"/>
      <sheetName val="8017"/>
      <sheetName val="accruals"/>
      <sheetName val="MONTH END ADJUSTMENTS"/>
      <sheetName val="DAILY DOWNLOAD"/>
      <sheetName val="8001"/>
      <sheetName val="PL RAW DATA"/>
      <sheetName val="Daily Trans"/>
      <sheetName val="pl adjustments"/>
      <sheetName val="FIXED ASSETS"/>
      <sheetName val="25% TESTING"/>
      <sheetName val="BS"/>
      <sheetName val="PL"/>
      <sheetName val="INT MARGIN"/>
      <sheetName val="BS MATURITY"/>
      <sheetName val="fixed costs"/>
      <sheetName val="C-CASHFLOW"/>
      <sheetName val="fx rates"/>
      <sheetName val="SWAPS"/>
      <sheetName val="transaction types"/>
      <sheetName val="CUSTO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"/>
      <sheetName val="liab"/>
      <sheetName val="groups"/>
      <sheetName val="ledger_bin"/>
      <sheetName val="340"/>
      <sheetName val="350"/>
      <sheetName val="adv_rec."/>
      <sheetName val="work.cap&amp; fix.assets"/>
      <sheetName val="dr 120.10"/>
      <sheetName val="cr 120.10"/>
      <sheetName val="adavances received vs wip compa"/>
      <sheetName val="halk pb's"/>
      <sheetName val="carry forward"/>
      <sheetName val="Module1"/>
    </sheetNames>
    <sheetDataSet>
      <sheetData sheetId="0"/>
      <sheetData sheetId="1"/>
      <sheetData sheetId="2"/>
      <sheetData sheetId="3" refreshError="1">
        <row r="9">
          <cell r="A9" t="str">
            <v>account</v>
          </cell>
          <cell r="E9" t="str">
            <v>dr (col.ind.numb.5)</v>
          </cell>
          <cell r="G9" t="str">
            <v>dr (col.ind.numb.6)</v>
          </cell>
          <cell r="I9" t="str">
            <v>dr/cr net</v>
          </cell>
          <cell r="J9" t="str">
            <v>dr (col.ind.numb.8)</v>
          </cell>
          <cell r="L9" t="str">
            <v>dr (col.ind.numb.9)</v>
          </cell>
          <cell r="N9" t="str">
            <v>dr/cr net</v>
          </cell>
        </row>
        <row r="10">
          <cell r="A10" t="str">
            <v>no</v>
          </cell>
          <cell r="E10" t="str">
            <v>borç</v>
          </cell>
          <cell r="G10" t="str">
            <v>alacak</v>
          </cell>
          <cell r="I10" t="str">
            <v>net</v>
          </cell>
          <cell r="J10" t="str">
            <v>borç</v>
          </cell>
          <cell r="L10" t="str">
            <v>alacak</v>
          </cell>
          <cell r="N10" t="str">
            <v>net</v>
          </cell>
        </row>
        <row r="11">
          <cell r="A11">
            <v>100</v>
          </cell>
          <cell r="B11" t="str">
            <v>kasa hesaby</v>
          </cell>
          <cell r="C11" t="str">
            <v>cash</v>
          </cell>
          <cell r="E11">
            <v>977.35265200000003</v>
          </cell>
          <cell r="F11" t="str">
            <v>B_32</v>
          </cell>
          <cell r="G11">
            <v>0</v>
          </cell>
          <cell r="I11">
            <v>977.35265200000003</v>
          </cell>
          <cell r="J11">
            <v>6032.3405450577193</v>
          </cell>
          <cell r="L11">
            <v>6369.8747111954699</v>
          </cell>
          <cell r="N11">
            <v>-337.53416613775062</v>
          </cell>
        </row>
        <row r="12">
          <cell r="A12">
            <v>101</v>
          </cell>
          <cell r="B12" t="str">
            <v>alynan çekler</v>
          </cell>
          <cell r="C12" t="str">
            <v>cheques on hand</v>
          </cell>
          <cell r="E12">
            <v>24061.097877</v>
          </cell>
          <cell r="F12" t="str">
            <v>B_32</v>
          </cell>
          <cell r="G12">
            <v>0</v>
          </cell>
          <cell r="I12">
            <v>24061.097877</v>
          </cell>
          <cell r="J12">
            <v>1595.8536730251101</v>
          </cell>
          <cell r="L12">
            <v>1479.81463184518</v>
          </cell>
          <cell r="N12">
            <v>116.03904117993011</v>
          </cell>
        </row>
        <row r="13">
          <cell r="A13">
            <v>102</v>
          </cell>
          <cell r="B13" t="str">
            <v>bankalar</v>
          </cell>
          <cell r="C13" t="str">
            <v>banks</v>
          </cell>
          <cell r="E13">
            <v>24161.013306000001</v>
          </cell>
          <cell r="F13" t="str">
            <v>B_31</v>
          </cell>
          <cell r="G13">
            <v>0</v>
          </cell>
          <cell r="I13">
            <v>24161.013306000001</v>
          </cell>
          <cell r="J13">
            <v>61332.364380973195</v>
          </cell>
          <cell r="L13">
            <v>60837.826668599002</v>
          </cell>
          <cell r="N13">
            <v>494.53771237419278</v>
          </cell>
        </row>
        <row r="14">
          <cell r="A14">
            <v>103</v>
          </cell>
          <cell r="B14" t="str">
            <v>verilen çekler ve ödeme emirleri</v>
          </cell>
          <cell r="C14" t="str">
            <v>cheques and payment orders given</v>
          </cell>
          <cell r="E14">
            <v>0</v>
          </cell>
          <cell r="G14">
            <v>1154.8687190000001</v>
          </cell>
          <cell r="H14" t="str">
            <v>B_31</v>
          </cell>
          <cell r="I14">
            <v>1154.8687190000001</v>
          </cell>
          <cell r="J14">
            <v>3415.30996</v>
          </cell>
          <cell r="L14">
            <v>3409.0870399999999</v>
          </cell>
          <cell r="N14">
            <v>6.2229200000001583</v>
          </cell>
        </row>
        <row r="15">
          <cell r="A15">
            <v>112</v>
          </cell>
          <cell r="B15" t="str">
            <v>kamu kesimi tahvil ve senetleri</v>
          </cell>
          <cell r="C15" t="str">
            <v>treasury bills/government bonds</v>
          </cell>
          <cell r="E15">
            <v>141299.946765</v>
          </cell>
          <cell r="F15" t="str">
            <v>B_31</v>
          </cell>
          <cell r="G15">
            <v>0</v>
          </cell>
          <cell r="I15">
            <v>141299.946765</v>
          </cell>
          <cell r="J15">
            <v>41878.763044948195</v>
          </cell>
          <cell r="L15">
            <v>41508.755888146203</v>
          </cell>
          <cell r="N15">
            <v>370.0071568019921</v>
          </cell>
        </row>
        <row r="16">
          <cell r="A16">
            <v>120.1</v>
          </cell>
          <cell r="B16" t="str">
            <v>projesi devam eden alycylar</v>
          </cell>
          <cell r="C16" t="str">
            <v>V1 receivable from ongoing projects</v>
          </cell>
          <cell r="E16">
            <v>307420.22091199999</v>
          </cell>
          <cell r="F16" t="str">
            <v>B_221</v>
          </cell>
          <cell r="G16">
            <v>0</v>
          </cell>
          <cell r="H16" t="str">
            <v>B_921</v>
          </cell>
          <cell r="I16">
            <v>307420.22091199999</v>
          </cell>
          <cell r="J16">
            <v>2701.1081600000002</v>
          </cell>
          <cell r="L16">
            <v>1268.7993899999999</v>
          </cell>
          <cell r="N16">
            <v>1432.3087700000003</v>
          </cell>
        </row>
        <row r="17">
          <cell r="A17">
            <v>120.2</v>
          </cell>
          <cell r="B17" t="str">
            <v>grup içi alycylar</v>
          </cell>
          <cell r="C17" t="str">
            <v>receivable from group companies</v>
          </cell>
          <cell r="E17">
            <v>29662.000810000001</v>
          </cell>
          <cell r="F17" t="str">
            <v>B_223</v>
          </cell>
          <cell r="G17">
            <v>0</v>
          </cell>
          <cell r="I17">
            <v>29662.000810000001</v>
          </cell>
          <cell r="J17">
            <v>479.11908801120001</v>
          </cell>
          <cell r="L17">
            <v>319.82216</v>
          </cell>
          <cell r="N17">
            <v>159.29692801120001</v>
          </cell>
        </row>
        <row r="18">
          <cell r="A18">
            <v>120.3</v>
          </cell>
          <cell r="B18" t="str">
            <v>grup dy?y alycylar</v>
          </cell>
          <cell r="C18" t="str">
            <v>receivable from foreign companies (non group)</v>
          </cell>
          <cell r="E18">
            <v>2552.4879599999999</v>
          </cell>
          <cell r="F18" t="str">
            <v>B_221</v>
          </cell>
          <cell r="G18">
            <v>0</v>
          </cell>
          <cell r="I18">
            <v>2552.4879599999999</v>
          </cell>
          <cell r="J18">
            <v>23.927799999999998</v>
          </cell>
          <cell r="L18">
            <v>10.15</v>
          </cell>
          <cell r="N18">
            <v>13.777799999999997</v>
          </cell>
        </row>
        <row r="19">
          <cell r="A19">
            <v>120.4</v>
          </cell>
          <cell r="B19" t="str">
            <v>hizmet alycylary</v>
          </cell>
          <cell r="C19" t="str">
            <v>V2 receivable</v>
          </cell>
          <cell r="E19">
            <v>50594.493889999998</v>
          </cell>
          <cell r="F19" t="str">
            <v>B_221</v>
          </cell>
          <cell r="G19">
            <v>0</v>
          </cell>
          <cell r="I19">
            <v>50594.493889999998</v>
          </cell>
          <cell r="J19">
            <v>3006.6469700000002</v>
          </cell>
          <cell r="L19">
            <v>2346.9438407696603</v>
          </cell>
          <cell r="N19">
            <v>659.70312923033998</v>
          </cell>
        </row>
        <row r="20">
          <cell r="A20">
            <v>120.5</v>
          </cell>
          <cell r="B20" t="str">
            <v>malzeme alycylary</v>
          </cell>
          <cell r="C20" t="str">
            <v>receivable from component sales</v>
          </cell>
          <cell r="E20">
            <v>108.353998</v>
          </cell>
          <cell r="F20" t="str">
            <v>B_221</v>
          </cell>
          <cell r="G20">
            <v>0</v>
          </cell>
          <cell r="I20">
            <v>108.353998</v>
          </cell>
          <cell r="J20">
            <v>76.956360000000004</v>
          </cell>
          <cell r="L20">
            <v>75.486329999999995</v>
          </cell>
          <cell r="N20">
            <v>1.4700300000000084</v>
          </cell>
        </row>
        <row r="21">
          <cell r="A21">
            <v>120.6</v>
          </cell>
          <cell r="B21" t="str">
            <v>distribütörler</v>
          </cell>
          <cell r="C21" t="str">
            <v>receivable from distributors</v>
          </cell>
          <cell r="E21">
            <v>2797.95543</v>
          </cell>
          <cell r="F21" t="str">
            <v>B_221</v>
          </cell>
          <cell r="G21">
            <v>521.41359899999998</v>
          </cell>
          <cell r="I21">
            <v>3319.369029</v>
          </cell>
          <cell r="J21">
            <v>357.26751868047</v>
          </cell>
          <cell r="L21">
            <v>364.93556999999998</v>
          </cell>
          <cell r="N21">
            <v>-7.6680513195299795</v>
          </cell>
        </row>
        <row r="22">
          <cell r="A22">
            <v>120.61</v>
          </cell>
          <cell r="B22" t="str">
            <v>projesi biten modernizasyon</v>
          </cell>
          <cell r="C22" t="str">
            <v>VB receivable from completed projects</v>
          </cell>
          <cell r="E22">
            <v>2632.035429</v>
          </cell>
          <cell r="F22" t="str">
            <v>B_221</v>
          </cell>
          <cell r="G22">
            <v>259.36900000000003</v>
          </cell>
          <cell r="I22">
            <v>2891.4044290000002</v>
          </cell>
          <cell r="J22">
            <v>212.76951</v>
          </cell>
          <cell r="L22">
            <v>205.65253000000001</v>
          </cell>
          <cell r="N22">
            <v>7.1169799999999839</v>
          </cell>
        </row>
        <row r="23">
          <cell r="A23">
            <v>120.9</v>
          </cell>
          <cell r="B23" t="str">
            <v>projesi biten alycylar</v>
          </cell>
          <cell r="C23" t="str">
            <v>V1 receivable from completed projects</v>
          </cell>
          <cell r="E23">
            <v>2413.1934620000002</v>
          </cell>
          <cell r="F23" t="str">
            <v>B_221</v>
          </cell>
          <cell r="G23">
            <v>0</v>
          </cell>
          <cell r="H23" t="str">
            <v>B_921</v>
          </cell>
          <cell r="I23">
            <v>2413.1934620000002</v>
          </cell>
          <cell r="J23">
            <v>66.991489999999999</v>
          </cell>
          <cell r="L23">
            <v>32.724530000000001</v>
          </cell>
          <cell r="N23">
            <v>34.266959999999997</v>
          </cell>
        </row>
        <row r="24">
          <cell r="A24">
            <v>120.91</v>
          </cell>
          <cell r="B24" t="str">
            <v>kar?ylyksyz çykan çek</v>
          </cell>
          <cell r="C24" t="str">
            <v>bounce cheques</v>
          </cell>
          <cell r="E24">
            <v>0</v>
          </cell>
          <cell r="F24" t="str">
            <v>B_221</v>
          </cell>
          <cell r="G24">
            <v>0</v>
          </cell>
          <cell r="H24" t="str">
            <v>B_921</v>
          </cell>
          <cell r="I24">
            <v>0</v>
          </cell>
          <cell r="J24">
            <v>30.083410000000001</v>
          </cell>
          <cell r="L24">
            <v>30.083410000000001</v>
          </cell>
          <cell r="N24">
            <v>0</v>
          </cell>
        </row>
        <row r="25">
          <cell r="A25">
            <v>121</v>
          </cell>
          <cell r="B25" t="str">
            <v>alacak senetleri</v>
          </cell>
          <cell r="C25" t="str">
            <v>(promissory) notes receivable</v>
          </cell>
          <cell r="E25">
            <v>70276.42568</v>
          </cell>
          <cell r="F25" t="str">
            <v>B_211</v>
          </cell>
          <cell r="G25">
            <v>0</v>
          </cell>
          <cell r="I25">
            <v>70276.42568</v>
          </cell>
          <cell r="J25">
            <v>759.55443000000002</v>
          </cell>
          <cell r="L25">
            <v>344.20764000000003</v>
          </cell>
          <cell r="N25">
            <v>415.34679</v>
          </cell>
        </row>
        <row r="26">
          <cell r="A26">
            <v>126</v>
          </cell>
          <cell r="B26" t="str">
            <v>verilen depozito ve teminatlar</v>
          </cell>
          <cell r="C26" t="str">
            <v>guarantees and deposits given</v>
          </cell>
          <cell r="E26">
            <v>116.94235</v>
          </cell>
          <cell r="F26" t="str">
            <v>B_241</v>
          </cell>
          <cell r="G26">
            <v>0</v>
          </cell>
          <cell r="I26">
            <v>116.94235</v>
          </cell>
          <cell r="J26">
            <v>12.460899999999999</v>
          </cell>
          <cell r="L26">
            <v>10.761449853789999</v>
          </cell>
          <cell r="N26">
            <v>1.6994501462099993</v>
          </cell>
        </row>
        <row r="27">
          <cell r="A27">
            <v>128</v>
          </cell>
          <cell r="B27" t="str">
            <v>?üpheli ticari alacaklar</v>
          </cell>
          <cell r="C27" t="str">
            <v>doubtful receivable</v>
          </cell>
          <cell r="E27">
            <v>1684.7447609999999</v>
          </cell>
          <cell r="F27" t="str">
            <v>B_221</v>
          </cell>
          <cell r="G27">
            <v>0</v>
          </cell>
          <cell r="I27">
            <v>1684.7447609999999</v>
          </cell>
          <cell r="J27">
            <v>14.74742</v>
          </cell>
          <cell r="L27">
            <v>0</v>
          </cell>
          <cell r="N27">
            <v>14.74742</v>
          </cell>
        </row>
        <row r="28">
          <cell r="A28">
            <v>129</v>
          </cell>
          <cell r="B28" t="str">
            <v>?üpheli ticari alacaklar</v>
          </cell>
          <cell r="C28" t="str">
            <v>reserve for doubtful receivable</v>
          </cell>
          <cell r="H28" t="str">
            <v>B_224</v>
          </cell>
          <cell r="I28">
            <v>0</v>
          </cell>
          <cell r="N28">
            <v>0</v>
          </cell>
        </row>
        <row r="29">
          <cell r="A29">
            <v>135</v>
          </cell>
          <cell r="B29" t="str">
            <v>personelden alacaklar</v>
          </cell>
          <cell r="C29" t="str">
            <v>receivable from personnel</v>
          </cell>
          <cell r="E29">
            <v>614.09900000000005</v>
          </cell>
          <cell r="F29" t="str">
            <v>B_241</v>
          </cell>
          <cell r="G29">
            <v>0</v>
          </cell>
          <cell r="I29">
            <v>614.09900000000005</v>
          </cell>
          <cell r="J29">
            <v>100.10275999999999</v>
          </cell>
          <cell r="L29">
            <v>87.611598727270007</v>
          </cell>
          <cell r="N29">
            <v>12.491161272729983</v>
          </cell>
        </row>
        <row r="30">
          <cell r="A30">
            <v>136</v>
          </cell>
          <cell r="B30" t="str">
            <v>di?er çe?itli alacaklar</v>
          </cell>
          <cell r="C30" t="str">
            <v>other miscellaneous receivable</v>
          </cell>
          <cell r="E30">
            <v>9613.1347239999996</v>
          </cell>
          <cell r="F30" t="str">
            <v>B_241</v>
          </cell>
          <cell r="G30">
            <v>0</v>
          </cell>
          <cell r="H30" t="str">
            <v>B_241</v>
          </cell>
          <cell r="I30">
            <v>9613.1347239999996</v>
          </cell>
          <cell r="J30">
            <v>147.95457999999999</v>
          </cell>
          <cell r="L30">
            <v>97.161249999999995</v>
          </cell>
          <cell r="N30">
            <v>50.793329999999997</v>
          </cell>
        </row>
        <row r="31">
          <cell r="A31">
            <v>150</v>
          </cell>
          <cell r="B31" t="str">
            <v>ilk madde ve malzeme</v>
          </cell>
          <cell r="C31" t="str">
            <v>raw material</v>
          </cell>
          <cell r="E31">
            <v>279486.07221399999</v>
          </cell>
          <cell r="F31" t="str">
            <v>B_11</v>
          </cell>
          <cell r="G31">
            <v>0</v>
          </cell>
          <cell r="H31" t="str">
            <v>B_11</v>
          </cell>
          <cell r="I31">
            <v>279486.07221399999</v>
          </cell>
          <cell r="J31">
            <v>19611.000449564599</v>
          </cell>
          <cell r="L31">
            <v>17604.271911874399</v>
          </cell>
          <cell r="N31">
            <v>2006.7285376902</v>
          </cell>
        </row>
        <row r="32">
          <cell r="A32">
            <v>151</v>
          </cell>
          <cell r="B32" t="str">
            <v>yary mamuller üretim</v>
          </cell>
          <cell r="C32" t="str">
            <v>semi processed inventory</v>
          </cell>
          <cell r="E32">
            <v>0</v>
          </cell>
          <cell r="F32" t="str">
            <v>B_11</v>
          </cell>
          <cell r="G32">
            <v>0</v>
          </cell>
          <cell r="I32">
            <v>0</v>
          </cell>
          <cell r="J32">
            <v>462.76931999999999</v>
          </cell>
          <cell r="L32">
            <v>462.76931999999999</v>
          </cell>
          <cell r="N32">
            <v>0</v>
          </cell>
        </row>
        <row r="33">
          <cell r="A33">
            <v>155</v>
          </cell>
          <cell r="E33">
            <v>118.805993</v>
          </cell>
          <cell r="F33" t="str">
            <v>B_11</v>
          </cell>
          <cell r="G33">
            <v>0</v>
          </cell>
          <cell r="I33">
            <v>118.805993</v>
          </cell>
          <cell r="J33">
            <v>1.6531600000000002</v>
          </cell>
          <cell r="L33">
            <v>0</v>
          </cell>
          <cell r="N33">
            <v>1.6531600000000002</v>
          </cell>
        </row>
        <row r="34">
          <cell r="A34">
            <v>159</v>
          </cell>
          <cell r="B34" t="str">
            <v>verilen sipari? avanslary</v>
          </cell>
          <cell r="C34" t="str">
            <v>advances given for inventory</v>
          </cell>
          <cell r="E34">
            <v>13794.521291999999</v>
          </cell>
          <cell r="F34" t="str">
            <v>B_12</v>
          </cell>
          <cell r="G34">
            <v>0</v>
          </cell>
          <cell r="I34">
            <v>13794.521291999999</v>
          </cell>
          <cell r="J34">
            <v>8143.0996823609603</v>
          </cell>
          <cell r="L34">
            <v>8069.4518200000002</v>
          </cell>
          <cell r="N34">
            <v>73.647862360960062</v>
          </cell>
        </row>
        <row r="35">
          <cell r="A35">
            <v>170</v>
          </cell>
          <cell r="B35" t="str">
            <v>yyllara yaygyn in?aat</v>
          </cell>
          <cell r="C35" t="str">
            <v>WIP</v>
          </cell>
          <cell r="E35">
            <v>642219.45051300002</v>
          </cell>
          <cell r="F35" t="str">
            <v>B_12</v>
          </cell>
          <cell r="G35">
            <v>0</v>
          </cell>
          <cell r="I35">
            <v>642219.45051300002</v>
          </cell>
          <cell r="J35">
            <v>18212.624117423798</v>
          </cell>
          <cell r="L35">
            <v>11849.68507</v>
          </cell>
          <cell r="N35">
            <v>6362.9390474237989</v>
          </cell>
        </row>
        <row r="36">
          <cell r="A36">
            <v>179</v>
          </cell>
          <cell r="B36" t="str">
            <v>ta?eronlara verilen avanslar</v>
          </cell>
          <cell r="C36" t="str">
            <v>advances given to subcontractors</v>
          </cell>
          <cell r="E36">
            <v>22517.924929000001</v>
          </cell>
          <cell r="F36" t="str">
            <v>B_131</v>
          </cell>
          <cell r="G36">
            <v>8668.1363010000005</v>
          </cell>
          <cell r="H36" t="str">
            <v>B_131</v>
          </cell>
          <cell r="I36">
            <v>31186.061229999999</v>
          </cell>
          <cell r="J36">
            <v>1230.14860920202</v>
          </cell>
          <cell r="L36">
            <v>1120.11256</v>
          </cell>
          <cell r="N36">
            <v>110.03604920201997</v>
          </cell>
        </row>
        <row r="37">
          <cell r="A37">
            <v>180.01</v>
          </cell>
          <cell r="B37" t="str">
            <v>sigorta giderleri</v>
          </cell>
          <cell r="C37" t="str">
            <v>prepaid insurance</v>
          </cell>
          <cell r="E37">
            <v>0</v>
          </cell>
          <cell r="F37" t="str">
            <v>B_241</v>
          </cell>
          <cell r="G37">
            <v>0</v>
          </cell>
          <cell r="I37">
            <v>0</v>
          </cell>
          <cell r="J37">
            <v>29.15868</v>
          </cell>
          <cell r="L37">
            <v>29.149892277319999</v>
          </cell>
          <cell r="N37">
            <v>8.7877226800010533E-3</v>
          </cell>
        </row>
        <row r="38">
          <cell r="A38">
            <v>180.02</v>
          </cell>
          <cell r="B38" t="str">
            <v>pe?in ödenen kiralar</v>
          </cell>
          <cell r="C38" t="str">
            <v>prepaid rent</v>
          </cell>
          <cell r="E38">
            <v>0</v>
          </cell>
          <cell r="F38" t="str">
            <v>B_241</v>
          </cell>
          <cell r="G38">
            <v>0</v>
          </cell>
          <cell r="I38">
            <v>0</v>
          </cell>
          <cell r="J38">
            <v>81.032839999999993</v>
          </cell>
          <cell r="L38">
            <v>80.930059999999997</v>
          </cell>
          <cell r="N38">
            <v>0.10277999999999565</v>
          </cell>
        </row>
        <row r="39">
          <cell r="A39">
            <v>180.03</v>
          </cell>
          <cell r="B39" t="str">
            <v>bakym anla?malary</v>
          </cell>
          <cell r="C39" t="str">
            <v>prepaid maintenance</v>
          </cell>
          <cell r="E39">
            <v>0</v>
          </cell>
          <cell r="F39" t="str">
            <v>B_241</v>
          </cell>
          <cell r="G39">
            <v>0</v>
          </cell>
          <cell r="I39">
            <v>0</v>
          </cell>
          <cell r="J39">
            <v>6.8380400000000003</v>
          </cell>
          <cell r="L39">
            <v>6.8380400000000003</v>
          </cell>
          <cell r="N39">
            <v>0</v>
          </cell>
        </row>
        <row r="40">
          <cell r="A40">
            <v>180.1</v>
          </cell>
          <cell r="B40" t="str">
            <v>projelerin önceki dönem giderleri</v>
          </cell>
          <cell r="C40" t="str">
            <v>general &amp; administrative expenses prior year share V1</v>
          </cell>
          <cell r="E40">
            <v>54581.866638</v>
          </cell>
          <cell r="F40" t="str">
            <v>B_241</v>
          </cell>
          <cell r="G40">
            <v>0</v>
          </cell>
          <cell r="I40">
            <v>54581.866638</v>
          </cell>
          <cell r="J40">
            <v>659.05624999999998</v>
          </cell>
          <cell r="L40">
            <v>0</v>
          </cell>
          <cell r="N40">
            <v>659.05624999999998</v>
          </cell>
        </row>
        <row r="41">
          <cell r="A41">
            <v>180.61</v>
          </cell>
          <cell r="B41" t="str">
            <v>projelerin önceki dönem giderleri TR</v>
          </cell>
          <cell r="C41" t="str">
            <v>general &amp; administrative expenses prior year share VB</v>
          </cell>
          <cell r="E41">
            <v>761.99219600000004</v>
          </cell>
          <cell r="F41" t="str">
            <v>B_241</v>
          </cell>
          <cell r="G41">
            <v>0</v>
          </cell>
          <cell r="I41">
            <v>761.99219600000004</v>
          </cell>
          <cell r="J41">
            <v>9.28505</v>
          </cell>
          <cell r="L41">
            <v>0</v>
          </cell>
          <cell r="N41">
            <v>9.28505</v>
          </cell>
        </row>
        <row r="42">
          <cell r="A42">
            <v>190</v>
          </cell>
          <cell r="B42" t="str">
            <v>katma de?er vergisi</v>
          </cell>
          <cell r="C42" t="str">
            <v>VAT receivable</v>
          </cell>
          <cell r="E42">
            <v>0</v>
          </cell>
          <cell r="F42" t="str">
            <v>B_241</v>
          </cell>
          <cell r="G42">
            <v>0</v>
          </cell>
          <cell r="I42">
            <v>0</v>
          </cell>
          <cell r="J42">
            <v>2183.5471600000001</v>
          </cell>
          <cell r="L42">
            <v>2100.9814799999999</v>
          </cell>
          <cell r="N42">
            <v>82.565680000000157</v>
          </cell>
        </row>
        <row r="43">
          <cell r="A43">
            <v>191</v>
          </cell>
          <cell r="B43" t="str">
            <v>indirilecek katma de?er vergisi</v>
          </cell>
          <cell r="C43" t="str">
            <v>VAT deductible</v>
          </cell>
          <cell r="E43">
            <v>0</v>
          </cell>
          <cell r="F43" t="str">
            <v>B_241</v>
          </cell>
          <cell r="G43">
            <v>0</v>
          </cell>
          <cell r="I43">
            <v>0</v>
          </cell>
          <cell r="J43">
            <v>1447.13446244499</v>
          </cell>
          <cell r="L43">
            <v>1487.7761</v>
          </cell>
          <cell r="N43">
            <v>-40.641637555009993</v>
          </cell>
        </row>
        <row r="44">
          <cell r="A44">
            <v>193</v>
          </cell>
          <cell r="B44" t="str">
            <v>pe?in ödenen vergiler</v>
          </cell>
          <cell r="C44" t="str">
            <v>prepaid taxes</v>
          </cell>
          <cell r="E44">
            <v>39487.589982999998</v>
          </cell>
          <cell r="F44" t="str">
            <v>B_241</v>
          </cell>
          <cell r="G44">
            <v>0</v>
          </cell>
          <cell r="I44">
            <v>39487.589982999998</v>
          </cell>
          <cell r="J44">
            <v>385.60660999999999</v>
          </cell>
          <cell r="L44">
            <v>122.53777000000001</v>
          </cell>
          <cell r="N44">
            <v>263.06883999999997</v>
          </cell>
        </row>
        <row r="45">
          <cell r="A45">
            <v>195</v>
          </cell>
          <cell r="B45" t="str">
            <v>i? avanslary</v>
          </cell>
          <cell r="C45" t="str">
            <v>job advances</v>
          </cell>
          <cell r="E45">
            <v>12360.672748000001</v>
          </cell>
          <cell r="F45" t="str">
            <v>B_241</v>
          </cell>
          <cell r="G45">
            <v>0</v>
          </cell>
          <cell r="I45">
            <v>12360.672748000001</v>
          </cell>
          <cell r="J45">
            <v>354.08821227789002</v>
          </cell>
          <cell r="L45">
            <v>257.14495726253</v>
          </cell>
          <cell r="N45">
            <v>96.943255015360023</v>
          </cell>
        </row>
        <row r="46">
          <cell r="A46">
            <v>196</v>
          </cell>
          <cell r="B46" t="str">
            <v>personel avanslary</v>
          </cell>
          <cell r="C46" t="str">
            <v>advances to personnel</v>
          </cell>
          <cell r="E46">
            <v>72.877499999999998</v>
          </cell>
          <cell r="F46" t="str">
            <v>B_241</v>
          </cell>
          <cell r="G46">
            <v>2.5999999999999998E-5</v>
          </cell>
          <cell r="H46" t="str">
            <v>B_241</v>
          </cell>
          <cell r="I46">
            <v>72.877526000000003</v>
          </cell>
          <cell r="J46">
            <v>440.95267087420001</v>
          </cell>
          <cell r="L46">
            <v>438.03064482665997</v>
          </cell>
          <cell r="N46">
            <v>2.9220260475400437</v>
          </cell>
        </row>
        <row r="47">
          <cell r="A47">
            <v>197</v>
          </cell>
          <cell r="B47" t="str">
            <v>sayim ve tesellum noksanlari</v>
          </cell>
          <cell r="C47" t="str">
            <v>inventory counting difference ( deficit )</v>
          </cell>
          <cell r="E47">
            <v>0</v>
          </cell>
          <cell r="F47" t="str">
            <v>B_241</v>
          </cell>
          <cell r="G47">
            <v>0</v>
          </cell>
          <cell r="I47">
            <v>0</v>
          </cell>
          <cell r="J47">
            <v>25.00065</v>
          </cell>
          <cell r="L47">
            <v>25.00065</v>
          </cell>
          <cell r="N47">
            <v>0</v>
          </cell>
        </row>
        <row r="48">
          <cell r="A48">
            <v>198</v>
          </cell>
          <cell r="B48" t="str">
            <v>di?er çe?itli dönen varlyklar</v>
          </cell>
          <cell r="C48" t="str">
            <v>other current assets</v>
          </cell>
          <cell r="E48">
            <v>0.09</v>
          </cell>
          <cell r="F48" t="str">
            <v>B_241</v>
          </cell>
          <cell r="G48">
            <v>0</v>
          </cell>
          <cell r="I48">
            <v>0.09</v>
          </cell>
          <cell r="J48">
            <v>8.9099999999999999E-2</v>
          </cell>
          <cell r="L48">
            <v>7.2989999999999999E-2</v>
          </cell>
          <cell r="N48">
            <v>1.6109999999999999E-2</v>
          </cell>
        </row>
        <row r="49">
          <cell r="A49">
            <v>199</v>
          </cell>
          <cell r="B49" t="str">
            <v>di?er dönen varlyklar kar?yly?y</v>
          </cell>
          <cell r="C49" t="str">
            <v>reserve for other current assets</v>
          </cell>
          <cell r="I49">
            <v>0</v>
          </cell>
          <cell r="N49">
            <v>0</v>
          </cell>
        </row>
        <row r="50">
          <cell r="A50">
            <v>226</v>
          </cell>
          <cell r="B50" t="str">
            <v>verilen depozito ve teminatlar</v>
          </cell>
          <cell r="C50" t="str">
            <v>guarantees and deposits given - long term</v>
          </cell>
          <cell r="E50">
            <v>513.345102</v>
          </cell>
          <cell r="F50" t="str">
            <v>B_241</v>
          </cell>
          <cell r="G50">
            <v>0</v>
          </cell>
          <cell r="I50">
            <v>513.345102</v>
          </cell>
          <cell r="J50">
            <v>4.4935488235300003</v>
          </cell>
          <cell r="L50">
            <v>0</v>
          </cell>
          <cell r="N50">
            <v>4.4935488235300003</v>
          </cell>
        </row>
        <row r="51">
          <cell r="A51">
            <v>235</v>
          </cell>
          <cell r="B51" t="str">
            <v>personelden alacaklar</v>
          </cell>
          <cell r="C51" t="str">
            <v>receivable from the personnel - long term</v>
          </cell>
          <cell r="E51">
            <v>0</v>
          </cell>
          <cell r="F51" t="str">
            <v>B_241</v>
          </cell>
          <cell r="G51">
            <v>0</v>
          </cell>
          <cell r="I51">
            <v>0</v>
          </cell>
          <cell r="J51">
            <v>4.4720000000000004</v>
          </cell>
          <cell r="L51">
            <v>4.4720000000000004</v>
          </cell>
          <cell r="N51">
            <v>0</v>
          </cell>
        </row>
        <row r="52">
          <cell r="A52">
            <v>253</v>
          </cell>
          <cell r="B52" t="str">
            <v>tesis, makina ve cihazlar</v>
          </cell>
          <cell r="C52" t="str">
            <v>machinery and equipment</v>
          </cell>
          <cell r="E52">
            <v>19745.040504000001</v>
          </cell>
          <cell r="F52" t="str">
            <v>B_05</v>
          </cell>
          <cell r="G52">
            <v>0</v>
          </cell>
          <cell r="I52">
            <v>19745.040504000001</v>
          </cell>
          <cell r="J52">
            <v>1365.7293100000002</v>
          </cell>
          <cell r="L52">
            <v>1021.56474</v>
          </cell>
          <cell r="N52">
            <v>344.16457000000014</v>
          </cell>
        </row>
        <row r="53">
          <cell r="A53">
            <v>254</v>
          </cell>
          <cell r="B53" t="str">
            <v>ta?ytlar</v>
          </cell>
          <cell r="C53" t="str">
            <v>vehicles</v>
          </cell>
          <cell r="E53">
            <v>55443.182013999998</v>
          </cell>
          <cell r="F53" t="str">
            <v>B_05</v>
          </cell>
          <cell r="G53">
            <v>438.21122800000001</v>
          </cell>
          <cell r="I53">
            <v>55881.393241999998</v>
          </cell>
          <cell r="J53">
            <v>628.22503000000006</v>
          </cell>
          <cell r="L53">
            <v>168.60105999999999</v>
          </cell>
          <cell r="N53">
            <v>459.6239700000001</v>
          </cell>
        </row>
        <row r="54">
          <cell r="N54">
            <v>0</v>
          </cell>
        </row>
        <row r="55">
          <cell r="A55">
            <v>255</v>
          </cell>
          <cell r="B55" t="str">
            <v>demirba?lar</v>
          </cell>
          <cell r="C55" t="str">
            <v>furniture and fixtures</v>
          </cell>
          <cell r="E55">
            <v>40870.131647000002</v>
          </cell>
          <cell r="F55" t="str">
            <v>B_05</v>
          </cell>
          <cell r="G55">
            <v>0</v>
          </cell>
          <cell r="I55">
            <v>40870.131647000002</v>
          </cell>
          <cell r="J55">
            <v>805.53783999999996</v>
          </cell>
          <cell r="L55">
            <v>16.891080000000002</v>
          </cell>
          <cell r="N55">
            <v>788.64675999999997</v>
          </cell>
        </row>
        <row r="56">
          <cell r="A56">
            <v>257</v>
          </cell>
          <cell r="B56" t="str">
            <v>birikmi? amortismanlar</v>
          </cell>
          <cell r="C56" t="str">
            <v>accumulated depreciation for the above</v>
          </cell>
          <cell r="E56">
            <v>36.055923</v>
          </cell>
          <cell r="F56" t="str">
            <v>B_05</v>
          </cell>
          <cell r="G56">
            <v>32856.871299999999</v>
          </cell>
          <cell r="H56" t="str">
            <v>B_05</v>
          </cell>
          <cell r="I56">
            <v>32892.927222999999</v>
          </cell>
          <cell r="J56">
            <v>1128.5088999999998</v>
          </cell>
          <cell r="L56">
            <v>2197.9261800000004</v>
          </cell>
          <cell r="N56">
            <v>-1069.4172800000006</v>
          </cell>
        </row>
        <row r="57">
          <cell r="A57">
            <v>260</v>
          </cell>
          <cell r="B57" t="str">
            <v>haklar</v>
          </cell>
          <cell r="C57" t="str">
            <v>rights</v>
          </cell>
          <cell r="E57">
            <v>730.11687500000005</v>
          </cell>
          <cell r="F57" t="str">
            <v>B_05</v>
          </cell>
          <cell r="G57">
            <v>0</v>
          </cell>
          <cell r="I57">
            <v>730.11687500000005</v>
          </cell>
          <cell r="J57">
            <v>713.79942000000005</v>
          </cell>
          <cell r="L57">
            <v>0</v>
          </cell>
          <cell r="N57">
            <v>713.79942000000005</v>
          </cell>
        </row>
        <row r="58">
          <cell r="A58">
            <v>264</v>
          </cell>
          <cell r="B58" t="str">
            <v>özel maliyetler</v>
          </cell>
          <cell r="C58" t="str">
            <v>leasehold improvements</v>
          </cell>
          <cell r="E58">
            <v>15351.528605</v>
          </cell>
          <cell r="F58" t="str">
            <v>B_05</v>
          </cell>
          <cell r="G58">
            <v>0</v>
          </cell>
          <cell r="I58">
            <v>15351.528605</v>
          </cell>
          <cell r="J58">
            <v>336.84934999999996</v>
          </cell>
          <cell r="L58">
            <v>0</v>
          </cell>
          <cell r="N58">
            <v>336.84934999999996</v>
          </cell>
        </row>
        <row r="59">
          <cell r="A59">
            <v>268</v>
          </cell>
          <cell r="B59" t="str">
            <v>birikmi? amortismanlar</v>
          </cell>
          <cell r="C59" t="str">
            <v>accumulated depreciation for rights and leasehold improvements</v>
          </cell>
          <cell r="E59">
            <v>0</v>
          </cell>
          <cell r="G59">
            <v>6266.0123649999996</v>
          </cell>
          <cell r="H59" t="str">
            <v>B_05</v>
          </cell>
          <cell r="I59">
            <v>6266.0123649999996</v>
          </cell>
          <cell r="J59">
            <v>16.661000000000001</v>
          </cell>
          <cell r="L59">
            <v>1010.0143</v>
          </cell>
          <cell r="N59">
            <v>-993.35329999999999</v>
          </cell>
        </row>
        <row r="60">
          <cell r="A60">
            <v>280</v>
          </cell>
          <cell r="B60" t="str">
            <v>gelecek yyllara ait giderler</v>
          </cell>
          <cell r="C60" t="str">
            <v>prepaid expenses - long term</v>
          </cell>
          <cell r="E60">
            <v>2357.2564109999998</v>
          </cell>
          <cell r="F60" t="str">
            <v>B_241</v>
          </cell>
          <cell r="G60">
            <v>0</v>
          </cell>
          <cell r="I60">
            <v>2357.2564109999998</v>
          </cell>
          <cell r="J60">
            <v>15.755450000000002</v>
          </cell>
          <cell r="L60">
            <v>6.448000000000001E-2</v>
          </cell>
          <cell r="N60">
            <v>15.690970000000002</v>
          </cell>
        </row>
        <row r="61">
          <cell r="A61">
            <v>291</v>
          </cell>
          <cell r="B61" t="str">
            <v>gelecek yyllarda indirilecek KDV</v>
          </cell>
          <cell r="C61" t="str">
            <v>VAT deductible - long term</v>
          </cell>
          <cell r="E61">
            <v>1981.014056</v>
          </cell>
          <cell r="F61" t="str">
            <v>B_241</v>
          </cell>
          <cell r="G61">
            <v>0</v>
          </cell>
          <cell r="I61">
            <v>1981.014056</v>
          </cell>
          <cell r="J61">
            <v>15.2425</v>
          </cell>
          <cell r="L61">
            <v>0</v>
          </cell>
          <cell r="N61">
            <v>15.2425</v>
          </cell>
        </row>
        <row r="62">
          <cell r="A62">
            <v>300</v>
          </cell>
          <cell r="B62" t="str">
            <v>banka kredileri</v>
          </cell>
          <cell r="C62" t="str">
            <v>loans</v>
          </cell>
          <cell r="E62">
            <v>0</v>
          </cell>
          <cell r="F62" t="str">
            <v>B_95</v>
          </cell>
          <cell r="G62">
            <v>58758.816319999998</v>
          </cell>
          <cell r="H62" t="str">
            <v>B_32</v>
          </cell>
          <cell r="I62">
            <v>58758.816319999998</v>
          </cell>
          <cell r="J62">
            <v>52.133290000000002</v>
          </cell>
          <cell r="L62">
            <v>384.89999840233997</v>
          </cell>
          <cell r="N62">
            <v>-332.76670840233999</v>
          </cell>
        </row>
        <row r="63">
          <cell r="A63">
            <v>320.10000000000002</v>
          </cell>
          <cell r="B63" t="str">
            <v>yurtiçi satycylar</v>
          </cell>
          <cell r="C63" t="str">
            <v>payable to domestic suppliers</v>
          </cell>
          <cell r="E63">
            <v>24911.305899999999</v>
          </cell>
          <cell r="F63" t="str">
            <v>B_131</v>
          </cell>
          <cell r="G63">
            <v>25268.890742</v>
          </cell>
          <cell r="H63" t="str">
            <v>B_931</v>
          </cell>
          <cell r="I63">
            <v>50180.196641999995</v>
          </cell>
          <cell r="J63">
            <v>5244.6410883940698</v>
          </cell>
          <cell r="L63">
            <v>5425.0512699999999</v>
          </cell>
          <cell r="N63">
            <v>-180.41018160593012</v>
          </cell>
        </row>
        <row r="64">
          <cell r="A64">
            <v>320.2</v>
          </cell>
          <cell r="B64" t="str">
            <v>grupiçi satycylar</v>
          </cell>
          <cell r="C64" t="str">
            <v>payable to group companies</v>
          </cell>
          <cell r="E64">
            <v>913.02776700000004</v>
          </cell>
          <cell r="F64" t="str">
            <v>B_132</v>
          </cell>
          <cell r="G64">
            <v>752382.355094</v>
          </cell>
          <cell r="H64" t="str">
            <v>B_931</v>
          </cell>
          <cell r="I64">
            <v>753295.38286100002</v>
          </cell>
          <cell r="J64">
            <v>3584.2893939084297</v>
          </cell>
          <cell r="L64">
            <v>7606.0043618207301</v>
          </cell>
          <cell r="N64">
            <v>-4021.7149679123004</v>
          </cell>
        </row>
        <row r="65">
          <cell r="A65">
            <v>320.3</v>
          </cell>
          <cell r="B65" t="str">
            <v>grupdy?y satycylar</v>
          </cell>
          <cell r="C65" t="str">
            <v>payable to foreign companies - non group</v>
          </cell>
          <cell r="E65">
            <v>86.925759999999997</v>
          </cell>
          <cell r="F65" t="str">
            <v>B_131</v>
          </cell>
          <cell r="G65">
            <v>18694.838956</v>
          </cell>
          <cell r="H65" t="str">
            <v>B_931</v>
          </cell>
          <cell r="I65">
            <v>18781.764715999998</v>
          </cell>
          <cell r="J65">
            <v>821.38770999999997</v>
          </cell>
          <cell r="L65">
            <v>920.69244027797993</v>
          </cell>
          <cell r="N65">
            <v>-99.304730277979957</v>
          </cell>
        </row>
        <row r="66">
          <cell r="A66">
            <v>335</v>
          </cell>
          <cell r="B66" t="str">
            <v>personele borçlar</v>
          </cell>
          <cell r="C66" t="str">
            <v>payable to personnel</v>
          </cell>
          <cell r="E66">
            <v>0</v>
          </cell>
          <cell r="G66">
            <v>44</v>
          </cell>
          <cell r="H66" t="str">
            <v>B_941</v>
          </cell>
          <cell r="I66">
            <v>44</v>
          </cell>
          <cell r="J66">
            <v>133.23976965080999</v>
          </cell>
          <cell r="L66">
            <v>134.50367</v>
          </cell>
          <cell r="N66">
            <v>-1.2639003491900098</v>
          </cell>
        </row>
        <row r="67">
          <cell r="A67">
            <v>336</v>
          </cell>
          <cell r="B67" t="str">
            <v>di?er çe?itli borçlar</v>
          </cell>
          <cell r="C67" t="str">
            <v>other miscellaneous payable</v>
          </cell>
          <cell r="E67">
            <v>0</v>
          </cell>
          <cell r="F67" t="str">
            <v>B_941</v>
          </cell>
          <cell r="G67">
            <v>0</v>
          </cell>
          <cell r="H67" t="str">
            <v>B_941</v>
          </cell>
          <cell r="I67">
            <v>0</v>
          </cell>
          <cell r="J67">
            <v>105.89236</v>
          </cell>
          <cell r="L67">
            <v>105.43128999999999</v>
          </cell>
          <cell r="N67">
            <v>0.46107000000000653</v>
          </cell>
        </row>
        <row r="68">
          <cell r="A68">
            <v>340</v>
          </cell>
          <cell r="B68" t="str">
            <v>alynan sipari? avanslary</v>
          </cell>
          <cell r="C68" t="str">
            <v>advances received</v>
          </cell>
          <cell r="E68">
            <v>47671.846839999998</v>
          </cell>
          <cell r="F68" t="str">
            <v>B_221</v>
          </cell>
          <cell r="G68">
            <v>206822.34920500001</v>
          </cell>
          <cell r="H68" t="str">
            <v>B_921</v>
          </cell>
          <cell r="I68">
            <v>254494.19604499999</v>
          </cell>
          <cell r="J68">
            <v>12987.614151210999</v>
          </cell>
          <cell r="L68">
            <v>14056.731249881101</v>
          </cell>
          <cell r="N68">
            <v>-1069.1170986701018</v>
          </cell>
        </row>
        <row r="69">
          <cell r="A69">
            <v>350</v>
          </cell>
          <cell r="B69" t="str">
            <v>alynan pe?inat avanslary</v>
          </cell>
          <cell r="C69" t="str">
            <v>advances received</v>
          </cell>
          <cell r="E69">
            <v>0</v>
          </cell>
          <cell r="G69">
            <v>703064.24364400003</v>
          </cell>
          <cell r="H69" t="str">
            <v>B_921</v>
          </cell>
          <cell r="I69">
            <v>703064.24364400003</v>
          </cell>
          <cell r="J69">
            <v>12623.36463</v>
          </cell>
          <cell r="L69">
            <v>18242.648390202699</v>
          </cell>
          <cell r="N69">
            <v>-5619.2837602026993</v>
          </cell>
        </row>
        <row r="70">
          <cell r="A70">
            <v>360</v>
          </cell>
          <cell r="B70" t="str">
            <v>ödenecek vergi ve fonlar</v>
          </cell>
          <cell r="C70" t="str">
            <v>taxes and funds payable</v>
          </cell>
          <cell r="E70">
            <v>0</v>
          </cell>
          <cell r="G70">
            <v>40561.680612999997</v>
          </cell>
          <cell r="H70" t="str">
            <v>B_941</v>
          </cell>
          <cell r="I70">
            <v>40561.680612999997</v>
          </cell>
          <cell r="J70">
            <v>753.88834761454007</v>
          </cell>
          <cell r="L70">
            <v>991.04221191763008</v>
          </cell>
          <cell r="N70">
            <v>-237.15386430309002</v>
          </cell>
        </row>
        <row r="71">
          <cell r="A71">
            <v>361</v>
          </cell>
          <cell r="B71" t="str">
            <v>ödenecek sosyal güvenlik kesintileri</v>
          </cell>
          <cell r="C71" t="str">
            <v>social security premiums payable</v>
          </cell>
          <cell r="E71">
            <v>0</v>
          </cell>
          <cell r="F71" t="str">
            <v>B_941</v>
          </cell>
          <cell r="G71">
            <v>4975.8929749999998</v>
          </cell>
          <cell r="H71" t="str">
            <v>B_941</v>
          </cell>
          <cell r="I71">
            <v>4975.8929749999998</v>
          </cell>
          <cell r="J71">
            <v>330.40199000000001</v>
          </cell>
          <cell r="L71">
            <v>367.40110948306</v>
          </cell>
          <cell r="N71">
            <v>-36.999119483059985</v>
          </cell>
        </row>
        <row r="72">
          <cell r="A72">
            <v>369</v>
          </cell>
          <cell r="B72" t="str">
            <v>ödenecek di?er yükümlülükler</v>
          </cell>
          <cell r="C72" t="str">
            <v>other payable</v>
          </cell>
          <cell r="E72">
            <v>0</v>
          </cell>
          <cell r="G72">
            <v>27.138120000000001</v>
          </cell>
          <cell r="H72" t="str">
            <v>B_941</v>
          </cell>
          <cell r="I72">
            <v>27.138120000000001</v>
          </cell>
          <cell r="J72">
            <v>5.8795699999999993</v>
          </cell>
          <cell r="L72">
            <v>7.0363899999999999</v>
          </cell>
          <cell r="N72">
            <v>-1.1568200000000006</v>
          </cell>
        </row>
        <row r="73">
          <cell r="A73">
            <v>373</v>
          </cell>
          <cell r="B73" t="str">
            <v>halk ve diger karsiliklar</v>
          </cell>
          <cell r="C73" t="str">
            <v>reserve for halk project and for others</v>
          </cell>
          <cell r="E73">
            <v>0</v>
          </cell>
          <cell r="G73">
            <v>14000</v>
          </cell>
          <cell r="H73" t="str">
            <v>B_944</v>
          </cell>
          <cell r="I73">
            <v>14000</v>
          </cell>
          <cell r="J73">
            <v>122.09975999999999</v>
          </cell>
          <cell r="L73">
            <v>325.56648999999999</v>
          </cell>
          <cell r="N73">
            <v>-203.46672999999998</v>
          </cell>
        </row>
        <row r="74">
          <cell r="A74">
            <v>379</v>
          </cell>
          <cell r="B74" t="str">
            <v>diger borc ve gider karsiliklari</v>
          </cell>
          <cell r="E74">
            <v>0</v>
          </cell>
          <cell r="G74">
            <v>0</v>
          </cell>
          <cell r="I74">
            <v>0</v>
          </cell>
          <cell r="J74">
            <v>0.55684</v>
          </cell>
          <cell r="L74">
            <v>0.57979999999999998</v>
          </cell>
          <cell r="N74">
            <v>-2.295999999999998E-2</v>
          </cell>
        </row>
        <row r="75">
          <cell r="A75">
            <v>381</v>
          </cell>
          <cell r="B75" t="str">
            <v>gider tahakkuklary</v>
          </cell>
          <cell r="C75" t="str">
            <v>expense accruals</v>
          </cell>
          <cell r="E75">
            <v>0</v>
          </cell>
          <cell r="G75">
            <v>2045.9808829999999</v>
          </cell>
          <cell r="H75" t="str">
            <v>B_941</v>
          </cell>
          <cell r="I75">
            <v>2045.9808829999999</v>
          </cell>
          <cell r="J75">
            <v>1400.7560000000001</v>
          </cell>
          <cell r="L75">
            <v>1423.2394092554698</v>
          </cell>
          <cell r="N75">
            <v>-22.483409255469724</v>
          </cell>
        </row>
        <row r="76">
          <cell r="A76">
            <v>397</v>
          </cell>
          <cell r="B76" t="str">
            <v>sayim ve tesellum fazlaliklari</v>
          </cell>
          <cell r="C76" t="str">
            <v>inventory counting difference ( surplus )</v>
          </cell>
          <cell r="E76">
            <v>0</v>
          </cell>
          <cell r="G76">
            <v>0</v>
          </cell>
          <cell r="H76" t="str">
            <v>B_944</v>
          </cell>
          <cell r="I76">
            <v>0</v>
          </cell>
          <cell r="J76">
            <v>30.660520000000002</v>
          </cell>
          <cell r="L76">
            <v>30.660520000000002</v>
          </cell>
          <cell r="N76">
            <v>0</v>
          </cell>
        </row>
        <row r="77">
          <cell r="A77">
            <v>472</v>
          </cell>
          <cell r="B77" t="str">
            <v>kydem tazminaty kar?yly?y</v>
          </cell>
          <cell r="C77" t="str">
            <v>reserve for eti</v>
          </cell>
          <cell r="E77">
            <v>0</v>
          </cell>
          <cell r="G77">
            <v>98943.346479</v>
          </cell>
          <cell r="H77" t="str">
            <v>B_944</v>
          </cell>
          <cell r="I77">
            <v>98943.346479</v>
          </cell>
          <cell r="J77">
            <v>104.24964999999999</v>
          </cell>
          <cell r="L77">
            <v>1239.4015900000002</v>
          </cell>
          <cell r="N77">
            <v>-1135.1519400000002</v>
          </cell>
        </row>
        <row r="78">
          <cell r="A78">
            <v>479</v>
          </cell>
          <cell r="B78" t="str">
            <v>di?er borç ve gider kar?ylyklary</v>
          </cell>
          <cell r="C78" t="str">
            <v xml:space="preserve">other accruals </v>
          </cell>
          <cell r="E78">
            <v>0</v>
          </cell>
          <cell r="G78">
            <v>0</v>
          </cell>
          <cell r="H78" t="str">
            <v>B_941</v>
          </cell>
          <cell r="I78">
            <v>0</v>
          </cell>
          <cell r="J78">
            <v>0</v>
          </cell>
          <cell r="L78">
            <v>0</v>
          </cell>
          <cell r="N78">
            <v>0</v>
          </cell>
        </row>
        <row r="79">
          <cell r="A79">
            <v>500</v>
          </cell>
          <cell r="B79" t="str">
            <v>sermaye</v>
          </cell>
          <cell r="C79" t="str">
            <v>paid capital</v>
          </cell>
          <cell r="E79">
            <v>0</v>
          </cell>
          <cell r="G79">
            <v>300450</v>
          </cell>
          <cell r="H79" t="str">
            <v>B_51</v>
          </cell>
          <cell r="I79">
            <v>300450</v>
          </cell>
          <cell r="J79">
            <v>0</v>
          </cell>
          <cell r="L79">
            <v>11956.82717</v>
          </cell>
          <cell r="N79">
            <v>-11956.82717</v>
          </cell>
        </row>
        <row r="80">
          <cell r="A80">
            <v>522</v>
          </cell>
          <cell r="B80" t="str">
            <v>mdv yeniden de?erleme</v>
          </cell>
          <cell r="C80" t="str">
            <v>revaluation fund</v>
          </cell>
          <cell r="E80">
            <v>0</v>
          </cell>
          <cell r="G80">
            <v>15765.699602999999</v>
          </cell>
          <cell r="H80" t="str">
            <v>B_54</v>
          </cell>
          <cell r="I80">
            <v>15765.699602999999</v>
          </cell>
          <cell r="J80">
            <v>33.436320000000002</v>
          </cell>
          <cell r="L80">
            <v>0</v>
          </cell>
          <cell r="N80">
            <v>33.436320000000002</v>
          </cell>
        </row>
        <row r="81">
          <cell r="A81">
            <v>549</v>
          </cell>
          <cell r="B81" t="str">
            <v>özel fonlar</v>
          </cell>
          <cell r="C81" t="str">
            <v>special funds</v>
          </cell>
          <cell r="E81">
            <v>0</v>
          </cell>
          <cell r="G81">
            <v>316.60768300000001</v>
          </cell>
          <cell r="H81" t="str">
            <v>B_54</v>
          </cell>
          <cell r="I81">
            <v>316.60768300000001</v>
          </cell>
          <cell r="J81">
            <v>0</v>
          </cell>
          <cell r="L81">
            <v>2.7714299999999996</v>
          </cell>
          <cell r="N81">
            <v>-2.7714299999999996</v>
          </cell>
        </row>
        <row r="82">
          <cell r="A82">
            <v>570</v>
          </cell>
          <cell r="B82" t="str">
            <v>geçmi? yyllara karlary</v>
          </cell>
          <cell r="C82" t="str">
            <v>retained earnings</v>
          </cell>
          <cell r="E82">
            <v>0</v>
          </cell>
          <cell r="G82">
            <v>3.6980309999999998</v>
          </cell>
          <cell r="H82" t="str">
            <v>B_54</v>
          </cell>
          <cell r="I82">
            <v>3.6980309999999998</v>
          </cell>
          <cell r="J82">
            <v>0</v>
          </cell>
          <cell r="L82">
            <v>5.7903900000000004</v>
          </cell>
          <cell r="N82">
            <v>-5.7903900000000004</v>
          </cell>
        </row>
        <row r="83">
          <cell r="A83">
            <v>580</v>
          </cell>
          <cell r="B83" t="str">
            <v>geçmi? yyllara zararlary</v>
          </cell>
          <cell r="C83" t="str">
            <v>accumulated deficit</v>
          </cell>
          <cell r="E83">
            <v>305452.83317400003</v>
          </cell>
          <cell r="F83" t="str">
            <v>B_55</v>
          </cell>
          <cell r="G83">
            <v>0</v>
          </cell>
          <cell r="I83">
            <v>305452.83317400003</v>
          </cell>
          <cell r="J83">
            <v>11287.56812</v>
          </cell>
          <cell r="L83">
            <v>0</v>
          </cell>
          <cell r="N83">
            <v>11287.56812</v>
          </cell>
        </row>
        <row r="84">
          <cell r="A84">
            <v>591</v>
          </cell>
          <cell r="B84" t="str">
            <v>dönem net zarary</v>
          </cell>
          <cell r="C84" t="str">
            <v>profit/loss for the period</v>
          </cell>
          <cell r="I84">
            <v>0</v>
          </cell>
          <cell r="N84">
            <v>0</v>
          </cell>
        </row>
        <row r="85">
          <cell r="E85">
            <v>2252450.9735899996</v>
          </cell>
          <cell r="G85">
            <v>2292290.4208860002</v>
          </cell>
          <cell r="I85">
            <v>4544741.3944760002</v>
          </cell>
          <cell r="J85">
            <v>230184.7409244467</v>
          </cell>
          <cell r="L85">
            <v>230100.26492661849</v>
          </cell>
          <cell r="N85">
            <v>84.475997828229083</v>
          </cell>
        </row>
        <row r="86">
          <cell r="A86">
            <v>197</v>
          </cell>
          <cell r="J86">
            <v>-72156.740924446698</v>
          </cell>
          <cell r="L86">
            <v>-72571.264926618489</v>
          </cell>
        </row>
        <row r="87">
          <cell r="A87">
            <v>397</v>
          </cell>
          <cell r="I87">
            <v>-39839.447296000551</v>
          </cell>
        </row>
        <row r="88">
          <cell r="A88" t="str">
            <v>373.20.001</v>
          </cell>
          <cell r="I88">
            <v>39839</v>
          </cell>
          <cell r="J88" t="str">
            <v>ledger loss</v>
          </cell>
        </row>
        <row r="89">
          <cell r="A89">
            <v>379</v>
          </cell>
          <cell r="I89">
            <v>-0.44729600055143237</v>
          </cell>
          <cell r="J89" t="str">
            <v>difference</v>
          </cell>
        </row>
        <row r="90">
          <cell r="A90">
            <v>155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CO"/>
      <sheetName val="HAZDEGVETICALAC"/>
      <sheetName val="STOKVECARIAKTIF"/>
      <sheetName val="SABITKIYVEBAMORT"/>
      <sheetName val="TBOR,ODVER,GIDKAR"/>
      <sheetName val="ORUZVADBORC"/>
      <sheetName val="KARZARAR"/>
      <sheetName val="SATISLAR"/>
      <sheetName val="PAZVEGENGIDERI"/>
      <sheetName val="SMMALIYETI"/>
      <sheetName val="FINSGIDERI"/>
      <sheetName val="DIGERFAAL"/>
      <sheetName val="oladısgelgıd"/>
      <sheetName val="EDİRNE"/>
      <sheetName val="GEBZE"/>
      <sheetName val="İZMİR"/>
      <sheetName val="ADANA"/>
      <sheetName val="MMÜŞTERİ"/>
      <sheetName val="MÜŞTERİ"/>
      <sheetName val="MERKEZ"/>
      <sheetName val="BCALISMATABLOSU"/>
      <sheetName val="KARZARARCALTABLOSU"/>
      <sheetName val="SATIŞ ÇALIŞMA"/>
      <sheetName val="EDSATIS"/>
      <sheetName val="GEBSATIS"/>
      <sheetName val="IZSATIS"/>
      <sheetName val="ADASATIS"/>
      <sheetName val="SATISCALTAB"/>
      <sheetName val="Module9"/>
      <sheetName val="Module7"/>
      <sheetName val="Module1"/>
      <sheetName val="Module2"/>
      <sheetName val="Module3"/>
      <sheetName val="Module4"/>
      <sheetName val="Module5"/>
      <sheetName val="Sheet1"/>
      <sheetName val="Sheet2"/>
      <sheetName val="Module6"/>
      <sheetName val="Module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B6">
            <v>100101</v>
          </cell>
          <cell r="D6">
            <v>46253020966</v>
          </cell>
          <cell r="E6">
            <v>45936575182</v>
          </cell>
          <cell r="F6">
            <v>316445784</v>
          </cell>
          <cell r="G6">
            <v>0</v>
          </cell>
        </row>
        <row r="7">
          <cell r="B7">
            <v>102101</v>
          </cell>
          <cell r="D7">
            <v>1108303142276</v>
          </cell>
          <cell r="E7">
            <v>1109643283575</v>
          </cell>
          <cell r="F7">
            <v>0</v>
          </cell>
          <cell r="G7">
            <v>1340141299</v>
          </cell>
        </row>
        <row r="8">
          <cell r="B8">
            <v>120201</v>
          </cell>
          <cell r="D8">
            <v>766245660312</v>
          </cell>
          <cell r="E8">
            <v>766245660312</v>
          </cell>
          <cell r="F8">
            <v>0</v>
          </cell>
          <cell r="G8">
            <v>0</v>
          </cell>
        </row>
        <row r="9">
          <cell r="B9">
            <v>120203</v>
          </cell>
          <cell r="D9">
            <v>660233140710</v>
          </cell>
          <cell r="E9">
            <v>560368815125</v>
          </cell>
          <cell r="F9">
            <v>99864325585</v>
          </cell>
          <cell r="G9">
            <v>0</v>
          </cell>
        </row>
        <row r="10">
          <cell r="B10">
            <v>120205</v>
          </cell>
          <cell r="D10">
            <v>59999119232</v>
          </cell>
          <cell r="E10">
            <v>59999119232</v>
          </cell>
          <cell r="F10">
            <v>0</v>
          </cell>
          <cell r="G10">
            <v>0</v>
          </cell>
        </row>
        <row r="11">
          <cell r="B11">
            <v>121101</v>
          </cell>
          <cell r="D11">
            <v>38714746000</v>
          </cell>
          <cell r="E11">
            <v>38714746000</v>
          </cell>
          <cell r="F11">
            <v>0</v>
          </cell>
          <cell r="G11">
            <v>0</v>
          </cell>
        </row>
        <row r="12">
          <cell r="B12">
            <v>121102</v>
          </cell>
          <cell r="D12">
            <v>38714746000</v>
          </cell>
          <cell r="E12">
            <v>0</v>
          </cell>
          <cell r="F12">
            <v>38714746000</v>
          </cell>
          <cell r="G12">
            <v>0</v>
          </cell>
        </row>
        <row r="13">
          <cell r="B13">
            <v>122911</v>
          </cell>
          <cell r="D13">
            <v>26246667682</v>
          </cell>
          <cell r="E13">
            <v>39186996746</v>
          </cell>
          <cell r="F13">
            <v>0</v>
          </cell>
          <cell r="G13">
            <v>12940329064</v>
          </cell>
        </row>
        <row r="14">
          <cell r="B14">
            <v>127199</v>
          </cell>
          <cell r="D14">
            <v>113280636860</v>
          </cell>
          <cell r="E14">
            <v>61696685863</v>
          </cell>
          <cell r="F14">
            <v>51583950997</v>
          </cell>
          <cell r="G14">
            <v>0</v>
          </cell>
        </row>
        <row r="15">
          <cell r="B15">
            <v>135101</v>
          </cell>
          <cell r="D15">
            <v>169798092</v>
          </cell>
          <cell r="E15">
            <v>201702092</v>
          </cell>
          <cell r="F15">
            <v>0</v>
          </cell>
          <cell r="G15">
            <v>31904000</v>
          </cell>
        </row>
        <row r="16">
          <cell r="B16">
            <v>136104</v>
          </cell>
          <cell r="D16">
            <v>2178706215</v>
          </cell>
          <cell r="E16">
            <v>494000000</v>
          </cell>
          <cell r="F16">
            <v>1684706215</v>
          </cell>
          <cell r="G16">
            <v>0</v>
          </cell>
        </row>
        <row r="17">
          <cell r="B17">
            <v>136304</v>
          </cell>
          <cell r="D17">
            <v>8181676273</v>
          </cell>
          <cell r="E17">
            <v>7947401908</v>
          </cell>
          <cell r="F17">
            <v>234274365</v>
          </cell>
          <cell r="G17">
            <v>0</v>
          </cell>
        </row>
        <row r="18">
          <cell r="B18">
            <v>136899</v>
          </cell>
          <cell r="D18">
            <v>1669327250</v>
          </cell>
          <cell r="E18">
            <v>100066000</v>
          </cell>
          <cell r="F18">
            <v>1569261250</v>
          </cell>
          <cell r="G18">
            <v>0</v>
          </cell>
        </row>
        <row r="19">
          <cell r="B19">
            <v>150101</v>
          </cell>
          <cell r="D19">
            <v>789758198314</v>
          </cell>
          <cell r="E19">
            <v>789400307773</v>
          </cell>
          <cell r="F19">
            <v>357890541</v>
          </cell>
          <cell r="G19">
            <v>0</v>
          </cell>
        </row>
        <row r="20">
          <cell r="B20">
            <v>150102</v>
          </cell>
          <cell r="D20">
            <v>11158658722</v>
          </cell>
          <cell r="E20">
            <v>11158658722</v>
          </cell>
          <cell r="F20">
            <v>0</v>
          </cell>
          <cell r="G20">
            <v>0</v>
          </cell>
        </row>
        <row r="21">
          <cell r="B21">
            <v>150103</v>
          </cell>
          <cell r="D21">
            <v>968761720</v>
          </cell>
          <cell r="E21">
            <v>649447908</v>
          </cell>
          <cell r="F21">
            <v>319313812</v>
          </cell>
          <cell r="G21">
            <v>0</v>
          </cell>
        </row>
        <row r="22">
          <cell r="B22">
            <v>150104</v>
          </cell>
          <cell r="D22">
            <v>6860216852</v>
          </cell>
          <cell r="E22">
            <v>6727928009</v>
          </cell>
          <cell r="F22">
            <v>132288843</v>
          </cell>
          <cell r="G22">
            <v>0</v>
          </cell>
        </row>
        <row r="23">
          <cell r="B23">
            <v>150105</v>
          </cell>
          <cell r="D23">
            <v>29552599687</v>
          </cell>
          <cell r="E23">
            <v>29249410904</v>
          </cell>
          <cell r="F23">
            <v>303188783</v>
          </cell>
          <cell r="G23">
            <v>0</v>
          </cell>
        </row>
        <row r="24">
          <cell r="B24">
            <v>150201</v>
          </cell>
          <cell r="D24">
            <v>2078911371223</v>
          </cell>
          <cell r="E24">
            <v>1642742462474</v>
          </cell>
          <cell r="F24">
            <v>436168908749</v>
          </cell>
          <cell r="G24">
            <v>0</v>
          </cell>
        </row>
        <row r="25">
          <cell r="B25">
            <v>150202</v>
          </cell>
          <cell r="D25">
            <v>127530437937</v>
          </cell>
          <cell r="E25">
            <v>118135934351</v>
          </cell>
          <cell r="F25">
            <v>9394503586</v>
          </cell>
          <cell r="G25">
            <v>0</v>
          </cell>
        </row>
        <row r="26">
          <cell r="B26">
            <v>150203</v>
          </cell>
          <cell r="D26">
            <v>26709985756</v>
          </cell>
          <cell r="E26">
            <v>24256916560</v>
          </cell>
          <cell r="F26">
            <v>2453069196</v>
          </cell>
          <cell r="G26">
            <v>0</v>
          </cell>
        </row>
        <row r="27">
          <cell r="B27">
            <v>150204</v>
          </cell>
          <cell r="D27">
            <v>31334290514</v>
          </cell>
          <cell r="E27">
            <v>24344472560</v>
          </cell>
          <cell r="F27">
            <v>6989817954</v>
          </cell>
          <cell r="G27">
            <v>0</v>
          </cell>
        </row>
        <row r="28">
          <cell r="B28">
            <v>150205</v>
          </cell>
          <cell r="D28">
            <v>40297203147</v>
          </cell>
          <cell r="E28">
            <v>13228273898</v>
          </cell>
          <cell r="F28">
            <v>27068929249</v>
          </cell>
          <cell r="G28">
            <v>0</v>
          </cell>
        </row>
        <row r="29">
          <cell r="B29">
            <v>150207</v>
          </cell>
          <cell r="D29">
            <v>16162938125</v>
          </cell>
          <cell r="E29">
            <v>10951171734</v>
          </cell>
          <cell r="F29">
            <v>5211766391</v>
          </cell>
          <cell r="G29">
            <v>0</v>
          </cell>
        </row>
        <row r="30">
          <cell r="B30">
            <v>151201</v>
          </cell>
          <cell r="D30">
            <v>1979024836596</v>
          </cell>
          <cell r="E30">
            <v>1962991540006</v>
          </cell>
          <cell r="F30">
            <v>16033296590</v>
          </cell>
          <cell r="G30">
            <v>0</v>
          </cell>
        </row>
        <row r="31">
          <cell r="B31">
            <v>151204</v>
          </cell>
          <cell r="D31">
            <v>478090940989</v>
          </cell>
          <cell r="E31">
            <v>472794754244</v>
          </cell>
          <cell r="F31">
            <v>5296186745</v>
          </cell>
          <cell r="G31">
            <v>0</v>
          </cell>
        </row>
        <row r="32">
          <cell r="B32">
            <v>152101</v>
          </cell>
          <cell r="D32">
            <v>4291785919692</v>
          </cell>
          <cell r="E32">
            <v>4244390326920</v>
          </cell>
          <cell r="F32">
            <v>47395592772</v>
          </cell>
          <cell r="G32">
            <v>0</v>
          </cell>
        </row>
        <row r="33">
          <cell r="B33">
            <v>157103</v>
          </cell>
          <cell r="D33">
            <v>3545697720</v>
          </cell>
          <cell r="E33">
            <v>2782335000</v>
          </cell>
          <cell r="F33">
            <v>763362720</v>
          </cell>
          <cell r="G33">
            <v>0</v>
          </cell>
        </row>
        <row r="34">
          <cell r="B34">
            <v>157201</v>
          </cell>
          <cell r="D34">
            <v>36012285467</v>
          </cell>
          <cell r="E34">
            <v>35579232235</v>
          </cell>
          <cell r="F34">
            <v>433053232</v>
          </cell>
          <cell r="G34">
            <v>0</v>
          </cell>
        </row>
        <row r="35">
          <cell r="B35">
            <v>159101</v>
          </cell>
          <cell r="D35">
            <v>90705910</v>
          </cell>
          <cell r="E35">
            <v>90705910</v>
          </cell>
          <cell r="F35">
            <v>0</v>
          </cell>
          <cell r="G35">
            <v>0</v>
          </cell>
        </row>
        <row r="36">
          <cell r="B36">
            <v>180101</v>
          </cell>
          <cell r="D36">
            <v>110944540917</v>
          </cell>
          <cell r="E36">
            <v>73288887797</v>
          </cell>
          <cell r="F36">
            <v>37655653120</v>
          </cell>
          <cell r="G36">
            <v>0</v>
          </cell>
        </row>
        <row r="37">
          <cell r="B37">
            <v>181199</v>
          </cell>
          <cell r="D37">
            <v>49488302137</v>
          </cell>
          <cell r="E37">
            <v>23721694442</v>
          </cell>
          <cell r="F37">
            <v>25766607695</v>
          </cell>
          <cell r="G37">
            <v>0</v>
          </cell>
        </row>
        <row r="38">
          <cell r="B38">
            <v>191101</v>
          </cell>
          <cell r="D38">
            <v>123109462782</v>
          </cell>
          <cell r="E38">
            <v>123109462782</v>
          </cell>
          <cell r="F38">
            <v>0</v>
          </cell>
          <cell r="G38">
            <v>0</v>
          </cell>
        </row>
        <row r="39">
          <cell r="B39">
            <v>195101</v>
          </cell>
          <cell r="D39">
            <v>2250000000</v>
          </cell>
          <cell r="E39">
            <v>1350000000</v>
          </cell>
          <cell r="F39">
            <v>900000000</v>
          </cell>
          <cell r="G39">
            <v>0</v>
          </cell>
        </row>
        <row r="40">
          <cell r="B40">
            <v>195103</v>
          </cell>
          <cell r="D40">
            <v>214096000</v>
          </cell>
          <cell r="E40">
            <v>114096000</v>
          </cell>
          <cell r="F40">
            <v>100000000</v>
          </cell>
          <cell r="G40">
            <v>0</v>
          </cell>
        </row>
        <row r="41">
          <cell r="B41">
            <v>195201</v>
          </cell>
          <cell r="D41">
            <v>2064028697</v>
          </cell>
          <cell r="E41">
            <v>1614028697</v>
          </cell>
          <cell r="F41">
            <v>450000000</v>
          </cell>
          <cell r="G41">
            <v>0</v>
          </cell>
        </row>
        <row r="42">
          <cell r="B42">
            <v>196101</v>
          </cell>
          <cell r="D42">
            <v>56340024000</v>
          </cell>
          <cell r="E42">
            <v>52935208902</v>
          </cell>
          <cell r="F42">
            <v>3404815098</v>
          </cell>
          <cell r="G42">
            <v>0</v>
          </cell>
        </row>
        <row r="43">
          <cell r="B43">
            <v>196102</v>
          </cell>
          <cell r="D43">
            <v>965760000</v>
          </cell>
          <cell r="E43">
            <v>965760000</v>
          </cell>
          <cell r="F43">
            <v>0</v>
          </cell>
          <cell r="G43">
            <v>0</v>
          </cell>
        </row>
        <row r="44">
          <cell r="B44">
            <v>196103</v>
          </cell>
          <cell r="D44">
            <v>4592977918</v>
          </cell>
          <cell r="E44">
            <v>3203742187</v>
          </cell>
          <cell r="F44">
            <v>1389235731</v>
          </cell>
          <cell r="G44">
            <v>0</v>
          </cell>
        </row>
        <row r="45">
          <cell r="B45">
            <v>198101</v>
          </cell>
          <cell r="D45">
            <v>9242542428</v>
          </cell>
          <cell r="E45">
            <v>9187060953</v>
          </cell>
          <cell r="F45">
            <v>55481475</v>
          </cell>
          <cell r="G45">
            <v>0</v>
          </cell>
        </row>
        <row r="46">
          <cell r="B46">
            <v>226199</v>
          </cell>
          <cell r="D46">
            <v>12658000</v>
          </cell>
          <cell r="E46">
            <v>0</v>
          </cell>
          <cell r="F46">
            <v>12658000</v>
          </cell>
          <cell r="G46">
            <v>0</v>
          </cell>
        </row>
        <row r="47">
          <cell r="B47">
            <v>250101</v>
          </cell>
          <cell r="D47">
            <v>1035000000</v>
          </cell>
          <cell r="E47">
            <v>0</v>
          </cell>
          <cell r="F47">
            <v>1035000000</v>
          </cell>
          <cell r="G47">
            <v>0</v>
          </cell>
        </row>
        <row r="48">
          <cell r="B48">
            <v>251101</v>
          </cell>
          <cell r="D48">
            <v>46394186878</v>
          </cell>
          <cell r="E48">
            <v>0</v>
          </cell>
          <cell r="F48">
            <v>46394186878</v>
          </cell>
          <cell r="G48">
            <v>0</v>
          </cell>
        </row>
        <row r="49">
          <cell r="B49">
            <v>251971</v>
          </cell>
          <cell r="D49">
            <v>2731899146</v>
          </cell>
          <cell r="E49">
            <v>347337938</v>
          </cell>
          <cell r="F49">
            <v>2384561208</v>
          </cell>
          <cell r="G49">
            <v>0</v>
          </cell>
        </row>
        <row r="50">
          <cell r="B50">
            <v>252101</v>
          </cell>
          <cell r="D50">
            <v>305927576000</v>
          </cell>
          <cell r="E50">
            <v>0</v>
          </cell>
          <cell r="F50">
            <v>305927576000</v>
          </cell>
          <cell r="G50">
            <v>0</v>
          </cell>
        </row>
        <row r="51">
          <cell r="B51">
            <v>252102</v>
          </cell>
          <cell r="D51">
            <v>118795208390</v>
          </cell>
          <cell r="E51">
            <v>0</v>
          </cell>
          <cell r="F51">
            <v>118795208390</v>
          </cell>
          <cell r="G51">
            <v>0</v>
          </cell>
        </row>
        <row r="52">
          <cell r="B52">
            <v>252103</v>
          </cell>
          <cell r="D52">
            <v>44490304637</v>
          </cell>
          <cell r="E52">
            <v>0</v>
          </cell>
          <cell r="F52">
            <v>44490304637</v>
          </cell>
          <cell r="G52">
            <v>0</v>
          </cell>
        </row>
        <row r="53">
          <cell r="B53">
            <v>252104</v>
          </cell>
          <cell r="D53">
            <v>57345502998</v>
          </cell>
          <cell r="E53">
            <v>0</v>
          </cell>
          <cell r="F53">
            <v>57345502998</v>
          </cell>
          <cell r="G53">
            <v>0</v>
          </cell>
        </row>
        <row r="54">
          <cell r="B54">
            <v>252105</v>
          </cell>
          <cell r="D54">
            <v>35220052683</v>
          </cell>
          <cell r="E54">
            <v>0</v>
          </cell>
          <cell r="F54">
            <v>35220052683</v>
          </cell>
          <cell r="G54">
            <v>0</v>
          </cell>
        </row>
        <row r="55">
          <cell r="B55">
            <v>252971</v>
          </cell>
          <cell r="D55">
            <v>155753129242</v>
          </cell>
          <cell r="E55">
            <v>19802697226</v>
          </cell>
          <cell r="F55">
            <v>135950432016</v>
          </cell>
          <cell r="G55">
            <v>0</v>
          </cell>
        </row>
        <row r="56">
          <cell r="B56">
            <v>253101</v>
          </cell>
          <cell r="D56">
            <v>2855432700246</v>
          </cell>
          <cell r="E56">
            <v>0</v>
          </cell>
          <cell r="F56">
            <v>2855432700246</v>
          </cell>
          <cell r="G56">
            <v>0</v>
          </cell>
        </row>
        <row r="57">
          <cell r="B57">
            <v>253106</v>
          </cell>
          <cell r="D57">
            <v>2992744600</v>
          </cell>
          <cell r="E57">
            <v>0</v>
          </cell>
          <cell r="F57">
            <v>2992744600</v>
          </cell>
          <cell r="G57">
            <v>0</v>
          </cell>
        </row>
        <row r="58">
          <cell r="B58">
            <v>253199</v>
          </cell>
          <cell r="D58">
            <v>2252198510</v>
          </cell>
          <cell r="E58">
            <v>0</v>
          </cell>
          <cell r="F58">
            <v>2252198510</v>
          </cell>
          <cell r="G58">
            <v>0</v>
          </cell>
        </row>
        <row r="59">
          <cell r="B59">
            <v>253201</v>
          </cell>
          <cell r="D59">
            <v>70197354954</v>
          </cell>
          <cell r="E59">
            <v>0</v>
          </cell>
          <cell r="F59">
            <v>70197354954</v>
          </cell>
          <cell r="G59">
            <v>0</v>
          </cell>
        </row>
        <row r="60">
          <cell r="B60">
            <v>253202</v>
          </cell>
          <cell r="D60">
            <v>27517034730</v>
          </cell>
          <cell r="E60">
            <v>0</v>
          </cell>
          <cell r="F60">
            <v>27517034730</v>
          </cell>
          <cell r="G60">
            <v>0</v>
          </cell>
        </row>
        <row r="61">
          <cell r="B61">
            <v>253203</v>
          </cell>
          <cell r="D61">
            <v>127254022294</v>
          </cell>
          <cell r="E61">
            <v>0</v>
          </cell>
          <cell r="F61">
            <v>127254022294</v>
          </cell>
          <cell r="G61">
            <v>0</v>
          </cell>
        </row>
        <row r="62">
          <cell r="B62">
            <v>253205</v>
          </cell>
          <cell r="D62">
            <v>585457491518</v>
          </cell>
          <cell r="E62">
            <v>0</v>
          </cell>
          <cell r="F62">
            <v>585457491518</v>
          </cell>
          <cell r="G62">
            <v>0</v>
          </cell>
        </row>
        <row r="63">
          <cell r="B63">
            <v>253206</v>
          </cell>
          <cell r="D63">
            <v>4766619432</v>
          </cell>
          <cell r="E63">
            <v>0</v>
          </cell>
          <cell r="F63">
            <v>4766619432</v>
          </cell>
          <cell r="G63">
            <v>0</v>
          </cell>
        </row>
        <row r="64">
          <cell r="B64">
            <v>253208</v>
          </cell>
          <cell r="D64">
            <v>7897108746</v>
          </cell>
          <cell r="E64">
            <v>0</v>
          </cell>
          <cell r="F64">
            <v>7897108746</v>
          </cell>
          <cell r="G64">
            <v>0</v>
          </cell>
        </row>
        <row r="65">
          <cell r="B65">
            <v>253299</v>
          </cell>
          <cell r="D65">
            <v>83352381407</v>
          </cell>
          <cell r="E65">
            <v>0</v>
          </cell>
          <cell r="F65">
            <v>83352381407</v>
          </cell>
          <cell r="G65">
            <v>0</v>
          </cell>
        </row>
        <row r="66">
          <cell r="B66">
            <v>253301</v>
          </cell>
          <cell r="D66">
            <v>1295834848</v>
          </cell>
          <cell r="E66">
            <v>0</v>
          </cell>
          <cell r="F66">
            <v>1295834848</v>
          </cell>
          <cell r="G66">
            <v>0</v>
          </cell>
        </row>
        <row r="67">
          <cell r="B67">
            <v>253302</v>
          </cell>
          <cell r="D67">
            <v>32051543555</v>
          </cell>
          <cell r="E67">
            <v>0</v>
          </cell>
          <cell r="F67">
            <v>32051543555</v>
          </cell>
          <cell r="G67">
            <v>0</v>
          </cell>
        </row>
        <row r="68">
          <cell r="B68">
            <v>253304</v>
          </cell>
          <cell r="D68">
            <v>1703904449</v>
          </cell>
          <cell r="E68">
            <v>0</v>
          </cell>
          <cell r="F68">
            <v>1703904449</v>
          </cell>
          <cell r="G68">
            <v>0</v>
          </cell>
        </row>
        <row r="69">
          <cell r="B69">
            <v>253399</v>
          </cell>
          <cell r="D69">
            <v>1610213443</v>
          </cell>
          <cell r="E69">
            <v>0</v>
          </cell>
          <cell r="F69">
            <v>1610213443</v>
          </cell>
          <cell r="G69">
            <v>0</v>
          </cell>
        </row>
        <row r="70">
          <cell r="B70">
            <v>253403</v>
          </cell>
          <cell r="D70">
            <v>14305025255</v>
          </cell>
          <cell r="E70">
            <v>0</v>
          </cell>
          <cell r="F70">
            <v>14305025255</v>
          </cell>
          <cell r="G70">
            <v>0</v>
          </cell>
        </row>
        <row r="71">
          <cell r="B71">
            <v>253404</v>
          </cell>
          <cell r="D71">
            <v>15807844358</v>
          </cell>
          <cell r="E71">
            <v>0</v>
          </cell>
          <cell r="F71">
            <v>15807844358</v>
          </cell>
          <cell r="G71">
            <v>0</v>
          </cell>
        </row>
        <row r="72">
          <cell r="B72">
            <v>253971</v>
          </cell>
          <cell r="D72">
            <v>776658492825</v>
          </cell>
          <cell r="E72">
            <v>98745579381</v>
          </cell>
          <cell r="F72">
            <v>677912913444</v>
          </cell>
          <cell r="G72">
            <v>0</v>
          </cell>
        </row>
        <row r="73">
          <cell r="B73">
            <v>254101</v>
          </cell>
          <cell r="D73">
            <v>3333333</v>
          </cell>
          <cell r="E73">
            <v>0</v>
          </cell>
          <cell r="F73">
            <v>3333333</v>
          </cell>
          <cell r="G73">
            <v>0</v>
          </cell>
        </row>
        <row r="74">
          <cell r="B74">
            <v>255101</v>
          </cell>
          <cell r="D74">
            <v>5503057762</v>
          </cell>
          <cell r="E74">
            <v>0</v>
          </cell>
          <cell r="F74">
            <v>5503057762</v>
          </cell>
          <cell r="G74">
            <v>0</v>
          </cell>
        </row>
        <row r="75">
          <cell r="B75">
            <v>255102</v>
          </cell>
          <cell r="D75">
            <v>1426976009</v>
          </cell>
          <cell r="E75">
            <v>0</v>
          </cell>
          <cell r="F75">
            <v>1426976009</v>
          </cell>
          <cell r="G75">
            <v>0</v>
          </cell>
        </row>
        <row r="76">
          <cell r="B76">
            <v>255103</v>
          </cell>
          <cell r="D76">
            <v>26085115709</v>
          </cell>
          <cell r="E76">
            <v>0</v>
          </cell>
          <cell r="F76">
            <v>26085115709</v>
          </cell>
          <cell r="G76">
            <v>0</v>
          </cell>
        </row>
        <row r="77">
          <cell r="B77">
            <v>255971</v>
          </cell>
          <cell r="D77">
            <v>8624649145</v>
          </cell>
          <cell r="E77">
            <v>1096551481</v>
          </cell>
          <cell r="F77">
            <v>7528097664</v>
          </cell>
          <cell r="G77">
            <v>0</v>
          </cell>
        </row>
        <row r="78">
          <cell r="B78">
            <v>257102</v>
          </cell>
          <cell r="D78">
            <v>0</v>
          </cell>
          <cell r="E78">
            <v>40020215248</v>
          </cell>
          <cell r="F78">
            <v>0</v>
          </cell>
          <cell r="G78">
            <v>40020215248</v>
          </cell>
        </row>
        <row r="79">
          <cell r="B79">
            <v>257103</v>
          </cell>
          <cell r="D79">
            <v>0</v>
          </cell>
          <cell r="E79">
            <v>50719538297</v>
          </cell>
          <cell r="F79">
            <v>0</v>
          </cell>
          <cell r="G79">
            <v>50719538297</v>
          </cell>
        </row>
        <row r="80">
          <cell r="B80">
            <v>257104</v>
          </cell>
          <cell r="D80">
            <v>0</v>
          </cell>
          <cell r="E80">
            <v>4962808677</v>
          </cell>
          <cell r="F80">
            <v>0</v>
          </cell>
          <cell r="G80">
            <v>4962808677</v>
          </cell>
        </row>
        <row r="81">
          <cell r="B81">
            <v>257105</v>
          </cell>
          <cell r="D81">
            <v>0</v>
          </cell>
          <cell r="E81">
            <v>7454246945</v>
          </cell>
          <cell r="F81">
            <v>0</v>
          </cell>
          <cell r="G81">
            <v>7454246945</v>
          </cell>
        </row>
        <row r="82">
          <cell r="B82">
            <v>257106</v>
          </cell>
          <cell r="D82">
            <v>0</v>
          </cell>
          <cell r="E82">
            <v>8323977382</v>
          </cell>
          <cell r="F82">
            <v>0</v>
          </cell>
          <cell r="G82">
            <v>8323977382</v>
          </cell>
        </row>
        <row r="83">
          <cell r="B83">
            <v>257107</v>
          </cell>
          <cell r="D83">
            <v>0</v>
          </cell>
          <cell r="E83">
            <v>3039493681</v>
          </cell>
          <cell r="F83">
            <v>0</v>
          </cell>
          <cell r="G83">
            <v>3039493681</v>
          </cell>
        </row>
        <row r="84">
          <cell r="B84">
            <v>257201</v>
          </cell>
          <cell r="D84">
            <v>0</v>
          </cell>
          <cell r="E84">
            <v>2394987512461</v>
          </cell>
          <cell r="F84">
            <v>0</v>
          </cell>
          <cell r="G84">
            <v>2394987512461</v>
          </cell>
        </row>
        <row r="85">
          <cell r="B85">
            <v>257206</v>
          </cell>
          <cell r="D85">
            <v>0</v>
          </cell>
          <cell r="E85">
            <v>2604884898</v>
          </cell>
          <cell r="F85">
            <v>0</v>
          </cell>
          <cell r="G85">
            <v>2604884898</v>
          </cell>
        </row>
        <row r="86">
          <cell r="B86">
            <v>257299</v>
          </cell>
          <cell r="D86">
            <v>0</v>
          </cell>
          <cell r="E86">
            <v>496560899</v>
          </cell>
          <cell r="F86">
            <v>0</v>
          </cell>
          <cell r="G86">
            <v>496560899</v>
          </cell>
        </row>
        <row r="87">
          <cell r="B87">
            <v>257301</v>
          </cell>
          <cell r="D87">
            <v>0</v>
          </cell>
          <cell r="E87">
            <v>35890205657</v>
          </cell>
          <cell r="F87">
            <v>0</v>
          </cell>
          <cell r="G87">
            <v>35890205657</v>
          </cell>
        </row>
        <row r="88">
          <cell r="B88">
            <v>257302</v>
          </cell>
          <cell r="D88">
            <v>0</v>
          </cell>
          <cell r="E88">
            <v>18684243167</v>
          </cell>
          <cell r="F88">
            <v>0</v>
          </cell>
          <cell r="G88">
            <v>18684243167</v>
          </cell>
        </row>
        <row r="89">
          <cell r="B89">
            <v>257303</v>
          </cell>
          <cell r="D89">
            <v>0</v>
          </cell>
          <cell r="E89">
            <v>100686058000</v>
          </cell>
          <cell r="F89">
            <v>0</v>
          </cell>
          <cell r="G89">
            <v>100686058000</v>
          </cell>
        </row>
        <row r="90">
          <cell r="B90">
            <v>257305</v>
          </cell>
          <cell r="D90">
            <v>0</v>
          </cell>
          <cell r="E90">
            <v>281905041700</v>
          </cell>
          <cell r="F90">
            <v>0</v>
          </cell>
          <cell r="G90">
            <v>281905041700</v>
          </cell>
        </row>
        <row r="91">
          <cell r="B91">
            <v>257306</v>
          </cell>
          <cell r="D91">
            <v>0</v>
          </cell>
          <cell r="E91">
            <v>4148865552</v>
          </cell>
          <cell r="F91">
            <v>0</v>
          </cell>
          <cell r="G91">
            <v>4148865552</v>
          </cell>
        </row>
        <row r="92">
          <cell r="B92">
            <v>257308</v>
          </cell>
          <cell r="D92">
            <v>0</v>
          </cell>
          <cell r="E92">
            <v>3313815785</v>
          </cell>
          <cell r="F92">
            <v>0</v>
          </cell>
          <cell r="G92">
            <v>3313815785</v>
          </cell>
        </row>
        <row r="93">
          <cell r="B93">
            <v>257399</v>
          </cell>
          <cell r="D93">
            <v>0</v>
          </cell>
          <cell r="E93">
            <v>69250705054</v>
          </cell>
          <cell r="F93">
            <v>0</v>
          </cell>
          <cell r="G93">
            <v>69250705054</v>
          </cell>
        </row>
        <row r="94">
          <cell r="B94">
            <v>257401</v>
          </cell>
          <cell r="D94">
            <v>0</v>
          </cell>
          <cell r="E94">
            <v>388750453</v>
          </cell>
          <cell r="F94">
            <v>0</v>
          </cell>
          <cell r="G94">
            <v>388750453</v>
          </cell>
        </row>
        <row r="95">
          <cell r="B95">
            <v>257402</v>
          </cell>
          <cell r="D95">
            <v>0</v>
          </cell>
          <cell r="E95">
            <v>16248147390</v>
          </cell>
          <cell r="F95">
            <v>0</v>
          </cell>
          <cell r="G95">
            <v>16248147390</v>
          </cell>
        </row>
        <row r="96">
          <cell r="B96">
            <v>257404</v>
          </cell>
          <cell r="D96">
            <v>0</v>
          </cell>
          <cell r="E96">
            <v>1634750487</v>
          </cell>
          <cell r="F96">
            <v>0</v>
          </cell>
          <cell r="G96">
            <v>1634750487</v>
          </cell>
        </row>
        <row r="97">
          <cell r="B97">
            <v>257499</v>
          </cell>
          <cell r="D97">
            <v>0</v>
          </cell>
          <cell r="E97">
            <v>1353398201</v>
          </cell>
          <cell r="F97">
            <v>0</v>
          </cell>
          <cell r="G97">
            <v>1353398201</v>
          </cell>
        </row>
        <row r="98">
          <cell r="B98">
            <v>257603</v>
          </cell>
          <cell r="D98">
            <v>0</v>
          </cell>
          <cell r="E98">
            <v>9090314097</v>
          </cell>
          <cell r="F98">
            <v>0</v>
          </cell>
          <cell r="G98">
            <v>9090314097</v>
          </cell>
        </row>
        <row r="99">
          <cell r="B99">
            <v>257604</v>
          </cell>
          <cell r="D99">
            <v>0</v>
          </cell>
          <cell r="E99">
            <v>8677251228</v>
          </cell>
          <cell r="F99">
            <v>0</v>
          </cell>
          <cell r="G99">
            <v>8677251228</v>
          </cell>
        </row>
        <row r="100">
          <cell r="B100">
            <v>257701</v>
          </cell>
          <cell r="D100">
            <v>0</v>
          </cell>
          <cell r="E100">
            <v>2538435464</v>
          </cell>
          <cell r="F100">
            <v>0</v>
          </cell>
          <cell r="G100">
            <v>2538435464</v>
          </cell>
        </row>
        <row r="101">
          <cell r="B101">
            <v>257702</v>
          </cell>
          <cell r="D101">
            <v>0</v>
          </cell>
          <cell r="E101">
            <v>1057903845</v>
          </cell>
          <cell r="F101">
            <v>0</v>
          </cell>
          <cell r="G101">
            <v>1057903845</v>
          </cell>
        </row>
        <row r="102">
          <cell r="B102">
            <v>257703</v>
          </cell>
          <cell r="D102">
            <v>0</v>
          </cell>
          <cell r="E102">
            <v>16187254517</v>
          </cell>
          <cell r="F102">
            <v>0</v>
          </cell>
          <cell r="G102">
            <v>16187254517</v>
          </cell>
        </row>
        <row r="103">
          <cell r="B103">
            <v>257961</v>
          </cell>
          <cell r="D103">
            <v>56210720384</v>
          </cell>
          <cell r="E103">
            <v>284383362731</v>
          </cell>
          <cell r="F103">
            <v>0</v>
          </cell>
          <cell r="G103">
            <v>228172642347</v>
          </cell>
        </row>
        <row r="104">
          <cell r="B104">
            <v>257971</v>
          </cell>
          <cell r="D104">
            <v>70971254899</v>
          </cell>
          <cell r="E104">
            <v>558206535871</v>
          </cell>
          <cell r="F104">
            <v>0</v>
          </cell>
          <cell r="G104">
            <v>487235280972</v>
          </cell>
        </row>
        <row r="105">
          <cell r="B105">
            <v>267101</v>
          </cell>
          <cell r="D105">
            <v>2114279082</v>
          </cell>
          <cell r="E105">
            <v>0</v>
          </cell>
          <cell r="F105">
            <v>2114279082</v>
          </cell>
          <cell r="G105">
            <v>0</v>
          </cell>
        </row>
        <row r="106">
          <cell r="B106">
            <v>268961</v>
          </cell>
          <cell r="D106">
            <v>1899128461</v>
          </cell>
          <cell r="E106">
            <v>2193269824</v>
          </cell>
          <cell r="F106">
            <v>0</v>
          </cell>
          <cell r="G106">
            <v>294141363</v>
          </cell>
        </row>
        <row r="107">
          <cell r="B107">
            <v>280101</v>
          </cell>
          <cell r="D107">
            <v>15561402484</v>
          </cell>
          <cell r="E107">
            <v>15561402484</v>
          </cell>
          <cell r="F107">
            <v>0</v>
          </cell>
          <cell r="G107">
            <v>0</v>
          </cell>
        </row>
        <row r="108">
          <cell r="B108">
            <v>320101</v>
          </cell>
          <cell r="D108">
            <v>145832439751</v>
          </cell>
          <cell r="E108">
            <v>183368622263</v>
          </cell>
          <cell r="F108">
            <v>0</v>
          </cell>
          <cell r="G108">
            <v>37536182512</v>
          </cell>
        </row>
        <row r="109">
          <cell r="B109">
            <v>320401</v>
          </cell>
          <cell r="D109">
            <v>680670000</v>
          </cell>
          <cell r="E109">
            <v>804780000</v>
          </cell>
          <cell r="F109">
            <v>0</v>
          </cell>
          <cell r="G109">
            <v>124110000</v>
          </cell>
        </row>
        <row r="110">
          <cell r="B110">
            <v>320501</v>
          </cell>
          <cell r="D110">
            <v>69157655125</v>
          </cell>
          <cell r="E110">
            <v>69157655122</v>
          </cell>
          <cell r="F110">
            <v>3</v>
          </cell>
          <cell r="G110">
            <v>0</v>
          </cell>
        </row>
        <row r="111">
          <cell r="B111">
            <v>321101</v>
          </cell>
          <cell r="D111">
            <v>0</v>
          </cell>
          <cell r="E111">
            <v>207816856658</v>
          </cell>
          <cell r="F111">
            <v>0</v>
          </cell>
          <cell r="G111">
            <v>207816856658</v>
          </cell>
        </row>
        <row r="112">
          <cell r="B112">
            <v>322951</v>
          </cell>
          <cell r="D112">
            <v>3384162710</v>
          </cell>
          <cell r="E112">
            <v>1860285443</v>
          </cell>
          <cell r="F112">
            <v>1523877267</v>
          </cell>
          <cell r="G112">
            <v>0</v>
          </cell>
        </row>
        <row r="113">
          <cell r="B113">
            <v>335101</v>
          </cell>
          <cell r="D113">
            <v>25968819780</v>
          </cell>
          <cell r="E113">
            <v>29881067488</v>
          </cell>
          <cell r="F113">
            <v>0</v>
          </cell>
          <cell r="G113">
            <v>3912247708</v>
          </cell>
        </row>
        <row r="114">
          <cell r="B114">
            <v>335102</v>
          </cell>
          <cell r="D114">
            <v>30175321266</v>
          </cell>
          <cell r="E114">
            <v>30175321266</v>
          </cell>
          <cell r="F114">
            <v>0</v>
          </cell>
          <cell r="G114">
            <v>0</v>
          </cell>
        </row>
        <row r="115">
          <cell r="B115">
            <v>335103</v>
          </cell>
          <cell r="D115">
            <v>15373770447</v>
          </cell>
          <cell r="E115">
            <v>15373770447</v>
          </cell>
          <cell r="F115">
            <v>0</v>
          </cell>
          <cell r="G115">
            <v>0</v>
          </cell>
        </row>
        <row r="116">
          <cell r="B116">
            <v>335104</v>
          </cell>
          <cell r="D116">
            <v>2909273506</v>
          </cell>
          <cell r="E116">
            <v>2998323506</v>
          </cell>
          <cell r="F116">
            <v>0</v>
          </cell>
          <cell r="G116">
            <v>89050000</v>
          </cell>
        </row>
        <row r="117">
          <cell r="B117">
            <v>335107</v>
          </cell>
          <cell r="D117">
            <v>15334803895</v>
          </cell>
          <cell r="E117">
            <v>15567672614</v>
          </cell>
          <cell r="F117">
            <v>0</v>
          </cell>
          <cell r="G117">
            <v>232868719</v>
          </cell>
        </row>
        <row r="118">
          <cell r="B118">
            <v>336199</v>
          </cell>
          <cell r="D118">
            <v>0</v>
          </cell>
          <cell r="E118">
            <v>64328500</v>
          </cell>
          <cell r="F118">
            <v>0</v>
          </cell>
          <cell r="G118">
            <v>64328500</v>
          </cell>
        </row>
        <row r="119">
          <cell r="B119">
            <v>360501</v>
          </cell>
          <cell r="D119">
            <v>29114920739</v>
          </cell>
          <cell r="E119">
            <v>32873052704</v>
          </cell>
          <cell r="F119">
            <v>0</v>
          </cell>
          <cell r="G119">
            <v>3758131965</v>
          </cell>
        </row>
        <row r="120">
          <cell r="B120">
            <v>360502</v>
          </cell>
          <cell r="D120">
            <v>199771909</v>
          </cell>
          <cell r="E120">
            <v>233671909</v>
          </cell>
          <cell r="F120">
            <v>0</v>
          </cell>
          <cell r="G120">
            <v>33900000</v>
          </cell>
        </row>
        <row r="121">
          <cell r="B121">
            <v>360504</v>
          </cell>
          <cell r="D121">
            <v>19977192</v>
          </cell>
          <cell r="E121">
            <v>23367192</v>
          </cell>
          <cell r="F121">
            <v>0</v>
          </cell>
          <cell r="G121">
            <v>3390000</v>
          </cell>
        </row>
        <row r="122">
          <cell r="B122">
            <v>360601</v>
          </cell>
          <cell r="D122">
            <v>1003386789</v>
          </cell>
          <cell r="E122">
            <v>1151961260</v>
          </cell>
          <cell r="F122">
            <v>0</v>
          </cell>
          <cell r="G122">
            <v>148574471</v>
          </cell>
        </row>
        <row r="123">
          <cell r="B123">
            <v>361101</v>
          </cell>
          <cell r="D123">
            <v>24049193170</v>
          </cell>
          <cell r="E123">
            <v>28109632046</v>
          </cell>
          <cell r="F123">
            <v>0</v>
          </cell>
          <cell r="G123">
            <v>4060438876</v>
          </cell>
        </row>
        <row r="124">
          <cell r="B124">
            <v>361104</v>
          </cell>
          <cell r="D124">
            <v>6672990559</v>
          </cell>
          <cell r="E124">
            <v>7817534015</v>
          </cell>
          <cell r="F124">
            <v>0</v>
          </cell>
          <cell r="G124">
            <v>1144543456</v>
          </cell>
        </row>
        <row r="125">
          <cell r="B125">
            <v>361199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B126">
            <v>373951</v>
          </cell>
          <cell r="D126">
            <v>24986760246</v>
          </cell>
          <cell r="E126">
            <v>50931628210</v>
          </cell>
          <cell r="F126">
            <v>0</v>
          </cell>
          <cell r="G126">
            <v>25944867964</v>
          </cell>
        </row>
        <row r="127">
          <cell r="B127">
            <v>373953</v>
          </cell>
          <cell r="D127">
            <v>621220759080</v>
          </cell>
          <cell r="E127">
            <v>776893418926</v>
          </cell>
          <cell r="F127">
            <v>0</v>
          </cell>
          <cell r="G127">
            <v>155672659846</v>
          </cell>
        </row>
        <row r="128">
          <cell r="B128">
            <v>379959</v>
          </cell>
          <cell r="D128">
            <v>8517838755</v>
          </cell>
          <cell r="E128">
            <v>8973669451</v>
          </cell>
          <cell r="F128">
            <v>0</v>
          </cell>
          <cell r="G128">
            <v>455830696</v>
          </cell>
        </row>
        <row r="129">
          <cell r="B129">
            <v>381101</v>
          </cell>
          <cell r="D129">
            <v>5296049839</v>
          </cell>
          <cell r="E129">
            <v>9018251950</v>
          </cell>
          <cell r="F129">
            <v>0</v>
          </cell>
          <cell r="G129">
            <v>3722202111</v>
          </cell>
        </row>
        <row r="130">
          <cell r="B130">
            <v>391101</v>
          </cell>
          <cell r="D130">
            <v>7322406825</v>
          </cell>
          <cell r="E130">
            <v>7322406825</v>
          </cell>
          <cell r="F130">
            <v>0</v>
          </cell>
          <cell r="G130">
            <v>0</v>
          </cell>
        </row>
        <row r="131">
          <cell r="B131">
            <v>393101</v>
          </cell>
          <cell r="D131">
            <v>7270650807606</v>
          </cell>
          <cell r="E131">
            <v>6013671847572</v>
          </cell>
          <cell r="F131">
            <v>1256978960034</v>
          </cell>
          <cell r="G131">
            <v>0</v>
          </cell>
        </row>
        <row r="132">
          <cell r="B132">
            <v>393102</v>
          </cell>
          <cell r="D132">
            <v>307064345250</v>
          </cell>
          <cell r="E132">
            <v>1104657434251</v>
          </cell>
          <cell r="F132">
            <v>0</v>
          </cell>
          <cell r="G132">
            <v>797593089001</v>
          </cell>
        </row>
        <row r="133">
          <cell r="B133">
            <v>472951</v>
          </cell>
          <cell r="D133">
            <v>0</v>
          </cell>
          <cell r="E133">
            <v>97426074169</v>
          </cell>
          <cell r="F133">
            <v>0</v>
          </cell>
          <cell r="G133">
            <v>97426074169</v>
          </cell>
        </row>
        <row r="134">
          <cell r="B134">
            <v>522101</v>
          </cell>
          <cell r="D134">
            <v>0</v>
          </cell>
          <cell r="E134">
            <v>1593050451930</v>
          </cell>
          <cell r="F134">
            <v>0</v>
          </cell>
          <cell r="G134">
            <v>1593050451930</v>
          </cell>
        </row>
        <row r="135">
          <cell r="B135">
            <v>522971</v>
          </cell>
          <cell r="D135">
            <v>49020911127</v>
          </cell>
          <cell r="E135">
            <v>385561634487</v>
          </cell>
          <cell r="F135">
            <v>0</v>
          </cell>
          <cell r="G135">
            <v>336540723360</v>
          </cell>
        </row>
        <row r="136">
          <cell r="B136">
            <v>600801</v>
          </cell>
          <cell r="D136">
            <v>0</v>
          </cell>
          <cell r="E136">
            <v>2520981042999</v>
          </cell>
          <cell r="F136">
            <v>0</v>
          </cell>
          <cell r="G136">
            <v>2520981042999</v>
          </cell>
        </row>
        <row r="137">
          <cell r="B137">
            <v>600808</v>
          </cell>
          <cell r="D137">
            <v>0</v>
          </cell>
          <cell r="E137">
            <v>26211166476</v>
          </cell>
          <cell r="F137">
            <v>0</v>
          </cell>
          <cell r="G137">
            <v>26211166476</v>
          </cell>
        </row>
        <row r="138">
          <cell r="B138">
            <v>601801</v>
          </cell>
          <cell r="D138">
            <v>103652142</v>
          </cell>
          <cell r="E138">
            <v>489267356110</v>
          </cell>
          <cell r="F138">
            <v>0</v>
          </cell>
          <cell r="G138">
            <v>489163703968</v>
          </cell>
        </row>
        <row r="139">
          <cell r="B139">
            <v>610816</v>
          </cell>
          <cell r="D139">
            <v>7814885695</v>
          </cell>
          <cell r="E139">
            <v>0</v>
          </cell>
          <cell r="F139">
            <v>7814885695</v>
          </cell>
          <cell r="G139">
            <v>0</v>
          </cell>
        </row>
        <row r="140">
          <cell r="B140">
            <v>611816</v>
          </cell>
          <cell r="D140">
            <v>9979920982</v>
          </cell>
          <cell r="E140">
            <v>34500000</v>
          </cell>
          <cell r="F140">
            <v>9945420982</v>
          </cell>
          <cell r="G140">
            <v>0</v>
          </cell>
        </row>
        <row r="141">
          <cell r="B141">
            <v>620852</v>
          </cell>
          <cell r="D141">
            <v>2252130452467</v>
          </cell>
          <cell r="E141">
            <v>7993534992</v>
          </cell>
          <cell r="F141">
            <v>2244136917475</v>
          </cell>
          <cell r="G141">
            <v>0</v>
          </cell>
        </row>
        <row r="142">
          <cell r="B142">
            <v>621859</v>
          </cell>
          <cell r="D142">
            <v>26794515918</v>
          </cell>
          <cell r="E142">
            <v>0</v>
          </cell>
          <cell r="F142">
            <v>26794515918</v>
          </cell>
          <cell r="G142">
            <v>0</v>
          </cell>
        </row>
        <row r="143">
          <cell r="B143">
            <v>631993</v>
          </cell>
          <cell r="D143">
            <v>256946966502</v>
          </cell>
          <cell r="E143">
            <v>0</v>
          </cell>
          <cell r="F143">
            <v>256946966502</v>
          </cell>
          <cell r="G143">
            <v>0</v>
          </cell>
        </row>
        <row r="144">
          <cell r="B144">
            <v>632478</v>
          </cell>
          <cell r="D144">
            <v>36772352882</v>
          </cell>
          <cell r="E144">
            <v>4092713506</v>
          </cell>
          <cell r="F144">
            <v>32679639376</v>
          </cell>
          <cell r="G144">
            <v>0</v>
          </cell>
        </row>
        <row r="145">
          <cell r="B145">
            <v>632994</v>
          </cell>
          <cell r="D145">
            <v>155649269791</v>
          </cell>
          <cell r="E145">
            <v>0</v>
          </cell>
          <cell r="F145">
            <v>155649269791</v>
          </cell>
          <cell r="G145">
            <v>0</v>
          </cell>
        </row>
        <row r="146">
          <cell r="B146">
            <v>642914</v>
          </cell>
          <cell r="D146">
            <v>907647</v>
          </cell>
          <cell r="E146">
            <v>907647</v>
          </cell>
          <cell r="F146">
            <v>0</v>
          </cell>
          <cell r="G146">
            <v>0</v>
          </cell>
        </row>
        <row r="147">
          <cell r="B147">
            <v>642915</v>
          </cell>
          <cell r="D147">
            <v>2068905121</v>
          </cell>
          <cell r="E147">
            <v>14640550104</v>
          </cell>
          <cell r="F147">
            <v>0</v>
          </cell>
          <cell r="G147">
            <v>12571644983</v>
          </cell>
        </row>
        <row r="148">
          <cell r="B148">
            <v>644947</v>
          </cell>
          <cell r="D148">
            <v>0</v>
          </cell>
          <cell r="E148">
            <v>65029005528</v>
          </cell>
          <cell r="F148">
            <v>0</v>
          </cell>
          <cell r="G148">
            <v>65029005528</v>
          </cell>
        </row>
        <row r="149">
          <cell r="B149">
            <v>646935</v>
          </cell>
          <cell r="D149">
            <v>0</v>
          </cell>
          <cell r="E149">
            <v>5137616346</v>
          </cell>
          <cell r="F149">
            <v>0</v>
          </cell>
          <cell r="G149">
            <v>5137616346</v>
          </cell>
        </row>
        <row r="150">
          <cell r="B150">
            <v>647916</v>
          </cell>
          <cell r="D150">
            <v>0</v>
          </cell>
          <cell r="E150">
            <v>29630830392</v>
          </cell>
          <cell r="F150">
            <v>0</v>
          </cell>
          <cell r="G150">
            <v>29630830392</v>
          </cell>
        </row>
        <row r="151">
          <cell r="B151">
            <v>649889</v>
          </cell>
          <cell r="D151">
            <v>13919805976</v>
          </cell>
          <cell r="E151">
            <v>16393934111</v>
          </cell>
          <cell r="F151">
            <v>0</v>
          </cell>
          <cell r="G151">
            <v>2474128135</v>
          </cell>
        </row>
        <row r="152">
          <cell r="B152">
            <v>649949</v>
          </cell>
          <cell r="D152">
            <v>1136</v>
          </cell>
          <cell r="E152">
            <v>1857</v>
          </cell>
          <cell r="F152">
            <v>0</v>
          </cell>
          <cell r="G152">
            <v>721</v>
          </cell>
        </row>
        <row r="153">
          <cell r="B153">
            <v>654496</v>
          </cell>
          <cell r="D153">
            <v>7673425418</v>
          </cell>
          <cell r="E153">
            <v>0</v>
          </cell>
          <cell r="F153">
            <v>7673425418</v>
          </cell>
          <cell r="G153">
            <v>0</v>
          </cell>
        </row>
        <row r="154">
          <cell r="B154">
            <v>656733</v>
          </cell>
          <cell r="D154">
            <v>235889280</v>
          </cell>
          <cell r="E154">
            <v>0</v>
          </cell>
          <cell r="F154">
            <v>235889280</v>
          </cell>
          <cell r="G154">
            <v>0</v>
          </cell>
        </row>
        <row r="155">
          <cell r="B155">
            <v>657736</v>
          </cell>
          <cell r="D155">
            <v>40043012237</v>
          </cell>
          <cell r="E155">
            <v>0</v>
          </cell>
          <cell r="F155">
            <v>40043012237</v>
          </cell>
          <cell r="G155">
            <v>0</v>
          </cell>
        </row>
        <row r="156">
          <cell r="B156">
            <v>659477</v>
          </cell>
          <cell r="D156">
            <v>328131087</v>
          </cell>
          <cell r="E156">
            <v>0</v>
          </cell>
          <cell r="F156">
            <v>328131087</v>
          </cell>
          <cell r="G156">
            <v>0</v>
          </cell>
        </row>
        <row r="157">
          <cell r="B157">
            <v>659541</v>
          </cell>
          <cell r="D157">
            <v>316823000</v>
          </cell>
          <cell r="E157">
            <v>0</v>
          </cell>
          <cell r="F157">
            <v>316823000</v>
          </cell>
          <cell r="G157">
            <v>0</v>
          </cell>
        </row>
        <row r="158">
          <cell r="B158">
            <v>659543</v>
          </cell>
          <cell r="D158">
            <v>57100000</v>
          </cell>
          <cell r="E158">
            <v>0</v>
          </cell>
          <cell r="F158">
            <v>57100000</v>
          </cell>
          <cell r="G158">
            <v>0</v>
          </cell>
        </row>
        <row r="159">
          <cell r="B159">
            <v>659548</v>
          </cell>
          <cell r="D159">
            <v>1777873000</v>
          </cell>
          <cell r="E159">
            <v>0</v>
          </cell>
          <cell r="F159">
            <v>1777873000</v>
          </cell>
          <cell r="G159">
            <v>0</v>
          </cell>
        </row>
        <row r="160">
          <cell r="B160">
            <v>659735</v>
          </cell>
          <cell r="D160">
            <v>40479683816</v>
          </cell>
          <cell r="E160">
            <v>532561718</v>
          </cell>
          <cell r="F160">
            <v>39947122098</v>
          </cell>
          <cell r="G160">
            <v>0</v>
          </cell>
        </row>
        <row r="161">
          <cell r="B161">
            <v>659899</v>
          </cell>
          <cell r="D161">
            <v>15102437685</v>
          </cell>
          <cell r="E161">
            <v>14111255986</v>
          </cell>
          <cell r="F161">
            <v>991181699</v>
          </cell>
          <cell r="G161">
            <v>0</v>
          </cell>
        </row>
        <row r="162">
          <cell r="B162">
            <v>661995</v>
          </cell>
          <cell r="D162">
            <v>24819049273</v>
          </cell>
          <cell r="E162">
            <v>0</v>
          </cell>
          <cell r="F162">
            <v>24819049273</v>
          </cell>
          <cell r="G162">
            <v>0</v>
          </cell>
        </row>
        <row r="163">
          <cell r="B163">
            <v>679946</v>
          </cell>
          <cell r="D163">
            <v>0</v>
          </cell>
          <cell r="E163">
            <v>158753000</v>
          </cell>
          <cell r="F163">
            <v>0</v>
          </cell>
          <cell r="G163">
            <v>158753000</v>
          </cell>
        </row>
        <row r="164">
          <cell r="B164">
            <v>679949</v>
          </cell>
          <cell r="D164">
            <v>0</v>
          </cell>
          <cell r="E164">
            <v>33707700</v>
          </cell>
          <cell r="F164">
            <v>0</v>
          </cell>
          <cell r="G164">
            <v>33707700</v>
          </cell>
        </row>
        <row r="165">
          <cell r="B165">
            <v>681497</v>
          </cell>
          <cell r="D165">
            <v>67173913</v>
          </cell>
          <cell r="E165">
            <v>0</v>
          </cell>
          <cell r="F165">
            <v>67173913</v>
          </cell>
          <cell r="G165">
            <v>0</v>
          </cell>
        </row>
        <row r="166">
          <cell r="B166">
            <v>689476</v>
          </cell>
          <cell r="D166">
            <v>22000000</v>
          </cell>
          <cell r="E166">
            <v>0</v>
          </cell>
          <cell r="F166">
            <v>22000000</v>
          </cell>
          <cell r="G166">
            <v>0</v>
          </cell>
        </row>
        <row r="167">
          <cell r="B167">
            <v>689487</v>
          </cell>
          <cell r="D167">
            <v>1605982453</v>
          </cell>
          <cell r="E167">
            <v>0</v>
          </cell>
          <cell r="F167">
            <v>1605982453</v>
          </cell>
          <cell r="G167">
            <v>0</v>
          </cell>
        </row>
        <row r="168">
          <cell r="B168">
            <v>689494</v>
          </cell>
          <cell r="D168">
            <v>11773183</v>
          </cell>
          <cell r="E168">
            <v>0</v>
          </cell>
          <cell r="F168">
            <v>11773183</v>
          </cell>
          <cell r="G168">
            <v>0</v>
          </cell>
        </row>
        <row r="169">
          <cell r="B169">
            <v>710001</v>
          </cell>
          <cell r="D169">
            <v>1659477301539</v>
          </cell>
          <cell r="E169">
            <v>0</v>
          </cell>
          <cell r="F169">
            <v>1659477301539</v>
          </cell>
          <cell r="G169">
            <v>0</v>
          </cell>
        </row>
        <row r="170">
          <cell r="B170">
            <v>710005</v>
          </cell>
          <cell r="D170">
            <v>117429939300</v>
          </cell>
          <cell r="E170">
            <v>0</v>
          </cell>
          <cell r="F170">
            <v>117429939300</v>
          </cell>
          <cell r="G170">
            <v>0</v>
          </cell>
        </row>
        <row r="171">
          <cell r="B171">
            <v>711981</v>
          </cell>
          <cell r="D171">
            <v>0</v>
          </cell>
          <cell r="E171">
            <v>1776907240839</v>
          </cell>
          <cell r="F171">
            <v>0</v>
          </cell>
          <cell r="G171">
            <v>1776907240839</v>
          </cell>
        </row>
        <row r="172">
          <cell r="B172">
            <v>720101</v>
          </cell>
          <cell r="D172">
            <v>40077797000</v>
          </cell>
          <cell r="E172">
            <v>0</v>
          </cell>
          <cell r="F172">
            <v>40077797000</v>
          </cell>
          <cell r="G172">
            <v>0</v>
          </cell>
        </row>
        <row r="173">
          <cell r="B173">
            <v>720102</v>
          </cell>
          <cell r="D173">
            <v>2406966396</v>
          </cell>
          <cell r="E173">
            <v>0</v>
          </cell>
          <cell r="F173">
            <v>2406966396</v>
          </cell>
          <cell r="G173">
            <v>0</v>
          </cell>
        </row>
        <row r="174">
          <cell r="B174">
            <v>720104</v>
          </cell>
          <cell r="D174">
            <v>13656005265</v>
          </cell>
          <cell r="E174">
            <v>217000965</v>
          </cell>
          <cell r="F174">
            <v>13439004300</v>
          </cell>
          <cell r="G174">
            <v>0</v>
          </cell>
        </row>
        <row r="175">
          <cell r="B175">
            <v>720121</v>
          </cell>
          <cell r="D175">
            <v>6972839140</v>
          </cell>
          <cell r="E175">
            <v>0</v>
          </cell>
          <cell r="F175">
            <v>6972839140</v>
          </cell>
          <cell r="G175">
            <v>0</v>
          </cell>
        </row>
        <row r="176">
          <cell r="B176">
            <v>720124</v>
          </cell>
          <cell r="D176">
            <v>1280915465</v>
          </cell>
          <cell r="E176">
            <v>0</v>
          </cell>
          <cell r="F176">
            <v>1280915465</v>
          </cell>
          <cell r="G176">
            <v>0</v>
          </cell>
        </row>
        <row r="177">
          <cell r="B177">
            <v>721982</v>
          </cell>
          <cell r="D177">
            <v>0</v>
          </cell>
          <cell r="E177">
            <v>64177522301</v>
          </cell>
          <cell r="F177">
            <v>0</v>
          </cell>
          <cell r="G177">
            <v>64177522301</v>
          </cell>
        </row>
        <row r="178">
          <cell r="B178">
            <v>730011</v>
          </cell>
          <cell r="D178">
            <v>33054578097</v>
          </cell>
          <cell r="E178">
            <v>405816000</v>
          </cell>
          <cell r="F178">
            <v>32648762097</v>
          </cell>
          <cell r="G178">
            <v>0</v>
          </cell>
        </row>
        <row r="179">
          <cell r="B179">
            <v>730015</v>
          </cell>
          <cell r="D179">
            <v>25516491682</v>
          </cell>
          <cell r="E179">
            <v>0</v>
          </cell>
          <cell r="F179">
            <v>25516491682</v>
          </cell>
          <cell r="G179">
            <v>0</v>
          </cell>
        </row>
        <row r="180">
          <cell r="B180">
            <v>730301</v>
          </cell>
          <cell r="D180">
            <v>949770000</v>
          </cell>
          <cell r="E180">
            <v>0</v>
          </cell>
          <cell r="F180">
            <v>949770000</v>
          </cell>
          <cell r="G180">
            <v>0</v>
          </cell>
        </row>
        <row r="181">
          <cell r="B181">
            <v>730302</v>
          </cell>
          <cell r="D181">
            <v>14245321286</v>
          </cell>
          <cell r="E181">
            <v>0</v>
          </cell>
          <cell r="F181">
            <v>14245321286</v>
          </cell>
          <cell r="G181">
            <v>0</v>
          </cell>
        </row>
        <row r="182">
          <cell r="B182">
            <v>730304</v>
          </cell>
          <cell r="D182">
            <v>22431844682</v>
          </cell>
          <cell r="E182">
            <v>0</v>
          </cell>
          <cell r="F182">
            <v>22431844682</v>
          </cell>
          <cell r="G182">
            <v>0</v>
          </cell>
        </row>
        <row r="183">
          <cell r="B183">
            <v>731983</v>
          </cell>
          <cell r="D183">
            <v>0</v>
          </cell>
          <cell r="E183">
            <v>95792189747</v>
          </cell>
          <cell r="F183">
            <v>0</v>
          </cell>
          <cell r="G183">
            <v>95792189747</v>
          </cell>
        </row>
        <row r="184">
          <cell r="B184">
            <v>735021</v>
          </cell>
          <cell r="D184">
            <v>13174234898</v>
          </cell>
          <cell r="E184">
            <v>0</v>
          </cell>
          <cell r="F184">
            <v>13174234898</v>
          </cell>
          <cell r="G184">
            <v>0</v>
          </cell>
        </row>
        <row r="185">
          <cell r="B185">
            <v>735031</v>
          </cell>
          <cell r="D185">
            <v>4372552080</v>
          </cell>
          <cell r="E185">
            <v>0</v>
          </cell>
          <cell r="F185">
            <v>4372552080</v>
          </cell>
          <cell r="G185">
            <v>0</v>
          </cell>
        </row>
        <row r="186">
          <cell r="B186">
            <v>735101</v>
          </cell>
          <cell r="D186">
            <v>19472181885</v>
          </cell>
          <cell r="E186">
            <v>0</v>
          </cell>
          <cell r="F186">
            <v>19472181885</v>
          </cell>
          <cell r="G186">
            <v>0</v>
          </cell>
        </row>
        <row r="187">
          <cell r="B187">
            <v>735102</v>
          </cell>
          <cell r="D187">
            <v>1671650653</v>
          </cell>
          <cell r="E187">
            <v>0</v>
          </cell>
          <cell r="F187">
            <v>1671650653</v>
          </cell>
          <cell r="G187">
            <v>0</v>
          </cell>
        </row>
        <row r="188">
          <cell r="B188">
            <v>735104</v>
          </cell>
          <cell r="D188">
            <v>6719156076</v>
          </cell>
          <cell r="E188">
            <v>126908526</v>
          </cell>
          <cell r="F188">
            <v>6592247550</v>
          </cell>
          <cell r="G188">
            <v>0</v>
          </cell>
        </row>
        <row r="189">
          <cell r="B189">
            <v>735113</v>
          </cell>
          <cell r="D189">
            <v>286820166</v>
          </cell>
          <cell r="E189">
            <v>0</v>
          </cell>
          <cell r="F189">
            <v>286820166</v>
          </cell>
          <cell r="G189">
            <v>0</v>
          </cell>
        </row>
        <row r="190">
          <cell r="B190">
            <v>735121</v>
          </cell>
          <cell r="D190">
            <v>3561159964</v>
          </cell>
          <cell r="E190">
            <v>0</v>
          </cell>
          <cell r="F190">
            <v>3561159964</v>
          </cell>
          <cell r="G190">
            <v>0</v>
          </cell>
        </row>
        <row r="191">
          <cell r="B191">
            <v>735124</v>
          </cell>
          <cell r="D191">
            <v>636546856</v>
          </cell>
          <cell r="E191">
            <v>0</v>
          </cell>
          <cell r="F191">
            <v>636546856</v>
          </cell>
          <cell r="G191">
            <v>0</v>
          </cell>
        </row>
        <row r="192">
          <cell r="B192">
            <v>735132</v>
          </cell>
          <cell r="D192">
            <v>3984426363</v>
          </cell>
          <cell r="E192">
            <v>0</v>
          </cell>
          <cell r="F192">
            <v>3984426363</v>
          </cell>
          <cell r="G192">
            <v>0</v>
          </cell>
        </row>
        <row r="193">
          <cell r="B193">
            <v>735136</v>
          </cell>
          <cell r="D193">
            <v>6701150342</v>
          </cell>
          <cell r="E193">
            <v>0</v>
          </cell>
          <cell r="F193">
            <v>6701150342</v>
          </cell>
          <cell r="G193">
            <v>0</v>
          </cell>
        </row>
        <row r="194">
          <cell r="B194">
            <v>735313</v>
          </cell>
          <cell r="D194">
            <v>27445003392</v>
          </cell>
          <cell r="E194">
            <v>0</v>
          </cell>
          <cell r="F194">
            <v>27445003392</v>
          </cell>
          <cell r="G194">
            <v>0</v>
          </cell>
        </row>
        <row r="195">
          <cell r="B195">
            <v>735319</v>
          </cell>
          <cell r="D195">
            <v>1758240000</v>
          </cell>
          <cell r="E195">
            <v>0</v>
          </cell>
          <cell r="F195">
            <v>1758240000</v>
          </cell>
          <cell r="G195">
            <v>0</v>
          </cell>
        </row>
        <row r="196">
          <cell r="B196">
            <v>735341</v>
          </cell>
          <cell r="D196">
            <v>4738287750</v>
          </cell>
          <cell r="E196">
            <v>0</v>
          </cell>
          <cell r="F196">
            <v>4738287750</v>
          </cell>
          <cell r="G196">
            <v>0</v>
          </cell>
        </row>
        <row r="197">
          <cell r="B197">
            <v>735442</v>
          </cell>
          <cell r="D197">
            <v>8756301807</v>
          </cell>
          <cell r="E197">
            <v>0</v>
          </cell>
          <cell r="F197">
            <v>8756301807</v>
          </cell>
          <cell r="G197">
            <v>0</v>
          </cell>
        </row>
        <row r="198">
          <cell r="B198">
            <v>735622</v>
          </cell>
          <cell r="D198">
            <v>460445904</v>
          </cell>
          <cell r="E198">
            <v>0</v>
          </cell>
          <cell r="F198">
            <v>460445904</v>
          </cell>
          <cell r="G198">
            <v>0</v>
          </cell>
        </row>
        <row r="199">
          <cell r="B199">
            <v>735623</v>
          </cell>
          <cell r="D199">
            <v>182823949356</v>
          </cell>
          <cell r="E199">
            <v>0</v>
          </cell>
          <cell r="F199">
            <v>182823949356</v>
          </cell>
          <cell r="G199">
            <v>0</v>
          </cell>
        </row>
        <row r="200">
          <cell r="B200">
            <v>735624</v>
          </cell>
          <cell r="D200">
            <v>77041009990</v>
          </cell>
          <cell r="E200">
            <v>0</v>
          </cell>
          <cell r="F200">
            <v>77041009990</v>
          </cell>
          <cell r="G200">
            <v>0</v>
          </cell>
        </row>
        <row r="201">
          <cell r="B201">
            <v>735625</v>
          </cell>
          <cell r="D201">
            <v>2992536954</v>
          </cell>
          <cell r="E201">
            <v>0</v>
          </cell>
          <cell r="F201">
            <v>2992536954</v>
          </cell>
          <cell r="G201">
            <v>0</v>
          </cell>
        </row>
        <row r="202">
          <cell r="B202">
            <v>735627</v>
          </cell>
          <cell r="D202">
            <v>374941792</v>
          </cell>
          <cell r="E202">
            <v>0</v>
          </cell>
          <cell r="F202">
            <v>374941792</v>
          </cell>
          <cell r="G202">
            <v>0</v>
          </cell>
        </row>
        <row r="203">
          <cell r="B203">
            <v>736984</v>
          </cell>
          <cell r="D203">
            <v>0</v>
          </cell>
          <cell r="E203">
            <v>366843687702</v>
          </cell>
          <cell r="F203">
            <v>0</v>
          </cell>
          <cell r="G203">
            <v>366843687702</v>
          </cell>
        </row>
        <row r="204">
          <cell r="B204">
            <v>760201</v>
          </cell>
          <cell r="D204">
            <v>35430000000</v>
          </cell>
          <cell r="E204">
            <v>0</v>
          </cell>
          <cell r="F204">
            <v>35430000000</v>
          </cell>
          <cell r="G204">
            <v>0</v>
          </cell>
        </row>
        <row r="205">
          <cell r="B205">
            <v>760204</v>
          </cell>
          <cell r="D205">
            <v>11809999999</v>
          </cell>
          <cell r="E205">
            <v>0</v>
          </cell>
          <cell r="F205">
            <v>11809999999</v>
          </cell>
          <cell r="G205">
            <v>0</v>
          </cell>
        </row>
        <row r="206">
          <cell r="B206">
            <v>760219</v>
          </cell>
          <cell r="D206">
            <v>1843807639</v>
          </cell>
          <cell r="E206">
            <v>0</v>
          </cell>
          <cell r="F206">
            <v>1843807639</v>
          </cell>
          <cell r="G206">
            <v>0</v>
          </cell>
        </row>
        <row r="207">
          <cell r="B207">
            <v>760221</v>
          </cell>
          <cell r="D207">
            <v>1426722658</v>
          </cell>
          <cell r="E207">
            <v>0</v>
          </cell>
          <cell r="F207">
            <v>1426722658</v>
          </cell>
          <cell r="G207">
            <v>0</v>
          </cell>
        </row>
        <row r="208">
          <cell r="B208">
            <v>760224</v>
          </cell>
          <cell r="D208">
            <v>1062900000</v>
          </cell>
          <cell r="E208">
            <v>0</v>
          </cell>
          <cell r="F208">
            <v>1062900000</v>
          </cell>
          <cell r="G208">
            <v>0</v>
          </cell>
        </row>
        <row r="209">
          <cell r="B209">
            <v>760231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B210">
            <v>760232</v>
          </cell>
          <cell r="D210">
            <v>498010334</v>
          </cell>
          <cell r="E210">
            <v>0</v>
          </cell>
          <cell r="F210">
            <v>498010334</v>
          </cell>
          <cell r="G210">
            <v>0</v>
          </cell>
        </row>
        <row r="211">
          <cell r="B211">
            <v>760235</v>
          </cell>
          <cell r="D211">
            <v>585055130</v>
          </cell>
          <cell r="E211">
            <v>22776000</v>
          </cell>
          <cell r="F211">
            <v>562279130</v>
          </cell>
          <cell r="G211">
            <v>0</v>
          </cell>
        </row>
        <row r="212">
          <cell r="B212">
            <v>760236</v>
          </cell>
          <cell r="D212">
            <v>746049007</v>
          </cell>
          <cell r="E212">
            <v>0</v>
          </cell>
          <cell r="F212">
            <v>746049007</v>
          </cell>
          <cell r="G212">
            <v>0</v>
          </cell>
        </row>
        <row r="213">
          <cell r="B213">
            <v>760316</v>
          </cell>
          <cell r="D213">
            <v>407858466</v>
          </cell>
          <cell r="E213">
            <v>0</v>
          </cell>
          <cell r="F213">
            <v>407858466</v>
          </cell>
          <cell r="G213">
            <v>0</v>
          </cell>
        </row>
        <row r="214">
          <cell r="B214">
            <v>760319</v>
          </cell>
          <cell r="D214">
            <v>175824000</v>
          </cell>
          <cell r="E214">
            <v>0</v>
          </cell>
          <cell r="F214">
            <v>175824000</v>
          </cell>
          <cell r="G214">
            <v>0</v>
          </cell>
        </row>
        <row r="215">
          <cell r="B215">
            <v>760331</v>
          </cell>
          <cell r="D215">
            <v>153793007549</v>
          </cell>
          <cell r="E215">
            <v>501033952</v>
          </cell>
          <cell r="F215">
            <v>153291973597</v>
          </cell>
          <cell r="G215">
            <v>0</v>
          </cell>
        </row>
        <row r="216">
          <cell r="B216">
            <v>760332</v>
          </cell>
          <cell r="D216">
            <v>9478560000</v>
          </cell>
          <cell r="E216">
            <v>0</v>
          </cell>
          <cell r="F216">
            <v>9478560000</v>
          </cell>
          <cell r="G216">
            <v>0</v>
          </cell>
        </row>
        <row r="217">
          <cell r="B217">
            <v>760401</v>
          </cell>
          <cell r="D217">
            <v>451904880</v>
          </cell>
          <cell r="E217">
            <v>0</v>
          </cell>
          <cell r="F217">
            <v>451904880</v>
          </cell>
          <cell r="G217">
            <v>0</v>
          </cell>
        </row>
        <row r="218">
          <cell r="B218">
            <v>760402</v>
          </cell>
          <cell r="D218">
            <v>1399014731</v>
          </cell>
          <cell r="E218">
            <v>0</v>
          </cell>
          <cell r="F218">
            <v>1399014731</v>
          </cell>
          <cell r="G218">
            <v>0</v>
          </cell>
        </row>
        <row r="219">
          <cell r="B219">
            <v>760403</v>
          </cell>
          <cell r="D219">
            <v>753430055</v>
          </cell>
          <cell r="E219">
            <v>0</v>
          </cell>
          <cell r="F219">
            <v>753430055</v>
          </cell>
          <cell r="G219">
            <v>0</v>
          </cell>
        </row>
        <row r="220">
          <cell r="B220">
            <v>760411</v>
          </cell>
          <cell r="D220">
            <v>298956519</v>
          </cell>
          <cell r="E220">
            <v>0</v>
          </cell>
          <cell r="F220">
            <v>298956519</v>
          </cell>
          <cell r="G220">
            <v>0</v>
          </cell>
        </row>
        <row r="221">
          <cell r="B221">
            <v>760413</v>
          </cell>
          <cell r="D221">
            <v>2390140883</v>
          </cell>
          <cell r="E221">
            <v>0</v>
          </cell>
          <cell r="F221">
            <v>2390140883</v>
          </cell>
          <cell r="G221">
            <v>0</v>
          </cell>
        </row>
        <row r="222">
          <cell r="B222">
            <v>760414</v>
          </cell>
          <cell r="D222">
            <v>375896189</v>
          </cell>
          <cell r="E222">
            <v>0</v>
          </cell>
          <cell r="F222">
            <v>375896189</v>
          </cell>
          <cell r="G222">
            <v>0</v>
          </cell>
        </row>
        <row r="223">
          <cell r="B223">
            <v>760428</v>
          </cell>
          <cell r="D223">
            <v>199713039</v>
          </cell>
          <cell r="E223">
            <v>0</v>
          </cell>
          <cell r="F223">
            <v>199713039</v>
          </cell>
          <cell r="G223">
            <v>0</v>
          </cell>
        </row>
        <row r="224">
          <cell r="B224">
            <v>760433</v>
          </cell>
          <cell r="D224">
            <v>13440000</v>
          </cell>
          <cell r="E224">
            <v>0</v>
          </cell>
          <cell r="F224">
            <v>13440000</v>
          </cell>
          <cell r="G224">
            <v>0</v>
          </cell>
        </row>
        <row r="225">
          <cell r="B225">
            <v>760441</v>
          </cell>
          <cell r="D225">
            <v>720000000</v>
          </cell>
          <cell r="E225">
            <v>0</v>
          </cell>
          <cell r="F225">
            <v>720000000</v>
          </cell>
          <cell r="G225">
            <v>0</v>
          </cell>
        </row>
        <row r="226">
          <cell r="B226">
            <v>760451</v>
          </cell>
          <cell r="D226">
            <v>328041882</v>
          </cell>
          <cell r="E226">
            <v>0</v>
          </cell>
          <cell r="F226">
            <v>328041882</v>
          </cell>
          <cell r="G226">
            <v>0</v>
          </cell>
        </row>
        <row r="227">
          <cell r="B227">
            <v>760452</v>
          </cell>
          <cell r="D227">
            <v>11922043</v>
          </cell>
          <cell r="E227">
            <v>0</v>
          </cell>
          <cell r="F227">
            <v>11922043</v>
          </cell>
          <cell r="G227">
            <v>0</v>
          </cell>
        </row>
        <row r="228">
          <cell r="B228">
            <v>760454</v>
          </cell>
          <cell r="D228">
            <v>1653739135</v>
          </cell>
          <cell r="E228">
            <v>0</v>
          </cell>
          <cell r="F228">
            <v>1653739135</v>
          </cell>
          <cell r="G228">
            <v>0</v>
          </cell>
        </row>
        <row r="229">
          <cell r="B229">
            <v>760461</v>
          </cell>
          <cell r="D229">
            <v>274680652</v>
          </cell>
          <cell r="E229">
            <v>0</v>
          </cell>
          <cell r="F229">
            <v>274680652</v>
          </cell>
          <cell r="G229">
            <v>0</v>
          </cell>
        </row>
        <row r="230">
          <cell r="B230">
            <v>760469</v>
          </cell>
          <cell r="D230">
            <v>30126201373</v>
          </cell>
          <cell r="E230">
            <v>0</v>
          </cell>
          <cell r="F230">
            <v>30126201373</v>
          </cell>
          <cell r="G230">
            <v>0</v>
          </cell>
        </row>
        <row r="231">
          <cell r="B231">
            <v>760499</v>
          </cell>
          <cell r="D231">
            <v>1141926291</v>
          </cell>
          <cell r="E231">
            <v>0</v>
          </cell>
          <cell r="F231">
            <v>1141926291</v>
          </cell>
          <cell r="G231">
            <v>0</v>
          </cell>
        </row>
        <row r="232">
          <cell r="B232">
            <v>760547</v>
          </cell>
          <cell r="D232">
            <v>73974000</v>
          </cell>
          <cell r="E232">
            <v>0</v>
          </cell>
          <cell r="F232">
            <v>73974000</v>
          </cell>
          <cell r="G232">
            <v>0</v>
          </cell>
        </row>
        <row r="233">
          <cell r="B233">
            <v>761993</v>
          </cell>
          <cell r="D233">
            <v>0</v>
          </cell>
          <cell r="E233">
            <v>256946966502</v>
          </cell>
          <cell r="F233">
            <v>0</v>
          </cell>
          <cell r="G233">
            <v>256946966502</v>
          </cell>
        </row>
        <row r="234">
          <cell r="B234">
            <v>770201</v>
          </cell>
          <cell r="D234">
            <v>51810000000</v>
          </cell>
          <cell r="E234">
            <v>0</v>
          </cell>
          <cell r="F234">
            <v>51810000000</v>
          </cell>
          <cell r="G234">
            <v>0</v>
          </cell>
        </row>
        <row r="235">
          <cell r="B235">
            <v>770202</v>
          </cell>
          <cell r="D235">
            <v>76000000</v>
          </cell>
          <cell r="E235">
            <v>0</v>
          </cell>
          <cell r="F235">
            <v>76000000</v>
          </cell>
          <cell r="G235">
            <v>0</v>
          </cell>
        </row>
        <row r="236">
          <cell r="B236">
            <v>770204</v>
          </cell>
          <cell r="D236">
            <v>17270000003</v>
          </cell>
          <cell r="E236">
            <v>2</v>
          </cell>
          <cell r="F236">
            <v>17270000001</v>
          </cell>
          <cell r="G236">
            <v>0</v>
          </cell>
        </row>
        <row r="237">
          <cell r="B237">
            <v>770205</v>
          </cell>
          <cell r="D237">
            <v>1540654889</v>
          </cell>
          <cell r="E237">
            <v>0</v>
          </cell>
          <cell r="F237">
            <v>1540654889</v>
          </cell>
          <cell r="G237">
            <v>0</v>
          </cell>
        </row>
        <row r="238">
          <cell r="B238">
            <v>770219</v>
          </cell>
          <cell r="D238">
            <v>1013212085</v>
          </cell>
          <cell r="E238">
            <v>0</v>
          </cell>
          <cell r="F238">
            <v>1013212085</v>
          </cell>
          <cell r="G238">
            <v>0</v>
          </cell>
        </row>
        <row r="239">
          <cell r="B239">
            <v>770221</v>
          </cell>
          <cell r="D239">
            <v>3231287454</v>
          </cell>
          <cell r="E239">
            <v>0</v>
          </cell>
          <cell r="F239">
            <v>3231287454</v>
          </cell>
          <cell r="G239">
            <v>0</v>
          </cell>
        </row>
        <row r="240">
          <cell r="B240">
            <v>770224</v>
          </cell>
          <cell r="D240">
            <v>1556580000</v>
          </cell>
          <cell r="E240">
            <v>0</v>
          </cell>
          <cell r="F240">
            <v>1556580000</v>
          </cell>
          <cell r="G240">
            <v>0</v>
          </cell>
        </row>
        <row r="241">
          <cell r="B241">
            <v>770231</v>
          </cell>
          <cell r="D241">
            <v>705216673</v>
          </cell>
          <cell r="E241">
            <v>0</v>
          </cell>
          <cell r="F241">
            <v>705216673</v>
          </cell>
          <cell r="G241">
            <v>0</v>
          </cell>
        </row>
        <row r="242">
          <cell r="B242">
            <v>770232</v>
          </cell>
          <cell r="D242">
            <v>2252759699</v>
          </cell>
          <cell r="E242">
            <v>0</v>
          </cell>
          <cell r="F242">
            <v>2252759699</v>
          </cell>
          <cell r="G242">
            <v>0</v>
          </cell>
        </row>
        <row r="243">
          <cell r="B243">
            <v>770233</v>
          </cell>
          <cell r="D243">
            <v>112887889</v>
          </cell>
          <cell r="E243">
            <v>0</v>
          </cell>
          <cell r="F243">
            <v>112887889</v>
          </cell>
          <cell r="G243">
            <v>0</v>
          </cell>
        </row>
        <row r="244">
          <cell r="B244">
            <v>770235</v>
          </cell>
          <cell r="D244">
            <v>1168704873</v>
          </cell>
          <cell r="E244">
            <v>22776000</v>
          </cell>
          <cell r="F244">
            <v>1145928873</v>
          </cell>
          <cell r="G244">
            <v>0</v>
          </cell>
        </row>
        <row r="245">
          <cell r="B245">
            <v>770236</v>
          </cell>
          <cell r="D245">
            <v>2044030481</v>
          </cell>
          <cell r="E245">
            <v>0</v>
          </cell>
          <cell r="F245">
            <v>2044030481</v>
          </cell>
          <cell r="G245">
            <v>0</v>
          </cell>
        </row>
        <row r="246">
          <cell r="B246">
            <v>770249</v>
          </cell>
          <cell r="D246">
            <v>522185000</v>
          </cell>
          <cell r="E246">
            <v>0</v>
          </cell>
          <cell r="F246">
            <v>522185000</v>
          </cell>
          <cell r="G246">
            <v>0</v>
          </cell>
        </row>
        <row r="247">
          <cell r="B247">
            <v>770304</v>
          </cell>
          <cell r="D247">
            <v>1513118764</v>
          </cell>
          <cell r="E247">
            <v>0</v>
          </cell>
          <cell r="F247">
            <v>1513118764</v>
          </cell>
          <cell r="G247">
            <v>0</v>
          </cell>
        </row>
        <row r="248">
          <cell r="B248">
            <v>770311</v>
          </cell>
          <cell r="D248">
            <v>1345225868</v>
          </cell>
          <cell r="E248">
            <v>0</v>
          </cell>
          <cell r="F248">
            <v>1345225868</v>
          </cell>
          <cell r="G248">
            <v>0</v>
          </cell>
        </row>
        <row r="249">
          <cell r="B249">
            <v>770312</v>
          </cell>
          <cell r="D249">
            <v>1184211068</v>
          </cell>
          <cell r="E249">
            <v>0</v>
          </cell>
          <cell r="F249">
            <v>1184211068</v>
          </cell>
          <cell r="G249">
            <v>0</v>
          </cell>
        </row>
        <row r="250">
          <cell r="B250">
            <v>770313</v>
          </cell>
          <cell r="D250">
            <v>800083582</v>
          </cell>
          <cell r="E250">
            <v>0</v>
          </cell>
          <cell r="F250">
            <v>800083582</v>
          </cell>
          <cell r="G250">
            <v>0</v>
          </cell>
        </row>
        <row r="251">
          <cell r="B251">
            <v>770316</v>
          </cell>
          <cell r="D251">
            <v>147455481</v>
          </cell>
          <cell r="E251">
            <v>0</v>
          </cell>
          <cell r="F251">
            <v>147455481</v>
          </cell>
          <cell r="G251">
            <v>0</v>
          </cell>
        </row>
        <row r="252">
          <cell r="B252">
            <v>770319</v>
          </cell>
          <cell r="D252">
            <v>1489710077</v>
          </cell>
          <cell r="E252">
            <v>0</v>
          </cell>
          <cell r="F252">
            <v>1489710077</v>
          </cell>
          <cell r="G252">
            <v>0</v>
          </cell>
        </row>
        <row r="253">
          <cell r="B253">
            <v>770321</v>
          </cell>
          <cell r="D253">
            <v>22340642039</v>
          </cell>
          <cell r="E253">
            <v>0</v>
          </cell>
          <cell r="F253">
            <v>22340642039</v>
          </cell>
          <cell r="G253">
            <v>0</v>
          </cell>
        </row>
        <row r="254">
          <cell r="B254">
            <v>770323</v>
          </cell>
          <cell r="D254">
            <v>1169600000</v>
          </cell>
          <cell r="E254">
            <v>0</v>
          </cell>
          <cell r="F254">
            <v>1169600000</v>
          </cell>
          <cell r="G254">
            <v>0</v>
          </cell>
        </row>
        <row r="255">
          <cell r="B255">
            <v>770401</v>
          </cell>
          <cell r="D255">
            <v>407097815</v>
          </cell>
          <cell r="E255">
            <v>0</v>
          </cell>
          <cell r="F255">
            <v>407097815</v>
          </cell>
          <cell r="G255">
            <v>0</v>
          </cell>
        </row>
        <row r="256">
          <cell r="B256">
            <v>770402</v>
          </cell>
          <cell r="D256">
            <v>1192986065</v>
          </cell>
          <cell r="E256">
            <v>0</v>
          </cell>
          <cell r="F256">
            <v>1192986065</v>
          </cell>
          <cell r="G256">
            <v>0</v>
          </cell>
        </row>
        <row r="257">
          <cell r="B257">
            <v>770403</v>
          </cell>
          <cell r="D257">
            <v>3140156</v>
          </cell>
          <cell r="E257">
            <v>0</v>
          </cell>
          <cell r="F257">
            <v>3140156</v>
          </cell>
          <cell r="G257">
            <v>0</v>
          </cell>
        </row>
        <row r="258">
          <cell r="B258">
            <v>770411</v>
          </cell>
          <cell r="D258">
            <v>1043478</v>
          </cell>
          <cell r="E258">
            <v>0</v>
          </cell>
          <cell r="F258">
            <v>1043478</v>
          </cell>
          <cell r="G258">
            <v>0</v>
          </cell>
        </row>
        <row r="259">
          <cell r="B259">
            <v>770412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B260">
            <v>770413</v>
          </cell>
          <cell r="D260">
            <v>2495182609</v>
          </cell>
          <cell r="E260">
            <v>0</v>
          </cell>
          <cell r="F260">
            <v>2495182609</v>
          </cell>
          <cell r="G260">
            <v>0</v>
          </cell>
        </row>
        <row r="261">
          <cell r="B261">
            <v>770414</v>
          </cell>
          <cell r="D261">
            <v>654569520</v>
          </cell>
          <cell r="E261">
            <v>0</v>
          </cell>
          <cell r="F261">
            <v>654569520</v>
          </cell>
          <cell r="G261">
            <v>0</v>
          </cell>
        </row>
        <row r="262">
          <cell r="B262">
            <v>770422</v>
          </cell>
          <cell r="D262">
            <v>79891304</v>
          </cell>
          <cell r="E262">
            <v>0</v>
          </cell>
          <cell r="F262">
            <v>79891304</v>
          </cell>
          <cell r="G262">
            <v>0</v>
          </cell>
        </row>
        <row r="263">
          <cell r="B263">
            <v>770428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B264">
            <v>770431</v>
          </cell>
          <cell r="D264">
            <v>3593922309</v>
          </cell>
          <cell r="E264">
            <v>30240000</v>
          </cell>
          <cell r="F264">
            <v>3563682309</v>
          </cell>
          <cell r="G264">
            <v>0</v>
          </cell>
        </row>
        <row r="265">
          <cell r="B265">
            <v>770432</v>
          </cell>
          <cell r="D265">
            <v>3559032557</v>
          </cell>
          <cell r="E265">
            <v>0</v>
          </cell>
          <cell r="F265">
            <v>3559032557</v>
          </cell>
          <cell r="G265">
            <v>0</v>
          </cell>
        </row>
        <row r="266">
          <cell r="B266">
            <v>770433</v>
          </cell>
          <cell r="D266">
            <v>564655361</v>
          </cell>
          <cell r="E266">
            <v>0</v>
          </cell>
          <cell r="F266">
            <v>564655361</v>
          </cell>
          <cell r="G266">
            <v>0</v>
          </cell>
        </row>
        <row r="267">
          <cell r="B267">
            <v>770434</v>
          </cell>
          <cell r="D267">
            <v>1444323763</v>
          </cell>
          <cell r="E267">
            <v>0</v>
          </cell>
          <cell r="F267">
            <v>1444323763</v>
          </cell>
          <cell r="G267">
            <v>0</v>
          </cell>
        </row>
        <row r="268">
          <cell r="B268">
            <v>770439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B269">
            <v>770448</v>
          </cell>
          <cell r="D269">
            <v>16306158</v>
          </cell>
          <cell r="E269">
            <v>0</v>
          </cell>
          <cell r="F269">
            <v>16306158</v>
          </cell>
          <cell r="G269">
            <v>0</v>
          </cell>
        </row>
        <row r="270">
          <cell r="B270">
            <v>770449</v>
          </cell>
          <cell r="D270">
            <v>447026088</v>
          </cell>
          <cell r="E270">
            <v>0</v>
          </cell>
          <cell r="F270">
            <v>447026088</v>
          </cell>
          <cell r="G270">
            <v>0</v>
          </cell>
        </row>
        <row r="271">
          <cell r="B271">
            <v>770451</v>
          </cell>
          <cell r="D271">
            <v>2052225548</v>
          </cell>
          <cell r="E271">
            <v>4521913</v>
          </cell>
          <cell r="F271">
            <v>2047703635</v>
          </cell>
          <cell r="G271">
            <v>0</v>
          </cell>
        </row>
        <row r="272">
          <cell r="B272">
            <v>770452</v>
          </cell>
          <cell r="D272">
            <v>169117509</v>
          </cell>
          <cell r="E272">
            <v>0</v>
          </cell>
          <cell r="F272">
            <v>169117509</v>
          </cell>
          <cell r="G272">
            <v>0</v>
          </cell>
        </row>
        <row r="273">
          <cell r="B273">
            <v>770453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B274">
            <v>770454</v>
          </cell>
          <cell r="D274">
            <v>884739400</v>
          </cell>
          <cell r="E274">
            <v>0</v>
          </cell>
          <cell r="F274">
            <v>884739400</v>
          </cell>
          <cell r="G274">
            <v>0</v>
          </cell>
        </row>
        <row r="275">
          <cell r="B275">
            <v>770461</v>
          </cell>
          <cell r="D275">
            <v>41717391</v>
          </cell>
          <cell r="E275">
            <v>0</v>
          </cell>
          <cell r="F275">
            <v>41717391</v>
          </cell>
          <cell r="G275">
            <v>0</v>
          </cell>
        </row>
        <row r="276">
          <cell r="B276">
            <v>770499</v>
          </cell>
          <cell r="D276">
            <v>2162652007</v>
          </cell>
          <cell r="E276">
            <v>0</v>
          </cell>
          <cell r="F276">
            <v>2162652007</v>
          </cell>
          <cell r="G276">
            <v>0</v>
          </cell>
        </row>
        <row r="277">
          <cell r="B277">
            <v>770544</v>
          </cell>
          <cell r="D277">
            <v>140720000</v>
          </cell>
          <cell r="E277">
            <v>0</v>
          </cell>
          <cell r="F277">
            <v>140720000</v>
          </cell>
          <cell r="G277">
            <v>0</v>
          </cell>
        </row>
        <row r="278">
          <cell r="B278">
            <v>770547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B279">
            <v>770552</v>
          </cell>
          <cell r="D279">
            <v>42000000</v>
          </cell>
          <cell r="E279">
            <v>0</v>
          </cell>
          <cell r="F279">
            <v>42000000</v>
          </cell>
          <cell r="G279">
            <v>0</v>
          </cell>
        </row>
        <row r="280">
          <cell r="B280">
            <v>770621</v>
          </cell>
          <cell r="D280">
            <v>14023356</v>
          </cell>
          <cell r="E280">
            <v>0</v>
          </cell>
          <cell r="F280">
            <v>14023356</v>
          </cell>
          <cell r="G280">
            <v>0</v>
          </cell>
        </row>
        <row r="281">
          <cell r="B281">
            <v>770622</v>
          </cell>
          <cell r="D281">
            <v>515981622</v>
          </cell>
          <cell r="E281">
            <v>0</v>
          </cell>
          <cell r="F281">
            <v>515981622</v>
          </cell>
          <cell r="G281">
            <v>0</v>
          </cell>
        </row>
        <row r="282">
          <cell r="B282">
            <v>770623</v>
          </cell>
          <cell r="D282">
            <v>15918208328</v>
          </cell>
          <cell r="E282">
            <v>0</v>
          </cell>
          <cell r="F282">
            <v>15918208328</v>
          </cell>
          <cell r="G282">
            <v>0</v>
          </cell>
        </row>
        <row r="283">
          <cell r="B283">
            <v>770624</v>
          </cell>
          <cell r="D283">
            <v>1704790412</v>
          </cell>
          <cell r="E283">
            <v>0</v>
          </cell>
          <cell r="F283">
            <v>1704790412</v>
          </cell>
          <cell r="G283">
            <v>0</v>
          </cell>
        </row>
        <row r="284">
          <cell r="B284">
            <v>770625</v>
          </cell>
          <cell r="D284">
            <v>299593879</v>
          </cell>
          <cell r="E284">
            <v>0</v>
          </cell>
          <cell r="F284">
            <v>299593879</v>
          </cell>
          <cell r="G284">
            <v>0</v>
          </cell>
        </row>
        <row r="285">
          <cell r="B285">
            <v>770626</v>
          </cell>
          <cell r="D285">
            <v>27777</v>
          </cell>
          <cell r="E285">
            <v>0</v>
          </cell>
          <cell r="F285">
            <v>27777</v>
          </cell>
          <cell r="G285">
            <v>0</v>
          </cell>
        </row>
        <row r="286">
          <cell r="B286">
            <v>770627</v>
          </cell>
          <cell r="D286">
            <v>26122386</v>
          </cell>
          <cell r="E286">
            <v>0</v>
          </cell>
          <cell r="F286">
            <v>26122386</v>
          </cell>
          <cell r="G286">
            <v>0</v>
          </cell>
        </row>
        <row r="287">
          <cell r="B287">
            <v>770628</v>
          </cell>
          <cell r="D287">
            <v>2211730975</v>
          </cell>
          <cell r="E287">
            <v>0</v>
          </cell>
          <cell r="F287">
            <v>2211730975</v>
          </cell>
          <cell r="G287">
            <v>0</v>
          </cell>
        </row>
        <row r="288">
          <cell r="B288">
            <v>770636</v>
          </cell>
          <cell r="D288">
            <v>1770414008</v>
          </cell>
          <cell r="E288">
            <v>0</v>
          </cell>
          <cell r="F288">
            <v>1770414008</v>
          </cell>
          <cell r="G288">
            <v>0</v>
          </cell>
        </row>
        <row r="289">
          <cell r="B289">
            <v>771994</v>
          </cell>
          <cell r="D289">
            <v>0</v>
          </cell>
          <cell r="E289">
            <v>155649269791</v>
          </cell>
          <cell r="F289">
            <v>0</v>
          </cell>
          <cell r="G289">
            <v>155649269791</v>
          </cell>
        </row>
        <row r="290">
          <cell r="B290">
            <v>780733</v>
          </cell>
          <cell r="D290">
            <v>24819049273</v>
          </cell>
          <cell r="E290">
            <v>0</v>
          </cell>
          <cell r="F290">
            <v>24819049273</v>
          </cell>
          <cell r="G290">
            <v>0</v>
          </cell>
        </row>
        <row r="291">
          <cell r="B291">
            <v>781995</v>
          </cell>
          <cell r="D291">
            <v>0</v>
          </cell>
          <cell r="E291">
            <v>24819049273</v>
          </cell>
          <cell r="F291">
            <v>0</v>
          </cell>
          <cell r="G291">
            <v>24819049273</v>
          </cell>
        </row>
        <row r="292">
          <cell r="B292">
            <v>921411</v>
          </cell>
          <cell r="D292">
            <v>180866359688</v>
          </cell>
          <cell r="E292">
            <v>13216359688</v>
          </cell>
          <cell r="F292">
            <v>167650000000</v>
          </cell>
          <cell r="G292">
            <v>0</v>
          </cell>
        </row>
        <row r="293">
          <cell r="B293">
            <v>921421</v>
          </cell>
          <cell r="D293">
            <v>13216359688</v>
          </cell>
          <cell r="E293">
            <v>180866359688</v>
          </cell>
          <cell r="F293">
            <v>0</v>
          </cell>
          <cell r="G293">
            <v>167650000000</v>
          </cell>
        </row>
      </sheetData>
      <sheetData sheetId="17" refreshError="1"/>
      <sheetData sheetId="18" refreshError="1"/>
      <sheetData sheetId="19" refreshError="1"/>
      <sheetData sheetId="20" refreshError="1">
        <row r="6">
          <cell r="B6">
            <v>100101</v>
          </cell>
        </row>
        <row r="7">
          <cell r="B7">
            <v>100102</v>
          </cell>
        </row>
        <row r="8">
          <cell r="B8">
            <v>100103</v>
          </cell>
        </row>
        <row r="9">
          <cell r="B9">
            <v>101101</v>
          </cell>
        </row>
        <row r="10">
          <cell r="B10">
            <v>102101</v>
          </cell>
        </row>
        <row r="11">
          <cell r="B11">
            <v>102102</v>
          </cell>
        </row>
        <row r="12">
          <cell r="B12">
            <v>102103</v>
          </cell>
        </row>
        <row r="13">
          <cell r="B13">
            <v>102104</v>
          </cell>
        </row>
        <row r="14">
          <cell r="B14">
            <v>102201</v>
          </cell>
        </row>
        <row r="15">
          <cell r="B15">
            <v>102202</v>
          </cell>
        </row>
        <row r="16">
          <cell r="B16">
            <v>102203</v>
          </cell>
        </row>
        <row r="17">
          <cell r="B17">
            <v>102204</v>
          </cell>
        </row>
        <row r="18">
          <cell r="B18">
            <v>102205</v>
          </cell>
        </row>
        <row r="19">
          <cell r="B19">
            <v>103101</v>
          </cell>
        </row>
        <row r="20">
          <cell r="B20">
            <v>103102</v>
          </cell>
        </row>
        <row r="21">
          <cell r="B21">
            <v>108199</v>
          </cell>
        </row>
        <row r="22">
          <cell r="B22">
            <v>110101</v>
          </cell>
        </row>
        <row r="23">
          <cell r="B23">
            <v>110109</v>
          </cell>
        </row>
        <row r="24">
          <cell r="B24">
            <v>110921</v>
          </cell>
        </row>
        <row r="25">
          <cell r="B25">
            <v>111101</v>
          </cell>
        </row>
        <row r="26">
          <cell r="B26">
            <v>111102</v>
          </cell>
        </row>
        <row r="27">
          <cell r="B27">
            <v>111103</v>
          </cell>
        </row>
        <row r="28">
          <cell r="B28">
            <v>111104</v>
          </cell>
        </row>
        <row r="29">
          <cell r="B29">
            <v>111109</v>
          </cell>
        </row>
        <row r="30">
          <cell r="B30">
            <v>111931</v>
          </cell>
        </row>
        <row r="31">
          <cell r="B31">
            <v>111932</v>
          </cell>
        </row>
        <row r="32">
          <cell r="B32">
            <v>111933</v>
          </cell>
        </row>
        <row r="33">
          <cell r="B33">
            <v>111934</v>
          </cell>
        </row>
        <row r="34">
          <cell r="B34">
            <v>112101</v>
          </cell>
        </row>
        <row r="35">
          <cell r="B35">
            <v>112102</v>
          </cell>
        </row>
        <row r="36">
          <cell r="B36">
            <v>112103</v>
          </cell>
        </row>
        <row r="37">
          <cell r="B37">
            <v>112104</v>
          </cell>
        </row>
        <row r="38">
          <cell r="B38">
            <v>112109</v>
          </cell>
        </row>
        <row r="39">
          <cell r="B39">
            <v>112941</v>
          </cell>
        </row>
        <row r="40">
          <cell r="B40">
            <v>112942</v>
          </cell>
        </row>
        <row r="41">
          <cell r="B41">
            <v>112943</v>
          </cell>
        </row>
        <row r="42">
          <cell r="B42">
            <v>112944</v>
          </cell>
        </row>
        <row r="43">
          <cell r="B43">
            <v>118101</v>
          </cell>
        </row>
        <row r="44">
          <cell r="B44">
            <v>118102</v>
          </cell>
        </row>
        <row r="45">
          <cell r="B45">
            <v>118945</v>
          </cell>
        </row>
        <row r="46">
          <cell r="B46">
            <v>119951</v>
          </cell>
        </row>
        <row r="47">
          <cell r="B47">
            <v>120101</v>
          </cell>
        </row>
        <row r="48">
          <cell r="B48">
            <v>120102</v>
          </cell>
        </row>
        <row r="49">
          <cell r="B49">
            <v>120103</v>
          </cell>
        </row>
        <row r="50">
          <cell r="B50">
            <v>120201</v>
          </cell>
        </row>
        <row r="51">
          <cell r="B51">
            <v>120202</v>
          </cell>
        </row>
        <row r="52">
          <cell r="B52">
            <v>120203</v>
          </cell>
        </row>
        <row r="53">
          <cell r="B53">
            <v>120204</v>
          </cell>
        </row>
        <row r="54">
          <cell r="B54">
            <v>120205</v>
          </cell>
        </row>
        <row r="55">
          <cell r="B55">
            <v>120206</v>
          </cell>
        </row>
        <row r="56">
          <cell r="B56">
            <v>120207</v>
          </cell>
        </row>
        <row r="57">
          <cell r="B57">
            <v>120208</v>
          </cell>
        </row>
        <row r="58">
          <cell r="B58">
            <v>121101</v>
          </cell>
        </row>
        <row r="59">
          <cell r="B59">
            <v>121102</v>
          </cell>
        </row>
        <row r="60">
          <cell r="B60">
            <v>121103</v>
          </cell>
        </row>
        <row r="61">
          <cell r="B61">
            <v>121104</v>
          </cell>
        </row>
        <row r="62">
          <cell r="B62">
            <v>121105</v>
          </cell>
        </row>
        <row r="63">
          <cell r="B63">
            <v>121106</v>
          </cell>
        </row>
        <row r="64">
          <cell r="B64">
            <v>121107</v>
          </cell>
        </row>
        <row r="65">
          <cell r="B65">
            <v>121201</v>
          </cell>
        </row>
        <row r="66">
          <cell r="B66">
            <v>122911</v>
          </cell>
        </row>
        <row r="67">
          <cell r="B67">
            <v>126101</v>
          </cell>
        </row>
        <row r="68">
          <cell r="B68">
            <v>126102</v>
          </cell>
        </row>
        <row r="69">
          <cell r="B69">
            <v>126103</v>
          </cell>
        </row>
        <row r="70">
          <cell r="B70">
            <v>126104</v>
          </cell>
        </row>
        <row r="71">
          <cell r="B71">
            <v>126199</v>
          </cell>
        </row>
        <row r="72">
          <cell r="B72">
            <v>127101</v>
          </cell>
        </row>
        <row r="73">
          <cell r="B73">
            <v>127102</v>
          </cell>
        </row>
        <row r="74">
          <cell r="B74">
            <v>127103</v>
          </cell>
        </row>
        <row r="75">
          <cell r="B75">
            <v>127199</v>
          </cell>
        </row>
        <row r="76">
          <cell r="B76">
            <v>128101</v>
          </cell>
        </row>
        <row r="77">
          <cell r="B77">
            <v>129951</v>
          </cell>
        </row>
        <row r="78">
          <cell r="B78">
            <v>131101</v>
          </cell>
        </row>
        <row r="79">
          <cell r="B79">
            <v>132101</v>
          </cell>
        </row>
        <row r="80">
          <cell r="B80">
            <v>132102</v>
          </cell>
        </row>
        <row r="81">
          <cell r="B81">
            <v>133101</v>
          </cell>
        </row>
        <row r="82">
          <cell r="B82">
            <v>133102</v>
          </cell>
        </row>
        <row r="83">
          <cell r="B83">
            <v>135101</v>
          </cell>
        </row>
        <row r="84">
          <cell r="B84">
            <v>136101</v>
          </cell>
        </row>
        <row r="85">
          <cell r="B85">
            <v>136102</v>
          </cell>
        </row>
        <row r="86">
          <cell r="B86">
            <v>136103</v>
          </cell>
        </row>
        <row r="87">
          <cell r="B87">
            <v>136104</v>
          </cell>
        </row>
        <row r="88">
          <cell r="B88">
            <v>136201</v>
          </cell>
        </row>
        <row r="89">
          <cell r="B89">
            <v>136301</v>
          </cell>
        </row>
        <row r="90">
          <cell r="B90">
            <v>136302</v>
          </cell>
        </row>
        <row r="91">
          <cell r="B91">
            <v>136303</v>
          </cell>
        </row>
        <row r="92">
          <cell r="B92">
            <v>136304</v>
          </cell>
        </row>
        <row r="93">
          <cell r="B93">
            <v>136309</v>
          </cell>
        </row>
        <row r="94">
          <cell r="B94">
            <v>136899</v>
          </cell>
        </row>
        <row r="95">
          <cell r="B95">
            <v>137911</v>
          </cell>
        </row>
        <row r="96">
          <cell r="B96">
            <v>139199</v>
          </cell>
        </row>
        <row r="97">
          <cell r="B97">
            <v>139951</v>
          </cell>
        </row>
        <row r="98">
          <cell r="B98">
            <v>150101</v>
          </cell>
        </row>
        <row r="99">
          <cell r="B99">
            <v>150102</v>
          </cell>
        </row>
        <row r="100">
          <cell r="B100">
            <v>150103</v>
          </cell>
        </row>
        <row r="101">
          <cell r="B101">
            <v>150104</v>
          </cell>
        </row>
        <row r="102">
          <cell r="B102">
            <v>150105</v>
          </cell>
        </row>
        <row r="103">
          <cell r="B103">
            <v>150106</v>
          </cell>
        </row>
        <row r="104">
          <cell r="B104">
            <v>150107</v>
          </cell>
        </row>
        <row r="105">
          <cell r="B105">
            <v>150201</v>
          </cell>
        </row>
        <row r="106">
          <cell r="B106">
            <v>150202</v>
          </cell>
        </row>
        <row r="107">
          <cell r="B107">
            <v>150203</v>
          </cell>
        </row>
        <row r="108">
          <cell r="B108">
            <v>150204</v>
          </cell>
        </row>
        <row r="109">
          <cell r="B109">
            <v>150205</v>
          </cell>
        </row>
        <row r="110">
          <cell r="B110">
            <v>150206</v>
          </cell>
        </row>
        <row r="111">
          <cell r="B111">
            <v>150207</v>
          </cell>
        </row>
        <row r="112">
          <cell r="B112">
            <v>150301</v>
          </cell>
        </row>
        <row r="113">
          <cell r="B113">
            <v>150302</v>
          </cell>
        </row>
        <row r="114">
          <cell r="B114">
            <v>150303</v>
          </cell>
        </row>
        <row r="115">
          <cell r="B115">
            <v>150304</v>
          </cell>
        </row>
        <row r="116">
          <cell r="B116">
            <v>150305</v>
          </cell>
        </row>
        <row r="117">
          <cell r="B117">
            <v>150306</v>
          </cell>
        </row>
        <row r="118">
          <cell r="B118">
            <v>150307</v>
          </cell>
        </row>
        <row r="119">
          <cell r="B119">
            <v>150911</v>
          </cell>
        </row>
        <row r="120">
          <cell r="B120">
            <v>151101</v>
          </cell>
        </row>
        <row r="121">
          <cell r="B121">
            <v>151201</v>
          </cell>
        </row>
        <row r="122">
          <cell r="B122">
            <v>151202</v>
          </cell>
        </row>
        <row r="123">
          <cell r="B123">
            <v>151203</v>
          </cell>
        </row>
        <row r="124">
          <cell r="B124">
            <v>151204</v>
          </cell>
        </row>
        <row r="125">
          <cell r="B125">
            <v>151991</v>
          </cell>
        </row>
        <row r="126">
          <cell r="B126">
            <v>152101</v>
          </cell>
        </row>
        <row r="127">
          <cell r="B127">
            <v>152102</v>
          </cell>
        </row>
        <row r="128">
          <cell r="B128">
            <v>152103</v>
          </cell>
        </row>
        <row r="129">
          <cell r="B129">
            <v>152104</v>
          </cell>
        </row>
        <row r="130">
          <cell r="B130">
            <v>152991</v>
          </cell>
        </row>
        <row r="131">
          <cell r="B131">
            <v>153101</v>
          </cell>
        </row>
        <row r="132">
          <cell r="B132">
            <v>153201</v>
          </cell>
        </row>
        <row r="133">
          <cell r="B133">
            <v>157101</v>
          </cell>
        </row>
        <row r="134">
          <cell r="B134">
            <v>157102</v>
          </cell>
        </row>
        <row r="135">
          <cell r="B135">
            <v>157103</v>
          </cell>
        </row>
        <row r="136">
          <cell r="B136">
            <v>157104</v>
          </cell>
        </row>
        <row r="137">
          <cell r="B137">
            <v>157201</v>
          </cell>
        </row>
        <row r="138">
          <cell r="B138">
            <v>157202</v>
          </cell>
        </row>
        <row r="139">
          <cell r="B139">
            <v>157203</v>
          </cell>
        </row>
        <row r="140">
          <cell r="B140">
            <v>157204</v>
          </cell>
        </row>
        <row r="141">
          <cell r="B141">
            <v>157301</v>
          </cell>
        </row>
        <row r="142">
          <cell r="B142">
            <v>157401</v>
          </cell>
        </row>
        <row r="143">
          <cell r="B143">
            <v>157951</v>
          </cell>
        </row>
        <row r="144">
          <cell r="B144">
            <v>159101</v>
          </cell>
        </row>
        <row r="145">
          <cell r="B145">
            <v>180101</v>
          </cell>
        </row>
        <row r="146">
          <cell r="B146">
            <v>181101</v>
          </cell>
        </row>
        <row r="147">
          <cell r="B147">
            <v>181102</v>
          </cell>
        </row>
        <row r="148">
          <cell r="B148">
            <v>181103</v>
          </cell>
        </row>
        <row r="149">
          <cell r="B149">
            <v>181104</v>
          </cell>
        </row>
        <row r="150">
          <cell r="B150">
            <v>181199</v>
          </cell>
        </row>
        <row r="151">
          <cell r="B151">
            <v>190101</v>
          </cell>
        </row>
        <row r="152">
          <cell r="B152">
            <v>191101</v>
          </cell>
        </row>
        <row r="153">
          <cell r="B153">
            <v>191102</v>
          </cell>
        </row>
        <row r="154">
          <cell r="B154">
            <v>191103</v>
          </cell>
        </row>
        <row r="155">
          <cell r="B155">
            <v>192101</v>
          </cell>
        </row>
        <row r="156">
          <cell r="B156">
            <v>192102</v>
          </cell>
        </row>
        <row r="157">
          <cell r="B157">
            <v>192103</v>
          </cell>
        </row>
        <row r="158">
          <cell r="B158">
            <v>193101</v>
          </cell>
        </row>
        <row r="159">
          <cell r="B159">
            <v>193201</v>
          </cell>
        </row>
        <row r="160">
          <cell r="B160">
            <v>193301</v>
          </cell>
        </row>
        <row r="161">
          <cell r="B161">
            <v>195101</v>
          </cell>
        </row>
        <row r="162">
          <cell r="B162">
            <v>195102</v>
          </cell>
        </row>
        <row r="163">
          <cell r="B163">
            <v>195103</v>
          </cell>
        </row>
        <row r="164">
          <cell r="B164">
            <v>195201</v>
          </cell>
        </row>
        <row r="165">
          <cell r="B165">
            <v>195202</v>
          </cell>
        </row>
        <row r="166">
          <cell r="B166">
            <v>195899</v>
          </cell>
        </row>
        <row r="167">
          <cell r="B167">
            <v>196101</v>
          </cell>
        </row>
        <row r="168">
          <cell r="B168">
            <v>196102</v>
          </cell>
        </row>
        <row r="169">
          <cell r="B169">
            <v>196103</v>
          </cell>
        </row>
        <row r="170">
          <cell r="B170">
            <v>196199</v>
          </cell>
        </row>
        <row r="171">
          <cell r="B171">
            <v>197101</v>
          </cell>
        </row>
        <row r="172">
          <cell r="B172">
            <v>197102</v>
          </cell>
        </row>
        <row r="173">
          <cell r="B173">
            <v>198101</v>
          </cell>
        </row>
        <row r="174">
          <cell r="B174">
            <v>198199</v>
          </cell>
        </row>
        <row r="175">
          <cell r="B175">
            <v>199951</v>
          </cell>
        </row>
        <row r="176">
          <cell r="B176">
            <v>220101</v>
          </cell>
        </row>
        <row r="177">
          <cell r="B177">
            <v>220201</v>
          </cell>
        </row>
        <row r="178">
          <cell r="B178">
            <v>220301</v>
          </cell>
        </row>
        <row r="179">
          <cell r="B179">
            <v>220302</v>
          </cell>
        </row>
        <row r="180">
          <cell r="B180">
            <v>220303</v>
          </cell>
        </row>
        <row r="181">
          <cell r="B181">
            <v>221101</v>
          </cell>
        </row>
        <row r="182">
          <cell r="B182">
            <v>222911</v>
          </cell>
        </row>
        <row r="183">
          <cell r="B183">
            <v>226101</v>
          </cell>
        </row>
        <row r="184">
          <cell r="B184">
            <v>226199</v>
          </cell>
        </row>
        <row r="185">
          <cell r="B185">
            <v>229951</v>
          </cell>
        </row>
        <row r="186">
          <cell r="B186">
            <v>231101</v>
          </cell>
        </row>
        <row r="187">
          <cell r="B187">
            <v>232101</v>
          </cell>
        </row>
        <row r="188">
          <cell r="B188">
            <v>232102</v>
          </cell>
        </row>
        <row r="189">
          <cell r="B189">
            <v>233101</v>
          </cell>
        </row>
        <row r="190">
          <cell r="B190">
            <v>233102</v>
          </cell>
        </row>
        <row r="191">
          <cell r="B191">
            <v>235101</v>
          </cell>
        </row>
        <row r="192">
          <cell r="B192">
            <v>236199</v>
          </cell>
        </row>
        <row r="193">
          <cell r="B193">
            <v>237911</v>
          </cell>
        </row>
        <row r="194">
          <cell r="B194">
            <v>239951</v>
          </cell>
        </row>
        <row r="195">
          <cell r="B195">
            <v>240101</v>
          </cell>
        </row>
        <row r="196">
          <cell r="B196">
            <v>240109</v>
          </cell>
        </row>
        <row r="197">
          <cell r="B197">
            <v>240201</v>
          </cell>
        </row>
        <row r="198">
          <cell r="B198">
            <v>240202</v>
          </cell>
        </row>
        <row r="199">
          <cell r="B199">
            <v>240203</v>
          </cell>
        </row>
        <row r="200">
          <cell r="B200">
            <v>240209</v>
          </cell>
        </row>
        <row r="201">
          <cell r="B201">
            <v>240301</v>
          </cell>
        </row>
        <row r="202">
          <cell r="B202">
            <v>240302</v>
          </cell>
        </row>
        <row r="203">
          <cell r="B203">
            <v>240303</v>
          </cell>
        </row>
        <row r="204">
          <cell r="B204">
            <v>240309</v>
          </cell>
        </row>
        <row r="205">
          <cell r="B205">
            <v>240921</v>
          </cell>
        </row>
        <row r="206">
          <cell r="B206">
            <v>240931</v>
          </cell>
        </row>
        <row r="207">
          <cell r="B207">
            <v>240932</v>
          </cell>
        </row>
        <row r="208">
          <cell r="B208">
            <v>240933</v>
          </cell>
        </row>
        <row r="209">
          <cell r="B209">
            <v>240941</v>
          </cell>
        </row>
        <row r="210">
          <cell r="B210">
            <v>240942</v>
          </cell>
        </row>
        <row r="211">
          <cell r="B211">
            <v>240943</v>
          </cell>
        </row>
        <row r="212">
          <cell r="B212">
            <v>241951</v>
          </cell>
        </row>
        <row r="213">
          <cell r="B213">
            <v>242101</v>
          </cell>
        </row>
        <row r="214">
          <cell r="B214">
            <v>242202</v>
          </cell>
        </row>
        <row r="215">
          <cell r="B215">
            <v>242301</v>
          </cell>
        </row>
        <row r="216">
          <cell r="B216">
            <v>242401</v>
          </cell>
        </row>
        <row r="217">
          <cell r="B217">
            <v>242922</v>
          </cell>
        </row>
        <row r="218">
          <cell r="B218">
            <v>243101</v>
          </cell>
        </row>
        <row r="219">
          <cell r="B219">
            <v>243201</v>
          </cell>
        </row>
        <row r="220">
          <cell r="B220">
            <v>244951</v>
          </cell>
        </row>
        <row r="221">
          <cell r="B221">
            <v>245101</v>
          </cell>
        </row>
        <row r="222">
          <cell r="B222">
            <v>245201</v>
          </cell>
        </row>
        <row r="223">
          <cell r="B223">
            <v>245301</v>
          </cell>
        </row>
        <row r="224">
          <cell r="B224">
            <v>245401</v>
          </cell>
        </row>
        <row r="225">
          <cell r="B225">
            <v>245923</v>
          </cell>
        </row>
        <row r="226">
          <cell r="B226">
            <v>246101</v>
          </cell>
        </row>
        <row r="227">
          <cell r="B227">
            <v>246201</v>
          </cell>
        </row>
        <row r="228">
          <cell r="B228">
            <v>247951</v>
          </cell>
        </row>
        <row r="229">
          <cell r="B229">
            <v>248199</v>
          </cell>
        </row>
        <row r="230">
          <cell r="B230">
            <v>249951</v>
          </cell>
        </row>
        <row r="231">
          <cell r="B231">
            <v>250101</v>
          </cell>
        </row>
        <row r="232">
          <cell r="B232">
            <v>250102</v>
          </cell>
        </row>
        <row r="233">
          <cell r="B233">
            <v>250971</v>
          </cell>
        </row>
        <row r="234">
          <cell r="B234">
            <v>251101</v>
          </cell>
        </row>
        <row r="235">
          <cell r="B235">
            <v>251971</v>
          </cell>
        </row>
        <row r="236">
          <cell r="B236">
            <v>252101</v>
          </cell>
        </row>
        <row r="237">
          <cell r="B237">
            <v>252102</v>
          </cell>
        </row>
        <row r="238">
          <cell r="B238">
            <v>252103</v>
          </cell>
        </row>
        <row r="239">
          <cell r="B239">
            <v>252104</v>
          </cell>
        </row>
        <row r="240">
          <cell r="B240">
            <v>252105</v>
          </cell>
        </row>
        <row r="241">
          <cell r="B241">
            <v>252199</v>
          </cell>
        </row>
        <row r="242">
          <cell r="B242">
            <v>252971</v>
          </cell>
        </row>
        <row r="243">
          <cell r="B243">
            <v>253101</v>
          </cell>
        </row>
        <row r="244">
          <cell r="B244">
            <v>253102</v>
          </cell>
        </row>
        <row r="245">
          <cell r="B245">
            <v>253103</v>
          </cell>
        </row>
        <row r="246">
          <cell r="B246">
            <v>253104</v>
          </cell>
        </row>
        <row r="247">
          <cell r="B247">
            <v>253105</v>
          </cell>
        </row>
        <row r="248">
          <cell r="B248">
            <v>253106</v>
          </cell>
        </row>
        <row r="249">
          <cell r="B249">
            <v>253199</v>
          </cell>
        </row>
        <row r="250">
          <cell r="B250">
            <v>253201</v>
          </cell>
        </row>
        <row r="251">
          <cell r="B251">
            <v>253202</v>
          </cell>
        </row>
        <row r="252">
          <cell r="B252">
            <v>253203</v>
          </cell>
        </row>
        <row r="253">
          <cell r="B253">
            <v>253204</v>
          </cell>
        </row>
        <row r="254">
          <cell r="B254">
            <v>253205</v>
          </cell>
        </row>
        <row r="255">
          <cell r="B255">
            <v>253206</v>
          </cell>
        </row>
        <row r="256">
          <cell r="B256">
            <v>253207</v>
          </cell>
        </row>
        <row r="257">
          <cell r="B257">
            <v>253208</v>
          </cell>
        </row>
        <row r="258">
          <cell r="B258">
            <v>253299</v>
          </cell>
        </row>
        <row r="259">
          <cell r="B259">
            <v>253301</v>
          </cell>
        </row>
        <row r="260">
          <cell r="B260">
            <v>253302</v>
          </cell>
        </row>
        <row r="261">
          <cell r="B261">
            <v>253303</v>
          </cell>
        </row>
        <row r="262">
          <cell r="B262">
            <v>253304</v>
          </cell>
        </row>
        <row r="263">
          <cell r="B263">
            <v>253305</v>
          </cell>
        </row>
        <row r="264">
          <cell r="B264">
            <v>253399</v>
          </cell>
        </row>
        <row r="265">
          <cell r="B265">
            <v>253401</v>
          </cell>
        </row>
        <row r="266">
          <cell r="B266">
            <v>253402</v>
          </cell>
        </row>
        <row r="267">
          <cell r="B267">
            <v>253403</v>
          </cell>
        </row>
        <row r="268">
          <cell r="B268">
            <v>253404</v>
          </cell>
        </row>
        <row r="269">
          <cell r="B269">
            <v>253971</v>
          </cell>
        </row>
        <row r="270">
          <cell r="B270">
            <v>254101</v>
          </cell>
        </row>
        <row r="271">
          <cell r="B271">
            <v>254102</v>
          </cell>
        </row>
        <row r="272">
          <cell r="B272">
            <v>254103</v>
          </cell>
        </row>
        <row r="273">
          <cell r="B273">
            <v>254971</v>
          </cell>
        </row>
        <row r="274">
          <cell r="B274">
            <v>255101</v>
          </cell>
        </row>
        <row r="275">
          <cell r="B275">
            <v>255102</v>
          </cell>
        </row>
        <row r="276">
          <cell r="B276">
            <v>255103</v>
          </cell>
        </row>
        <row r="277">
          <cell r="B277">
            <v>255971</v>
          </cell>
        </row>
        <row r="278">
          <cell r="B278">
            <v>256101</v>
          </cell>
        </row>
        <row r="279">
          <cell r="B279">
            <v>256102</v>
          </cell>
        </row>
        <row r="280">
          <cell r="B280">
            <v>256103</v>
          </cell>
        </row>
        <row r="281">
          <cell r="B281">
            <v>256971</v>
          </cell>
        </row>
        <row r="282">
          <cell r="B282">
            <v>257101</v>
          </cell>
        </row>
        <row r="283">
          <cell r="B283">
            <v>257102</v>
          </cell>
        </row>
        <row r="284">
          <cell r="B284">
            <v>257103</v>
          </cell>
        </row>
        <row r="285">
          <cell r="B285">
            <v>257104</v>
          </cell>
        </row>
        <row r="286">
          <cell r="B286">
            <v>257105</v>
          </cell>
        </row>
        <row r="287">
          <cell r="B287">
            <v>257106</v>
          </cell>
        </row>
        <row r="288">
          <cell r="B288">
            <v>257107</v>
          </cell>
        </row>
        <row r="289">
          <cell r="B289">
            <v>257199</v>
          </cell>
        </row>
        <row r="290">
          <cell r="B290">
            <v>257201</v>
          </cell>
        </row>
        <row r="291">
          <cell r="B291">
            <v>257202</v>
          </cell>
        </row>
        <row r="292">
          <cell r="B292">
            <v>257203</v>
          </cell>
        </row>
        <row r="293">
          <cell r="B293">
            <v>257204</v>
          </cell>
        </row>
        <row r="294">
          <cell r="B294">
            <v>257205</v>
          </cell>
        </row>
        <row r="295">
          <cell r="B295">
            <v>257206</v>
          </cell>
        </row>
        <row r="296">
          <cell r="B296">
            <v>257299</v>
          </cell>
        </row>
        <row r="297">
          <cell r="B297">
            <v>257301</v>
          </cell>
        </row>
        <row r="298">
          <cell r="B298">
            <v>257302</v>
          </cell>
        </row>
        <row r="299">
          <cell r="B299">
            <v>257303</v>
          </cell>
        </row>
        <row r="300">
          <cell r="B300">
            <v>257304</v>
          </cell>
        </row>
        <row r="301">
          <cell r="B301">
            <v>257305</v>
          </cell>
        </row>
        <row r="302">
          <cell r="B302">
            <v>257306</v>
          </cell>
        </row>
        <row r="303">
          <cell r="B303">
            <v>257307</v>
          </cell>
        </row>
        <row r="304">
          <cell r="B304">
            <v>257308</v>
          </cell>
        </row>
        <row r="305">
          <cell r="B305">
            <v>257399</v>
          </cell>
        </row>
        <row r="306">
          <cell r="B306">
            <v>257401</v>
          </cell>
        </row>
        <row r="307">
          <cell r="B307">
            <v>257402</v>
          </cell>
        </row>
        <row r="308">
          <cell r="B308">
            <v>257403</v>
          </cell>
        </row>
        <row r="309">
          <cell r="B309">
            <v>257404</v>
          </cell>
        </row>
        <row r="310">
          <cell r="B310">
            <v>257405</v>
          </cell>
        </row>
        <row r="311">
          <cell r="B311">
            <v>257499</v>
          </cell>
        </row>
        <row r="312">
          <cell r="B312">
            <v>257501</v>
          </cell>
        </row>
        <row r="313">
          <cell r="B313">
            <v>257502</v>
          </cell>
        </row>
        <row r="314">
          <cell r="B314">
            <v>257503</v>
          </cell>
        </row>
        <row r="315">
          <cell r="B315">
            <v>257601</v>
          </cell>
        </row>
        <row r="316">
          <cell r="B316">
            <v>257602</v>
          </cell>
        </row>
        <row r="317">
          <cell r="B317">
            <v>257603</v>
          </cell>
        </row>
        <row r="318">
          <cell r="B318">
            <v>257604</v>
          </cell>
        </row>
        <row r="319">
          <cell r="B319">
            <v>257701</v>
          </cell>
        </row>
        <row r="320">
          <cell r="B320">
            <v>257702</v>
          </cell>
        </row>
        <row r="321">
          <cell r="B321">
            <v>257703</v>
          </cell>
        </row>
        <row r="322">
          <cell r="B322">
            <v>257801</v>
          </cell>
        </row>
        <row r="323">
          <cell r="B323">
            <v>257802</v>
          </cell>
        </row>
        <row r="324">
          <cell r="B324">
            <v>257803</v>
          </cell>
        </row>
        <row r="325">
          <cell r="B325">
            <v>257961</v>
          </cell>
        </row>
        <row r="326">
          <cell r="B326">
            <v>257962</v>
          </cell>
        </row>
        <row r="327">
          <cell r="B327">
            <v>257963</v>
          </cell>
        </row>
        <row r="328">
          <cell r="B328">
            <v>257964</v>
          </cell>
        </row>
        <row r="329">
          <cell r="B329">
            <v>257971</v>
          </cell>
        </row>
        <row r="330">
          <cell r="B330">
            <v>258101</v>
          </cell>
        </row>
        <row r="331">
          <cell r="B331">
            <v>258102</v>
          </cell>
        </row>
        <row r="332">
          <cell r="B332">
            <v>258201</v>
          </cell>
        </row>
        <row r="333">
          <cell r="B333">
            <v>258202</v>
          </cell>
        </row>
        <row r="334">
          <cell r="B334">
            <v>258301</v>
          </cell>
        </row>
        <row r="335">
          <cell r="B335">
            <v>258302</v>
          </cell>
        </row>
        <row r="336">
          <cell r="B336">
            <v>258303</v>
          </cell>
        </row>
        <row r="337">
          <cell r="B337">
            <v>258304</v>
          </cell>
        </row>
        <row r="338">
          <cell r="B338">
            <v>258305</v>
          </cell>
        </row>
        <row r="339">
          <cell r="B339">
            <v>258306</v>
          </cell>
        </row>
        <row r="340">
          <cell r="B340">
            <v>258307</v>
          </cell>
        </row>
        <row r="341">
          <cell r="B341">
            <v>258308</v>
          </cell>
        </row>
        <row r="342">
          <cell r="B342">
            <v>258399</v>
          </cell>
        </row>
        <row r="343">
          <cell r="B343">
            <v>258401</v>
          </cell>
        </row>
        <row r="344">
          <cell r="B344">
            <v>258402</v>
          </cell>
        </row>
        <row r="345">
          <cell r="B345">
            <v>258403</v>
          </cell>
        </row>
        <row r="346">
          <cell r="B346">
            <v>258404</v>
          </cell>
        </row>
        <row r="347">
          <cell r="B347">
            <v>258405</v>
          </cell>
        </row>
        <row r="348">
          <cell r="B348">
            <v>258406</v>
          </cell>
        </row>
        <row r="349">
          <cell r="B349">
            <v>258407</v>
          </cell>
        </row>
        <row r="350">
          <cell r="B350">
            <v>258408</v>
          </cell>
        </row>
        <row r="351">
          <cell r="B351">
            <v>258501</v>
          </cell>
        </row>
        <row r="352">
          <cell r="B352">
            <v>258502</v>
          </cell>
        </row>
        <row r="353">
          <cell r="B353">
            <v>258503</v>
          </cell>
        </row>
        <row r="354">
          <cell r="B354">
            <v>258504</v>
          </cell>
        </row>
        <row r="355">
          <cell r="B355">
            <v>258505</v>
          </cell>
        </row>
        <row r="356">
          <cell r="B356">
            <v>258506</v>
          </cell>
        </row>
        <row r="357">
          <cell r="B357">
            <v>258507</v>
          </cell>
        </row>
        <row r="358">
          <cell r="B358">
            <v>258508</v>
          </cell>
        </row>
        <row r="359">
          <cell r="B359">
            <v>259101</v>
          </cell>
        </row>
        <row r="360">
          <cell r="B360">
            <v>259102</v>
          </cell>
        </row>
        <row r="361">
          <cell r="B361">
            <v>260101</v>
          </cell>
        </row>
        <row r="362">
          <cell r="B362">
            <v>260102</v>
          </cell>
        </row>
        <row r="363">
          <cell r="B363">
            <v>260103</v>
          </cell>
        </row>
        <row r="364">
          <cell r="B364">
            <v>260104</v>
          </cell>
        </row>
        <row r="365">
          <cell r="B365">
            <v>260199</v>
          </cell>
        </row>
        <row r="366">
          <cell r="B366">
            <v>261101</v>
          </cell>
        </row>
        <row r="367">
          <cell r="B367">
            <v>262101</v>
          </cell>
        </row>
        <row r="368">
          <cell r="B368">
            <v>263101</v>
          </cell>
        </row>
        <row r="369">
          <cell r="B369">
            <v>264101</v>
          </cell>
        </row>
        <row r="370">
          <cell r="B370">
            <v>267101</v>
          </cell>
        </row>
        <row r="371">
          <cell r="B371">
            <v>268101</v>
          </cell>
        </row>
        <row r="372">
          <cell r="B372">
            <v>268102</v>
          </cell>
        </row>
        <row r="373">
          <cell r="B373">
            <v>268103</v>
          </cell>
        </row>
        <row r="374">
          <cell r="B374">
            <v>268104</v>
          </cell>
        </row>
        <row r="375">
          <cell r="B375">
            <v>268199</v>
          </cell>
        </row>
        <row r="376">
          <cell r="B376">
            <v>268201</v>
          </cell>
        </row>
        <row r="377">
          <cell r="B377">
            <v>268301</v>
          </cell>
        </row>
        <row r="378">
          <cell r="B378">
            <v>268401</v>
          </cell>
        </row>
        <row r="379">
          <cell r="B379">
            <v>268501</v>
          </cell>
        </row>
        <row r="380">
          <cell r="B380">
            <v>268799</v>
          </cell>
        </row>
        <row r="381">
          <cell r="B381">
            <v>268961</v>
          </cell>
        </row>
        <row r="382">
          <cell r="B382">
            <v>269101</v>
          </cell>
        </row>
        <row r="383">
          <cell r="B383">
            <v>271101</v>
          </cell>
        </row>
        <row r="384">
          <cell r="B384">
            <v>272101</v>
          </cell>
        </row>
        <row r="385">
          <cell r="B385">
            <v>277199</v>
          </cell>
        </row>
        <row r="386">
          <cell r="B386">
            <v>278101</v>
          </cell>
        </row>
        <row r="387">
          <cell r="B387">
            <v>279101</v>
          </cell>
        </row>
        <row r="388">
          <cell r="B388">
            <v>280101</v>
          </cell>
        </row>
        <row r="389">
          <cell r="B389">
            <v>281101</v>
          </cell>
        </row>
        <row r="390">
          <cell r="B390">
            <v>291101</v>
          </cell>
        </row>
        <row r="391">
          <cell r="B391">
            <v>292101</v>
          </cell>
        </row>
        <row r="392">
          <cell r="B392">
            <v>293101</v>
          </cell>
        </row>
        <row r="393">
          <cell r="B393">
            <v>294101</v>
          </cell>
        </row>
        <row r="394">
          <cell r="B394">
            <v>294971</v>
          </cell>
        </row>
        <row r="395">
          <cell r="B395">
            <v>295101</v>
          </cell>
        </row>
        <row r="396">
          <cell r="B396">
            <v>297101</v>
          </cell>
        </row>
        <row r="397">
          <cell r="B397">
            <v>298951</v>
          </cell>
        </row>
        <row r="398">
          <cell r="B398">
            <v>299101</v>
          </cell>
        </row>
        <row r="399">
          <cell r="B399">
            <v>299961</v>
          </cell>
        </row>
        <row r="400">
          <cell r="B400">
            <v>299971</v>
          </cell>
        </row>
        <row r="402">
          <cell r="B402" t="str">
            <v>PASİF HESAPLAR</v>
          </cell>
        </row>
        <row r="403">
          <cell r="B403" t="str">
            <v>HESAP KODLARI</v>
          </cell>
        </row>
        <row r="407">
          <cell r="B407">
            <v>300101</v>
          </cell>
        </row>
        <row r="408">
          <cell r="B408">
            <v>300102</v>
          </cell>
        </row>
        <row r="409">
          <cell r="B409">
            <v>300103</v>
          </cell>
        </row>
        <row r="410">
          <cell r="B410">
            <v>300104</v>
          </cell>
        </row>
        <row r="411">
          <cell r="B411">
            <v>300105</v>
          </cell>
        </row>
        <row r="412">
          <cell r="B412">
            <v>300106</v>
          </cell>
        </row>
        <row r="413">
          <cell r="B413">
            <v>300107</v>
          </cell>
        </row>
        <row r="414">
          <cell r="B414">
            <v>300108</v>
          </cell>
        </row>
        <row r="415">
          <cell r="B415">
            <v>300109</v>
          </cell>
        </row>
        <row r="416">
          <cell r="B416">
            <v>300110</v>
          </cell>
        </row>
        <row r="417">
          <cell r="B417">
            <v>300111</v>
          </cell>
        </row>
        <row r="418">
          <cell r="B418">
            <v>300199</v>
          </cell>
        </row>
        <row r="419">
          <cell r="B419">
            <v>300201</v>
          </cell>
        </row>
        <row r="420">
          <cell r="B420">
            <v>300202</v>
          </cell>
        </row>
        <row r="421">
          <cell r="B421">
            <v>300203</v>
          </cell>
        </row>
        <row r="422">
          <cell r="B422">
            <v>300204</v>
          </cell>
        </row>
        <row r="423">
          <cell r="B423">
            <v>300205</v>
          </cell>
        </row>
        <row r="424">
          <cell r="B424">
            <v>300206</v>
          </cell>
        </row>
        <row r="425">
          <cell r="B425">
            <v>300207</v>
          </cell>
        </row>
        <row r="426">
          <cell r="B426">
            <v>300208</v>
          </cell>
        </row>
        <row r="427">
          <cell r="B427">
            <v>300209</v>
          </cell>
        </row>
        <row r="428">
          <cell r="B428">
            <v>300210</v>
          </cell>
        </row>
        <row r="429">
          <cell r="B429">
            <v>300211</v>
          </cell>
        </row>
        <row r="430">
          <cell r="B430">
            <v>300299</v>
          </cell>
        </row>
        <row r="431">
          <cell r="B431">
            <v>303101</v>
          </cell>
        </row>
        <row r="432">
          <cell r="B432">
            <v>303102</v>
          </cell>
        </row>
        <row r="433">
          <cell r="B433">
            <v>303103</v>
          </cell>
        </row>
        <row r="434">
          <cell r="B434">
            <v>303104</v>
          </cell>
        </row>
        <row r="435">
          <cell r="B435">
            <v>303105</v>
          </cell>
        </row>
        <row r="436">
          <cell r="B436">
            <v>303201</v>
          </cell>
        </row>
        <row r="437">
          <cell r="B437">
            <v>303202</v>
          </cell>
        </row>
        <row r="438">
          <cell r="B438">
            <v>303203</v>
          </cell>
        </row>
        <row r="439">
          <cell r="B439">
            <v>303204</v>
          </cell>
        </row>
        <row r="440">
          <cell r="B440">
            <v>303205</v>
          </cell>
        </row>
        <row r="441">
          <cell r="B441">
            <v>304101</v>
          </cell>
        </row>
        <row r="442">
          <cell r="B442">
            <v>304201</v>
          </cell>
        </row>
        <row r="443">
          <cell r="B443">
            <v>305101</v>
          </cell>
        </row>
        <row r="444">
          <cell r="B444">
            <v>306101</v>
          </cell>
        </row>
        <row r="445">
          <cell r="B445">
            <v>306102</v>
          </cell>
        </row>
        <row r="446">
          <cell r="B446">
            <v>306199</v>
          </cell>
        </row>
        <row r="447">
          <cell r="B447">
            <v>308101</v>
          </cell>
        </row>
        <row r="448">
          <cell r="B448">
            <v>308102</v>
          </cell>
        </row>
        <row r="449">
          <cell r="B449">
            <v>308103</v>
          </cell>
        </row>
        <row r="450">
          <cell r="B450">
            <v>308104</v>
          </cell>
        </row>
        <row r="451">
          <cell r="B451">
            <v>308199</v>
          </cell>
        </row>
        <row r="452">
          <cell r="B452">
            <v>309199</v>
          </cell>
        </row>
        <row r="453">
          <cell r="B453">
            <v>320101</v>
          </cell>
        </row>
        <row r="454">
          <cell r="B454">
            <v>320102</v>
          </cell>
        </row>
        <row r="455">
          <cell r="B455">
            <v>320103</v>
          </cell>
        </row>
        <row r="456">
          <cell r="B456">
            <v>320201</v>
          </cell>
        </row>
        <row r="457">
          <cell r="B457">
            <v>320202</v>
          </cell>
        </row>
        <row r="458">
          <cell r="B458">
            <v>320203</v>
          </cell>
        </row>
        <row r="459">
          <cell r="B459">
            <v>320301</v>
          </cell>
        </row>
        <row r="460">
          <cell r="B460">
            <v>320401</v>
          </cell>
        </row>
        <row r="461">
          <cell r="B461">
            <v>320402</v>
          </cell>
        </row>
        <row r="462">
          <cell r="B462">
            <v>320501</v>
          </cell>
        </row>
        <row r="463">
          <cell r="B463">
            <v>321101</v>
          </cell>
        </row>
        <row r="464">
          <cell r="B464">
            <v>322951</v>
          </cell>
        </row>
        <row r="465">
          <cell r="B465">
            <v>326101</v>
          </cell>
        </row>
        <row r="466">
          <cell r="B466">
            <v>326102</v>
          </cell>
        </row>
        <row r="467">
          <cell r="B467">
            <v>329199</v>
          </cell>
        </row>
        <row r="468">
          <cell r="B468">
            <v>331101</v>
          </cell>
        </row>
        <row r="469">
          <cell r="B469">
            <v>331201</v>
          </cell>
        </row>
        <row r="470">
          <cell r="B470">
            <v>332101</v>
          </cell>
        </row>
        <row r="471">
          <cell r="B471">
            <v>333101</v>
          </cell>
        </row>
        <row r="472">
          <cell r="B472">
            <v>335101</v>
          </cell>
        </row>
        <row r="473">
          <cell r="B473">
            <v>335102</v>
          </cell>
        </row>
        <row r="474">
          <cell r="B474">
            <v>335103</v>
          </cell>
        </row>
        <row r="475">
          <cell r="B475">
            <v>335104</v>
          </cell>
        </row>
        <row r="476">
          <cell r="B476">
            <v>335105</v>
          </cell>
        </row>
        <row r="477">
          <cell r="B477">
            <v>335106</v>
          </cell>
        </row>
        <row r="478">
          <cell r="B478">
            <v>335107</v>
          </cell>
        </row>
        <row r="479">
          <cell r="B479">
            <v>335108</v>
          </cell>
        </row>
        <row r="480">
          <cell r="B480">
            <v>335199</v>
          </cell>
        </row>
        <row r="481">
          <cell r="B481">
            <v>336101</v>
          </cell>
        </row>
        <row r="482">
          <cell r="B482">
            <v>336199</v>
          </cell>
        </row>
        <row r="483">
          <cell r="B483">
            <v>337911</v>
          </cell>
        </row>
        <row r="484">
          <cell r="B484">
            <v>340101</v>
          </cell>
        </row>
        <row r="485">
          <cell r="B485">
            <v>340201</v>
          </cell>
        </row>
        <row r="486">
          <cell r="B486">
            <v>349199</v>
          </cell>
        </row>
        <row r="487">
          <cell r="B487">
            <v>350101</v>
          </cell>
        </row>
        <row r="488">
          <cell r="B488">
            <v>360101</v>
          </cell>
        </row>
        <row r="489">
          <cell r="B489">
            <v>360201</v>
          </cell>
        </row>
        <row r="490">
          <cell r="B490">
            <v>360301</v>
          </cell>
        </row>
        <row r="491">
          <cell r="B491">
            <v>360401</v>
          </cell>
        </row>
        <row r="492">
          <cell r="B492">
            <v>360501</v>
          </cell>
        </row>
        <row r="493">
          <cell r="B493">
            <v>360502</v>
          </cell>
        </row>
        <row r="494">
          <cell r="B494">
            <v>360503</v>
          </cell>
        </row>
        <row r="495">
          <cell r="B495">
            <v>360504</v>
          </cell>
        </row>
        <row r="496">
          <cell r="B496">
            <v>360601</v>
          </cell>
        </row>
        <row r="497">
          <cell r="B497">
            <v>360701</v>
          </cell>
        </row>
        <row r="498">
          <cell r="B498">
            <v>360702</v>
          </cell>
        </row>
        <row r="499">
          <cell r="B499">
            <v>360703</v>
          </cell>
        </row>
        <row r="500">
          <cell r="B500">
            <v>360704</v>
          </cell>
        </row>
        <row r="501">
          <cell r="B501">
            <v>360801</v>
          </cell>
        </row>
        <row r="502">
          <cell r="B502">
            <v>360802</v>
          </cell>
        </row>
        <row r="503">
          <cell r="B503">
            <v>361101</v>
          </cell>
        </row>
        <row r="504">
          <cell r="B504">
            <v>361102</v>
          </cell>
        </row>
        <row r="505">
          <cell r="B505">
            <v>361103</v>
          </cell>
        </row>
        <row r="506">
          <cell r="B506">
            <v>361104</v>
          </cell>
        </row>
        <row r="507">
          <cell r="B507">
            <v>361199</v>
          </cell>
        </row>
        <row r="508">
          <cell r="B508">
            <v>368101</v>
          </cell>
        </row>
        <row r="509">
          <cell r="B509">
            <v>368102</v>
          </cell>
        </row>
        <row r="510">
          <cell r="B510">
            <v>368103</v>
          </cell>
        </row>
        <row r="511">
          <cell r="B511">
            <v>369199</v>
          </cell>
        </row>
        <row r="512">
          <cell r="B512">
            <v>370101</v>
          </cell>
        </row>
        <row r="513">
          <cell r="B513">
            <v>370201</v>
          </cell>
        </row>
        <row r="514">
          <cell r="B514">
            <v>370301</v>
          </cell>
        </row>
        <row r="515">
          <cell r="B515">
            <v>370401</v>
          </cell>
        </row>
        <row r="516">
          <cell r="B516">
            <v>371101</v>
          </cell>
        </row>
        <row r="517">
          <cell r="B517">
            <v>371201</v>
          </cell>
        </row>
        <row r="518">
          <cell r="B518">
            <v>371301</v>
          </cell>
        </row>
        <row r="519">
          <cell r="B519">
            <v>372951</v>
          </cell>
        </row>
        <row r="520">
          <cell r="B520">
            <v>373951</v>
          </cell>
        </row>
        <row r="521">
          <cell r="B521">
            <v>373952</v>
          </cell>
        </row>
        <row r="522">
          <cell r="B522">
            <v>373953</v>
          </cell>
        </row>
        <row r="523">
          <cell r="B523">
            <v>373954</v>
          </cell>
        </row>
        <row r="524">
          <cell r="B524">
            <v>373959</v>
          </cell>
        </row>
        <row r="525">
          <cell r="B525">
            <v>379101</v>
          </cell>
        </row>
        <row r="526">
          <cell r="B526">
            <v>379959</v>
          </cell>
        </row>
        <row r="527">
          <cell r="B527">
            <v>380101</v>
          </cell>
        </row>
        <row r="528">
          <cell r="B528">
            <v>380102</v>
          </cell>
        </row>
        <row r="529">
          <cell r="B529">
            <v>380103</v>
          </cell>
        </row>
        <row r="530">
          <cell r="B530">
            <v>380104</v>
          </cell>
        </row>
        <row r="531">
          <cell r="B531">
            <v>380199</v>
          </cell>
        </row>
        <row r="532">
          <cell r="B532">
            <v>381101</v>
          </cell>
        </row>
        <row r="533">
          <cell r="B533">
            <v>391101</v>
          </cell>
        </row>
        <row r="534">
          <cell r="B534">
            <v>391201</v>
          </cell>
        </row>
        <row r="535">
          <cell r="B535">
            <v>392101</v>
          </cell>
        </row>
        <row r="536">
          <cell r="B536">
            <v>392102</v>
          </cell>
        </row>
        <row r="537">
          <cell r="B537">
            <v>393101</v>
          </cell>
        </row>
        <row r="538">
          <cell r="B538">
            <v>393102</v>
          </cell>
        </row>
        <row r="539">
          <cell r="B539">
            <v>397101</v>
          </cell>
        </row>
        <row r="540">
          <cell r="B540">
            <v>397102</v>
          </cell>
        </row>
        <row r="541">
          <cell r="B541">
            <v>399101</v>
          </cell>
        </row>
        <row r="542">
          <cell r="B542">
            <v>399102</v>
          </cell>
        </row>
        <row r="543">
          <cell r="B543">
            <v>399103</v>
          </cell>
        </row>
        <row r="544">
          <cell r="B544">
            <v>399199</v>
          </cell>
        </row>
        <row r="545">
          <cell r="B545">
            <v>400101</v>
          </cell>
        </row>
        <row r="546">
          <cell r="B546">
            <v>400102</v>
          </cell>
        </row>
        <row r="547">
          <cell r="B547">
            <v>400103</v>
          </cell>
        </row>
        <row r="548">
          <cell r="B548">
            <v>400104</v>
          </cell>
        </row>
        <row r="549">
          <cell r="B549">
            <v>400105</v>
          </cell>
        </row>
        <row r="550">
          <cell r="B550">
            <v>405101</v>
          </cell>
        </row>
        <row r="551">
          <cell r="B551">
            <v>407101</v>
          </cell>
        </row>
        <row r="552">
          <cell r="B552">
            <v>407102</v>
          </cell>
        </row>
        <row r="553">
          <cell r="B553">
            <v>407199</v>
          </cell>
        </row>
        <row r="554">
          <cell r="B554">
            <v>408101</v>
          </cell>
        </row>
        <row r="555">
          <cell r="B555">
            <v>408102</v>
          </cell>
        </row>
        <row r="556">
          <cell r="B556">
            <v>408103</v>
          </cell>
        </row>
        <row r="557">
          <cell r="B557">
            <v>408199</v>
          </cell>
        </row>
        <row r="558">
          <cell r="B558">
            <v>409199</v>
          </cell>
        </row>
        <row r="559">
          <cell r="B559">
            <v>420101</v>
          </cell>
        </row>
        <row r="560">
          <cell r="B560">
            <v>420102</v>
          </cell>
        </row>
        <row r="561">
          <cell r="B561">
            <v>420103</v>
          </cell>
        </row>
        <row r="562">
          <cell r="B562">
            <v>420201</v>
          </cell>
        </row>
        <row r="563">
          <cell r="B563">
            <v>420202</v>
          </cell>
        </row>
        <row r="564">
          <cell r="B564">
            <v>421101</v>
          </cell>
        </row>
        <row r="565">
          <cell r="B565">
            <v>422911</v>
          </cell>
        </row>
        <row r="566">
          <cell r="B566">
            <v>426101</v>
          </cell>
        </row>
        <row r="567">
          <cell r="B567">
            <v>426102</v>
          </cell>
        </row>
        <row r="568">
          <cell r="B568">
            <v>429199</v>
          </cell>
        </row>
        <row r="569">
          <cell r="B569">
            <v>431101</v>
          </cell>
        </row>
        <row r="570">
          <cell r="B570">
            <v>432101</v>
          </cell>
        </row>
        <row r="571">
          <cell r="B571">
            <v>433101</v>
          </cell>
        </row>
        <row r="572">
          <cell r="B572">
            <v>436199</v>
          </cell>
        </row>
        <row r="573">
          <cell r="B573">
            <v>437911</v>
          </cell>
        </row>
        <row r="574">
          <cell r="B574">
            <v>438101</v>
          </cell>
        </row>
        <row r="575">
          <cell r="B575">
            <v>438102</v>
          </cell>
        </row>
        <row r="576">
          <cell r="B576">
            <v>438103</v>
          </cell>
        </row>
        <row r="577">
          <cell r="B577">
            <v>440101</v>
          </cell>
        </row>
        <row r="578">
          <cell r="B578">
            <v>440201</v>
          </cell>
        </row>
        <row r="579">
          <cell r="B579">
            <v>449199</v>
          </cell>
        </row>
        <row r="580">
          <cell r="B580">
            <v>472951</v>
          </cell>
        </row>
        <row r="581">
          <cell r="B581">
            <v>479959</v>
          </cell>
        </row>
        <row r="582">
          <cell r="B582">
            <v>480101</v>
          </cell>
        </row>
        <row r="583">
          <cell r="B583">
            <v>480102</v>
          </cell>
        </row>
        <row r="584">
          <cell r="B584">
            <v>480103</v>
          </cell>
        </row>
        <row r="585">
          <cell r="B585">
            <v>480199</v>
          </cell>
        </row>
        <row r="586">
          <cell r="B586">
            <v>481101</v>
          </cell>
        </row>
        <row r="587">
          <cell r="B587">
            <v>492101</v>
          </cell>
        </row>
        <row r="588">
          <cell r="B588">
            <v>493101</v>
          </cell>
        </row>
        <row r="589">
          <cell r="B589">
            <v>499101</v>
          </cell>
        </row>
        <row r="590">
          <cell r="B590">
            <v>499201</v>
          </cell>
        </row>
        <row r="591">
          <cell r="B591">
            <v>499899</v>
          </cell>
        </row>
        <row r="592">
          <cell r="B592">
            <v>500101</v>
          </cell>
        </row>
        <row r="593">
          <cell r="B593">
            <v>500102</v>
          </cell>
        </row>
        <row r="594">
          <cell r="B594">
            <v>501101</v>
          </cell>
        </row>
        <row r="595">
          <cell r="B595">
            <v>501102</v>
          </cell>
        </row>
        <row r="596">
          <cell r="B596">
            <v>501103</v>
          </cell>
        </row>
        <row r="597">
          <cell r="B597">
            <v>520101</v>
          </cell>
        </row>
        <row r="598">
          <cell r="B598">
            <v>521101</v>
          </cell>
        </row>
        <row r="599">
          <cell r="B599">
            <v>522101</v>
          </cell>
        </row>
        <row r="600">
          <cell r="B600">
            <v>522971</v>
          </cell>
        </row>
        <row r="601">
          <cell r="B601">
            <v>523101</v>
          </cell>
        </row>
        <row r="602">
          <cell r="B602">
            <v>524101</v>
          </cell>
        </row>
        <row r="603">
          <cell r="B603">
            <v>524103</v>
          </cell>
        </row>
        <row r="604">
          <cell r="B604">
            <v>529101</v>
          </cell>
        </row>
        <row r="605">
          <cell r="B605">
            <v>529201</v>
          </cell>
        </row>
        <row r="606">
          <cell r="B606">
            <v>540101</v>
          </cell>
        </row>
        <row r="607">
          <cell r="B607">
            <v>540102</v>
          </cell>
        </row>
        <row r="608">
          <cell r="B608">
            <v>541101</v>
          </cell>
        </row>
        <row r="609">
          <cell r="B609">
            <v>542101</v>
          </cell>
        </row>
        <row r="610">
          <cell r="B610">
            <v>548199</v>
          </cell>
        </row>
        <row r="611">
          <cell r="B611">
            <v>549101</v>
          </cell>
        </row>
        <row r="612">
          <cell r="B612">
            <v>549201</v>
          </cell>
        </row>
        <row r="613">
          <cell r="B613">
            <v>549202</v>
          </cell>
        </row>
        <row r="614">
          <cell r="B614">
            <v>549299</v>
          </cell>
        </row>
        <row r="615">
          <cell r="B615">
            <v>549951</v>
          </cell>
        </row>
        <row r="616">
          <cell r="B616">
            <v>549959</v>
          </cell>
        </row>
        <row r="617">
          <cell r="B617">
            <v>570101</v>
          </cell>
        </row>
        <row r="618">
          <cell r="B618">
            <v>580101</v>
          </cell>
        </row>
        <row r="619">
          <cell r="B619">
            <v>590101</v>
          </cell>
        </row>
        <row r="620">
          <cell r="B620">
            <v>591101</v>
          </cell>
        </row>
      </sheetData>
      <sheetData sheetId="21" refreshError="1"/>
      <sheetData sheetId="22" refreshError="1">
        <row r="6">
          <cell r="B6">
            <v>600801010172</v>
          </cell>
          <cell r="D6">
            <v>1330776532605</v>
          </cell>
          <cell r="E6">
            <v>1330776532605</v>
          </cell>
          <cell r="F6">
            <v>0</v>
          </cell>
          <cell r="G6">
            <v>0</v>
          </cell>
        </row>
        <row r="7">
          <cell r="B7">
            <v>600801010174</v>
          </cell>
          <cell r="D7">
            <v>338816950747</v>
          </cell>
          <cell r="E7">
            <v>338816950747</v>
          </cell>
          <cell r="F7">
            <v>0</v>
          </cell>
          <cell r="G7">
            <v>0</v>
          </cell>
        </row>
        <row r="8">
          <cell r="B8">
            <v>600801010178</v>
          </cell>
          <cell r="D8">
            <v>851300389077</v>
          </cell>
          <cell r="E8">
            <v>851300389077</v>
          </cell>
          <cell r="F8">
            <v>0</v>
          </cell>
          <cell r="G8">
            <v>0</v>
          </cell>
        </row>
        <row r="9">
          <cell r="B9">
            <v>600801011172</v>
          </cell>
          <cell r="D9">
            <v>182989424835</v>
          </cell>
          <cell r="E9">
            <v>182989424835</v>
          </cell>
          <cell r="F9">
            <v>0</v>
          </cell>
          <cell r="G9">
            <v>0</v>
          </cell>
        </row>
        <row r="10">
          <cell r="B10">
            <v>600801011174</v>
          </cell>
          <cell r="D10">
            <v>776115210748</v>
          </cell>
          <cell r="E10">
            <v>776115210748</v>
          </cell>
          <cell r="F10">
            <v>0</v>
          </cell>
          <cell r="G10">
            <v>0</v>
          </cell>
        </row>
        <row r="11">
          <cell r="B11">
            <v>600801011178</v>
          </cell>
          <cell r="D11">
            <v>327530521407</v>
          </cell>
          <cell r="E11">
            <v>327530521407</v>
          </cell>
          <cell r="F11">
            <v>0</v>
          </cell>
          <cell r="G11">
            <v>0</v>
          </cell>
        </row>
        <row r="12">
          <cell r="B12">
            <v>600801020172</v>
          </cell>
          <cell r="D12">
            <v>15120315210</v>
          </cell>
          <cell r="E12">
            <v>15120315210</v>
          </cell>
          <cell r="F12">
            <v>0</v>
          </cell>
          <cell r="G12">
            <v>0</v>
          </cell>
        </row>
        <row r="13">
          <cell r="B13">
            <v>600801020174</v>
          </cell>
          <cell r="D13">
            <v>1859955400</v>
          </cell>
          <cell r="E13">
            <v>1859955400</v>
          </cell>
          <cell r="F13">
            <v>0</v>
          </cell>
          <cell r="G13">
            <v>0</v>
          </cell>
        </row>
        <row r="14">
          <cell r="B14">
            <v>600801020178</v>
          </cell>
          <cell r="D14">
            <v>10273843895</v>
          </cell>
          <cell r="E14">
            <v>10273843895</v>
          </cell>
          <cell r="F14">
            <v>0</v>
          </cell>
          <cell r="G14">
            <v>0</v>
          </cell>
        </row>
        <row r="15">
          <cell r="B15">
            <v>600801021172</v>
          </cell>
          <cell r="D15">
            <v>43165725840</v>
          </cell>
          <cell r="E15">
            <v>43165725840</v>
          </cell>
          <cell r="F15">
            <v>0</v>
          </cell>
          <cell r="G15">
            <v>0</v>
          </cell>
        </row>
        <row r="16">
          <cell r="B16">
            <v>600801021174</v>
          </cell>
          <cell r="D16">
            <v>362815445</v>
          </cell>
          <cell r="E16">
            <v>362815445</v>
          </cell>
          <cell r="F16">
            <v>0</v>
          </cell>
          <cell r="G16">
            <v>0</v>
          </cell>
        </row>
        <row r="17">
          <cell r="B17">
            <v>600801030172</v>
          </cell>
          <cell r="D17">
            <v>13033551900</v>
          </cell>
          <cell r="E17">
            <v>13033551900</v>
          </cell>
          <cell r="F17">
            <v>0</v>
          </cell>
          <cell r="G17">
            <v>0</v>
          </cell>
        </row>
        <row r="18">
          <cell r="B18">
            <v>600801030178</v>
          </cell>
          <cell r="D18">
            <v>3912945000</v>
          </cell>
          <cell r="E18">
            <v>3912945000</v>
          </cell>
          <cell r="F18">
            <v>0</v>
          </cell>
          <cell r="G18">
            <v>0</v>
          </cell>
        </row>
        <row r="19">
          <cell r="B19">
            <v>600801031172</v>
          </cell>
          <cell r="D19">
            <v>2296042500</v>
          </cell>
          <cell r="E19">
            <v>2296042500</v>
          </cell>
          <cell r="F19">
            <v>0</v>
          </cell>
          <cell r="G19">
            <v>0</v>
          </cell>
        </row>
        <row r="20">
          <cell r="B20">
            <v>600801031178</v>
          </cell>
          <cell r="D20">
            <v>2173432200</v>
          </cell>
          <cell r="E20">
            <v>2173432200</v>
          </cell>
          <cell r="F20">
            <v>0</v>
          </cell>
          <cell r="G20">
            <v>0</v>
          </cell>
        </row>
        <row r="21">
          <cell r="B21">
            <v>600801040172</v>
          </cell>
          <cell r="D21">
            <v>60403145937</v>
          </cell>
          <cell r="E21">
            <v>60403145937</v>
          </cell>
          <cell r="F21">
            <v>0</v>
          </cell>
          <cell r="G21">
            <v>0</v>
          </cell>
        </row>
        <row r="22">
          <cell r="B22">
            <v>600801040174</v>
          </cell>
          <cell r="D22">
            <v>12662224042</v>
          </cell>
          <cell r="E22">
            <v>12662224042</v>
          </cell>
          <cell r="F22">
            <v>0</v>
          </cell>
          <cell r="G22">
            <v>0</v>
          </cell>
        </row>
        <row r="23">
          <cell r="B23">
            <v>600801040178</v>
          </cell>
          <cell r="D23">
            <v>33425243119</v>
          </cell>
          <cell r="E23">
            <v>33425243119</v>
          </cell>
          <cell r="F23">
            <v>0</v>
          </cell>
          <cell r="G23">
            <v>0</v>
          </cell>
        </row>
        <row r="24">
          <cell r="B24">
            <v>600801041172</v>
          </cell>
          <cell r="D24">
            <v>11067687590</v>
          </cell>
          <cell r="E24">
            <v>11067687590</v>
          </cell>
          <cell r="F24">
            <v>0</v>
          </cell>
          <cell r="G24">
            <v>0</v>
          </cell>
        </row>
        <row r="25">
          <cell r="B25">
            <v>600801041174</v>
          </cell>
          <cell r="D25">
            <v>11304986890</v>
          </cell>
          <cell r="E25">
            <v>11304986890</v>
          </cell>
          <cell r="F25">
            <v>0</v>
          </cell>
          <cell r="G25">
            <v>0</v>
          </cell>
        </row>
        <row r="26">
          <cell r="B26">
            <v>600801041178</v>
          </cell>
          <cell r="D26">
            <v>924687508</v>
          </cell>
          <cell r="E26">
            <v>924687508</v>
          </cell>
          <cell r="F26">
            <v>0</v>
          </cell>
          <cell r="G26">
            <v>0</v>
          </cell>
        </row>
        <row r="27">
          <cell r="B27">
            <v>600801050172</v>
          </cell>
          <cell r="D27">
            <v>1736491171088</v>
          </cell>
          <cell r="E27">
            <v>1736491171088</v>
          </cell>
          <cell r="F27">
            <v>0</v>
          </cell>
          <cell r="G27">
            <v>0</v>
          </cell>
        </row>
        <row r="28">
          <cell r="B28">
            <v>600801050174</v>
          </cell>
          <cell r="D28">
            <v>937562926749</v>
          </cell>
          <cell r="E28">
            <v>937562926749</v>
          </cell>
          <cell r="F28">
            <v>0</v>
          </cell>
          <cell r="G28">
            <v>0</v>
          </cell>
        </row>
        <row r="29">
          <cell r="B29">
            <v>600801050178</v>
          </cell>
          <cell r="D29">
            <v>451076387018</v>
          </cell>
          <cell r="E29">
            <v>451076387018</v>
          </cell>
          <cell r="F29">
            <v>0</v>
          </cell>
          <cell r="G29">
            <v>0</v>
          </cell>
        </row>
        <row r="30">
          <cell r="B30">
            <v>600801051172</v>
          </cell>
          <cell r="D30">
            <v>258069624542</v>
          </cell>
          <cell r="E30">
            <v>258069624542</v>
          </cell>
          <cell r="F30">
            <v>0</v>
          </cell>
          <cell r="G30">
            <v>0</v>
          </cell>
        </row>
        <row r="31">
          <cell r="B31">
            <v>600801051174</v>
          </cell>
          <cell r="D31">
            <v>301332918163</v>
          </cell>
          <cell r="E31">
            <v>301332918163</v>
          </cell>
          <cell r="F31">
            <v>0</v>
          </cell>
          <cell r="G31">
            <v>0</v>
          </cell>
        </row>
        <row r="32">
          <cell r="B32">
            <v>600801051178</v>
          </cell>
          <cell r="D32">
            <v>4783152730</v>
          </cell>
          <cell r="E32">
            <v>4783152730</v>
          </cell>
          <cell r="F32">
            <v>0</v>
          </cell>
          <cell r="G32">
            <v>0</v>
          </cell>
        </row>
        <row r="33">
          <cell r="B33">
            <v>600801060178</v>
          </cell>
          <cell r="D33">
            <v>244000000</v>
          </cell>
          <cell r="E33">
            <v>244000000</v>
          </cell>
          <cell r="F33">
            <v>0</v>
          </cell>
          <cell r="G33">
            <v>0</v>
          </cell>
        </row>
        <row r="34">
          <cell r="B34">
            <v>600801100172</v>
          </cell>
          <cell r="D34">
            <v>126624299557</v>
          </cell>
          <cell r="E34">
            <v>126624299557</v>
          </cell>
          <cell r="F34">
            <v>0</v>
          </cell>
          <cell r="G34">
            <v>0</v>
          </cell>
        </row>
        <row r="35">
          <cell r="B35">
            <v>600801100174</v>
          </cell>
          <cell r="D35">
            <v>117789873916</v>
          </cell>
          <cell r="E35">
            <v>117789873916</v>
          </cell>
          <cell r="F35">
            <v>0</v>
          </cell>
          <cell r="G35">
            <v>0</v>
          </cell>
        </row>
        <row r="36">
          <cell r="B36">
            <v>600801100178</v>
          </cell>
          <cell r="D36">
            <v>83149280305</v>
          </cell>
          <cell r="E36">
            <v>83149280305</v>
          </cell>
          <cell r="F36">
            <v>0</v>
          </cell>
          <cell r="G36">
            <v>0</v>
          </cell>
        </row>
        <row r="37">
          <cell r="B37">
            <v>600801101172</v>
          </cell>
          <cell r="D37">
            <v>15811023025</v>
          </cell>
          <cell r="E37">
            <v>15811023025</v>
          </cell>
          <cell r="F37">
            <v>0</v>
          </cell>
          <cell r="G37">
            <v>0</v>
          </cell>
        </row>
        <row r="38">
          <cell r="B38">
            <v>600801110172</v>
          </cell>
          <cell r="D38">
            <v>2269000000</v>
          </cell>
          <cell r="E38">
            <v>2269000000</v>
          </cell>
          <cell r="F38">
            <v>0</v>
          </cell>
          <cell r="G38">
            <v>0</v>
          </cell>
        </row>
        <row r="39">
          <cell r="B39">
            <v>600801120172</v>
          </cell>
          <cell r="D39">
            <v>2713462250</v>
          </cell>
          <cell r="E39">
            <v>2713462250</v>
          </cell>
          <cell r="F39">
            <v>0</v>
          </cell>
          <cell r="G39">
            <v>0</v>
          </cell>
        </row>
        <row r="40">
          <cell r="B40">
            <v>600801120174</v>
          </cell>
          <cell r="D40">
            <v>6054640000</v>
          </cell>
          <cell r="E40">
            <v>6054640000</v>
          </cell>
          <cell r="F40">
            <v>0</v>
          </cell>
          <cell r="G40">
            <v>0</v>
          </cell>
        </row>
        <row r="41">
          <cell r="B41">
            <v>600801120178</v>
          </cell>
          <cell r="D41">
            <v>67983714640</v>
          </cell>
          <cell r="E41">
            <v>67983714640</v>
          </cell>
          <cell r="F41">
            <v>0</v>
          </cell>
          <cell r="G41">
            <v>0</v>
          </cell>
        </row>
        <row r="42">
          <cell r="B42">
            <v>600801121172</v>
          </cell>
          <cell r="D42">
            <v>13098768250</v>
          </cell>
          <cell r="E42">
            <v>13098768250</v>
          </cell>
          <cell r="F42">
            <v>0</v>
          </cell>
          <cell r="G42">
            <v>0</v>
          </cell>
        </row>
        <row r="43">
          <cell r="B43">
            <v>600801121174</v>
          </cell>
          <cell r="D43">
            <v>152000000</v>
          </cell>
          <cell r="E43">
            <v>152000000</v>
          </cell>
          <cell r="F43">
            <v>0</v>
          </cell>
          <cell r="G43">
            <v>0</v>
          </cell>
        </row>
        <row r="44">
          <cell r="B44">
            <v>600801130172</v>
          </cell>
          <cell r="D44">
            <v>2849950000</v>
          </cell>
          <cell r="E44">
            <v>2849950000</v>
          </cell>
          <cell r="F44">
            <v>0</v>
          </cell>
          <cell r="G44">
            <v>0</v>
          </cell>
        </row>
        <row r="45">
          <cell r="B45">
            <v>600801130174</v>
          </cell>
          <cell r="D45">
            <v>592129473</v>
          </cell>
          <cell r="E45">
            <v>592129473</v>
          </cell>
          <cell r="F45">
            <v>0</v>
          </cell>
          <cell r="G45">
            <v>0</v>
          </cell>
        </row>
        <row r="46">
          <cell r="B46">
            <v>600801130178</v>
          </cell>
          <cell r="D46">
            <v>465020000</v>
          </cell>
          <cell r="E46">
            <v>465020000</v>
          </cell>
          <cell r="F46">
            <v>0</v>
          </cell>
          <cell r="G46">
            <v>0</v>
          </cell>
        </row>
        <row r="47">
          <cell r="B47">
            <v>600801131172</v>
          </cell>
          <cell r="D47">
            <v>4258043650</v>
          </cell>
          <cell r="E47">
            <v>4258043650</v>
          </cell>
          <cell r="F47">
            <v>0</v>
          </cell>
          <cell r="G47">
            <v>0</v>
          </cell>
        </row>
        <row r="48">
          <cell r="B48">
            <v>600801131178</v>
          </cell>
          <cell r="D48">
            <v>10395427385</v>
          </cell>
          <cell r="E48">
            <v>10395427385</v>
          </cell>
          <cell r="F48">
            <v>0</v>
          </cell>
          <cell r="G48">
            <v>0</v>
          </cell>
        </row>
        <row r="49">
          <cell r="B49">
            <v>600801140172</v>
          </cell>
          <cell r="D49">
            <v>658165000</v>
          </cell>
          <cell r="E49">
            <v>658165000</v>
          </cell>
          <cell r="F49">
            <v>0</v>
          </cell>
          <cell r="G49">
            <v>0</v>
          </cell>
        </row>
        <row r="50">
          <cell r="B50">
            <v>600801140174</v>
          </cell>
          <cell r="D50">
            <v>3095764500</v>
          </cell>
          <cell r="E50">
            <v>3095764500</v>
          </cell>
          <cell r="F50">
            <v>0</v>
          </cell>
          <cell r="G50">
            <v>0</v>
          </cell>
        </row>
        <row r="51">
          <cell r="B51">
            <v>600801140178</v>
          </cell>
          <cell r="D51">
            <v>34498853294</v>
          </cell>
          <cell r="E51">
            <v>34498853294</v>
          </cell>
          <cell r="F51">
            <v>0</v>
          </cell>
          <cell r="G51">
            <v>0</v>
          </cell>
        </row>
        <row r="52">
          <cell r="B52">
            <v>600801141172</v>
          </cell>
          <cell r="D52">
            <v>4623786850</v>
          </cell>
          <cell r="E52">
            <v>4623786850</v>
          </cell>
          <cell r="F52">
            <v>0</v>
          </cell>
          <cell r="G52">
            <v>0</v>
          </cell>
        </row>
        <row r="53">
          <cell r="B53">
            <v>600801190172</v>
          </cell>
          <cell r="D53">
            <v>49744983757</v>
          </cell>
          <cell r="E53">
            <v>49744983757</v>
          </cell>
          <cell r="F53">
            <v>0</v>
          </cell>
          <cell r="G53">
            <v>0</v>
          </cell>
        </row>
        <row r="54">
          <cell r="B54">
            <v>600801190174</v>
          </cell>
          <cell r="D54">
            <v>9265074260</v>
          </cell>
          <cell r="E54">
            <v>9265074260</v>
          </cell>
          <cell r="F54">
            <v>0</v>
          </cell>
          <cell r="G54">
            <v>0</v>
          </cell>
        </row>
        <row r="55">
          <cell r="B55">
            <v>600801190178</v>
          </cell>
          <cell r="D55">
            <v>37965775270</v>
          </cell>
          <cell r="E55">
            <v>37965775270</v>
          </cell>
          <cell r="F55">
            <v>0</v>
          </cell>
          <cell r="G55">
            <v>0</v>
          </cell>
        </row>
        <row r="56">
          <cell r="B56">
            <v>600801191172</v>
          </cell>
          <cell r="D56">
            <v>11292639870</v>
          </cell>
          <cell r="E56">
            <v>11292639870</v>
          </cell>
          <cell r="F56">
            <v>0</v>
          </cell>
          <cell r="G56">
            <v>0</v>
          </cell>
        </row>
        <row r="57">
          <cell r="B57">
            <v>600802010171</v>
          </cell>
          <cell r="D57">
            <v>132762150500</v>
          </cell>
          <cell r="E57">
            <v>132762150500</v>
          </cell>
          <cell r="F57">
            <v>0</v>
          </cell>
          <cell r="G57">
            <v>0</v>
          </cell>
        </row>
        <row r="58">
          <cell r="B58">
            <v>600802010172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B59">
            <v>600802020171</v>
          </cell>
          <cell r="D59">
            <v>1643950000</v>
          </cell>
          <cell r="E59">
            <v>1643950000</v>
          </cell>
          <cell r="F59">
            <v>0</v>
          </cell>
          <cell r="G59">
            <v>0</v>
          </cell>
        </row>
        <row r="60">
          <cell r="B60">
            <v>601801010172</v>
          </cell>
          <cell r="D60">
            <v>91877083992</v>
          </cell>
          <cell r="E60">
            <v>91877083992</v>
          </cell>
          <cell r="F60">
            <v>0</v>
          </cell>
          <cell r="G60">
            <v>0</v>
          </cell>
        </row>
        <row r="61">
          <cell r="B61">
            <v>601801010174</v>
          </cell>
          <cell r="D61">
            <v>57097794564</v>
          </cell>
          <cell r="E61">
            <v>57097794564</v>
          </cell>
          <cell r="F61">
            <v>0</v>
          </cell>
          <cell r="G61">
            <v>0</v>
          </cell>
        </row>
        <row r="62">
          <cell r="B62">
            <v>601801010178</v>
          </cell>
          <cell r="D62">
            <v>8614454750</v>
          </cell>
          <cell r="E62">
            <v>8614454750</v>
          </cell>
          <cell r="F62">
            <v>0</v>
          </cell>
          <cell r="G62">
            <v>0</v>
          </cell>
        </row>
        <row r="63">
          <cell r="B63">
            <v>601801020172</v>
          </cell>
          <cell r="D63">
            <v>40094448900</v>
          </cell>
          <cell r="E63">
            <v>40094448900</v>
          </cell>
          <cell r="F63">
            <v>0</v>
          </cell>
          <cell r="G63">
            <v>0</v>
          </cell>
        </row>
        <row r="64">
          <cell r="B64">
            <v>601801040172</v>
          </cell>
          <cell r="D64">
            <v>24403193617</v>
          </cell>
          <cell r="E64">
            <v>24403193617</v>
          </cell>
          <cell r="F64">
            <v>0</v>
          </cell>
          <cell r="G64">
            <v>0</v>
          </cell>
        </row>
        <row r="65">
          <cell r="B65">
            <v>601801050172</v>
          </cell>
          <cell r="D65">
            <v>185366649826</v>
          </cell>
          <cell r="E65">
            <v>185366649826</v>
          </cell>
          <cell r="F65">
            <v>0</v>
          </cell>
          <cell r="G65">
            <v>0</v>
          </cell>
        </row>
        <row r="66">
          <cell r="B66">
            <v>601801050174</v>
          </cell>
          <cell r="D66">
            <v>201971389847</v>
          </cell>
          <cell r="E66">
            <v>201971389847</v>
          </cell>
          <cell r="F66">
            <v>0</v>
          </cell>
          <cell r="G66">
            <v>0</v>
          </cell>
        </row>
        <row r="67">
          <cell r="B67">
            <v>601801100174</v>
          </cell>
          <cell r="D67">
            <v>192178950761</v>
          </cell>
          <cell r="E67">
            <v>192178950761</v>
          </cell>
          <cell r="F67">
            <v>0</v>
          </cell>
          <cell r="G67">
            <v>0</v>
          </cell>
        </row>
        <row r="68">
          <cell r="B68">
            <v>601801100178</v>
          </cell>
          <cell r="D68">
            <v>3635913523</v>
          </cell>
          <cell r="E68">
            <v>3635913523</v>
          </cell>
          <cell r="F68">
            <v>0</v>
          </cell>
          <cell r="G68">
            <v>0</v>
          </cell>
        </row>
        <row r="69">
          <cell r="B69">
            <v>601801120172</v>
          </cell>
          <cell r="D69">
            <v>4818058064</v>
          </cell>
          <cell r="E69">
            <v>4818058064</v>
          </cell>
          <cell r="F69">
            <v>0</v>
          </cell>
          <cell r="G69">
            <v>0</v>
          </cell>
        </row>
        <row r="70">
          <cell r="B70">
            <v>601801130174</v>
          </cell>
          <cell r="D70">
            <v>13581394</v>
          </cell>
          <cell r="E70">
            <v>13581394</v>
          </cell>
          <cell r="F70">
            <v>0</v>
          </cell>
          <cell r="G70">
            <v>0</v>
          </cell>
        </row>
        <row r="71">
          <cell r="B71">
            <v>601801140178</v>
          </cell>
          <cell r="D71">
            <v>897913417</v>
          </cell>
          <cell r="E71">
            <v>897913417</v>
          </cell>
          <cell r="F71">
            <v>0</v>
          </cell>
          <cell r="G71">
            <v>0</v>
          </cell>
        </row>
        <row r="72">
          <cell r="B72">
            <v>601801190174</v>
          </cell>
          <cell r="D72">
            <v>10978580347</v>
          </cell>
          <cell r="E72">
            <v>10978580347</v>
          </cell>
          <cell r="F72">
            <v>0</v>
          </cell>
          <cell r="G72">
            <v>0</v>
          </cell>
        </row>
        <row r="73">
          <cell r="B73">
            <v>610816010172</v>
          </cell>
          <cell r="D73">
            <v>3079011510</v>
          </cell>
          <cell r="E73">
            <v>3079011510</v>
          </cell>
          <cell r="F73">
            <v>0</v>
          </cell>
          <cell r="G73">
            <v>0</v>
          </cell>
        </row>
        <row r="74">
          <cell r="B74">
            <v>610816010174</v>
          </cell>
          <cell r="D74">
            <v>683730000</v>
          </cell>
          <cell r="E74">
            <v>683730000</v>
          </cell>
          <cell r="F74">
            <v>0</v>
          </cell>
          <cell r="G74">
            <v>0</v>
          </cell>
        </row>
        <row r="75">
          <cell r="B75">
            <v>610816010178</v>
          </cell>
          <cell r="D75">
            <v>2229125515</v>
          </cell>
          <cell r="E75">
            <v>2229125515</v>
          </cell>
          <cell r="F75">
            <v>0</v>
          </cell>
          <cell r="G75">
            <v>0</v>
          </cell>
        </row>
        <row r="76">
          <cell r="B76">
            <v>610816011174</v>
          </cell>
          <cell r="D76">
            <v>4744851695</v>
          </cell>
          <cell r="E76">
            <v>4744851695</v>
          </cell>
          <cell r="F76">
            <v>0</v>
          </cell>
          <cell r="G76">
            <v>0</v>
          </cell>
        </row>
        <row r="77">
          <cell r="B77">
            <v>610816020178</v>
          </cell>
          <cell r="D77">
            <v>62717100</v>
          </cell>
          <cell r="E77">
            <v>62717100</v>
          </cell>
          <cell r="F77">
            <v>0</v>
          </cell>
          <cell r="G77">
            <v>0</v>
          </cell>
        </row>
        <row r="78">
          <cell r="B78">
            <v>610816040172</v>
          </cell>
          <cell r="D78">
            <v>509290000</v>
          </cell>
          <cell r="E78">
            <v>509290000</v>
          </cell>
          <cell r="F78">
            <v>0</v>
          </cell>
          <cell r="G78">
            <v>0</v>
          </cell>
        </row>
        <row r="79">
          <cell r="B79">
            <v>610816040178</v>
          </cell>
          <cell r="D79">
            <v>464930047</v>
          </cell>
          <cell r="E79">
            <v>464930047</v>
          </cell>
          <cell r="F79">
            <v>0</v>
          </cell>
          <cell r="G79">
            <v>0</v>
          </cell>
        </row>
        <row r="80">
          <cell r="B80">
            <v>610816050172</v>
          </cell>
          <cell r="D80">
            <v>4588181000</v>
          </cell>
          <cell r="E80">
            <v>4588181000</v>
          </cell>
          <cell r="F80">
            <v>0</v>
          </cell>
          <cell r="G80">
            <v>0</v>
          </cell>
        </row>
        <row r="81">
          <cell r="B81">
            <v>610816050174</v>
          </cell>
          <cell r="D81">
            <v>1263384000</v>
          </cell>
          <cell r="E81">
            <v>1263384000</v>
          </cell>
          <cell r="F81">
            <v>0</v>
          </cell>
          <cell r="G81">
            <v>0</v>
          </cell>
        </row>
        <row r="82">
          <cell r="B82">
            <v>610816050178</v>
          </cell>
          <cell r="D82">
            <v>2881413760</v>
          </cell>
          <cell r="E82">
            <v>2881413760</v>
          </cell>
          <cell r="F82">
            <v>0</v>
          </cell>
          <cell r="G82">
            <v>0</v>
          </cell>
        </row>
        <row r="83">
          <cell r="B83">
            <v>610816100172</v>
          </cell>
          <cell r="D83">
            <v>108212500</v>
          </cell>
          <cell r="E83">
            <v>108212500</v>
          </cell>
          <cell r="F83">
            <v>0</v>
          </cell>
          <cell r="G83">
            <v>0</v>
          </cell>
        </row>
        <row r="84">
          <cell r="B84">
            <v>610816100174</v>
          </cell>
          <cell r="D84">
            <v>1122920000</v>
          </cell>
          <cell r="E84">
            <v>1122920000</v>
          </cell>
          <cell r="F84">
            <v>0</v>
          </cell>
          <cell r="G84">
            <v>0</v>
          </cell>
        </row>
        <row r="85">
          <cell r="B85">
            <v>610816100178</v>
          </cell>
          <cell r="D85">
            <v>232320000</v>
          </cell>
          <cell r="E85">
            <v>232320000</v>
          </cell>
          <cell r="F85">
            <v>0</v>
          </cell>
          <cell r="G85">
            <v>0</v>
          </cell>
        </row>
        <row r="86">
          <cell r="B86">
            <v>610816130172</v>
          </cell>
          <cell r="D86">
            <v>249750000</v>
          </cell>
          <cell r="E86">
            <v>249750000</v>
          </cell>
          <cell r="F86">
            <v>0</v>
          </cell>
          <cell r="G86">
            <v>0</v>
          </cell>
        </row>
        <row r="87">
          <cell r="B87">
            <v>610816190172</v>
          </cell>
          <cell r="D87">
            <v>293912500</v>
          </cell>
          <cell r="E87">
            <v>293912500</v>
          </cell>
          <cell r="F87">
            <v>0</v>
          </cell>
          <cell r="G87">
            <v>0</v>
          </cell>
        </row>
        <row r="88">
          <cell r="B88">
            <v>610817010171</v>
          </cell>
          <cell r="D88">
            <v>1541736000</v>
          </cell>
          <cell r="E88">
            <v>1541736000</v>
          </cell>
          <cell r="F88">
            <v>0</v>
          </cell>
          <cell r="G88">
            <v>0</v>
          </cell>
        </row>
        <row r="89">
          <cell r="B89">
            <v>611816010172</v>
          </cell>
          <cell r="D89">
            <v>8119591480</v>
          </cell>
          <cell r="E89">
            <v>8119591480</v>
          </cell>
          <cell r="F89">
            <v>0</v>
          </cell>
          <cell r="G89">
            <v>0</v>
          </cell>
        </row>
        <row r="90">
          <cell r="B90">
            <v>611816010174</v>
          </cell>
          <cell r="D90">
            <v>1358480458</v>
          </cell>
          <cell r="E90">
            <v>1358480458</v>
          </cell>
          <cell r="F90">
            <v>0</v>
          </cell>
          <cell r="G90">
            <v>0</v>
          </cell>
        </row>
        <row r="91">
          <cell r="B91">
            <v>611816010178</v>
          </cell>
          <cell r="D91">
            <v>197206175</v>
          </cell>
          <cell r="E91">
            <v>197206175</v>
          </cell>
          <cell r="F91">
            <v>0</v>
          </cell>
          <cell r="G91">
            <v>0</v>
          </cell>
        </row>
        <row r="92">
          <cell r="B92">
            <v>611816011174</v>
          </cell>
          <cell r="D92">
            <v>292631692</v>
          </cell>
          <cell r="E92">
            <v>292631692</v>
          </cell>
          <cell r="F92">
            <v>0</v>
          </cell>
          <cell r="G92">
            <v>0</v>
          </cell>
        </row>
        <row r="93">
          <cell r="B93">
            <v>611816020172</v>
          </cell>
          <cell r="D93">
            <v>5043000</v>
          </cell>
          <cell r="E93">
            <v>5043000</v>
          </cell>
          <cell r="F93">
            <v>0</v>
          </cell>
          <cell r="G93">
            <v>0</v>
          </cell>
        </row>
        <row r="94">
          <cell r="B94">
            <v>611816031174</v>
          </cell>
          <cell r="D94">
            <v>17654925</v>
          </cell>
          <cell r="E94">
            <v>17654925</v>
          </cell>
          <cell r="F94">
            <v>0</v>
          </cell>
          <cell r="G94">
            <v>0</v>
          </cell>
        </row>
        <row r="95">
          <cell r="B95">
            <v>611816031178</v>
          </cell>
          <cell r="D95">
            <v>10727000</v>
          </cell>
          <cell r="E95">
            <v>10727000</v>
          </cell>
          <cell r="F95">
            <v>0</v>
          </cell>
          <cell r="G95">
            <v>0</v>
          </cell>
        </row>
        <row r="96">
          <cell r="B96">
            <v>611816050172</v>
          </cell>
          <cell r="D96">
            <v>734662001</v>
          </cell>
          <cell r="E96">
            <v>734662001</v>
          </cell>
          <cell r="F96">
            <v>0</v>
          </cell>
          <cell r="G96">
            <v>0</v>
          </cell>
        </row>
        <row r="97">
          <cell r="B97">
            <v>611816050174</v>
          </cell>
          <cell r="D97">
            <v>7796519630</v>
          </cell>
          <cell r="E97">
            <v>7796519630</v>
          </cell>
          <cell r="F97">
            <v>0</v>
          </cell>
          <cell r="G97">
            <v>0</v>
          </cell>
        </row>
        <row r="98">
          <cell r="B98">
            <v>611816050178</v>
          </cell>
          <cell r="D98">
            <v>55912500</v>
          </cell>
          <cell r="E98">
            <v>55912500</v>
          </cell>
          <cell r="F98">
            <v>0</v>
          </cell>
          <cell r="G98">
            <v>0</v>
          </cell>
        </row>
        <row r="99">
          <cell r="B99">
            <v>611816051174</v>
          </cell>
          <cell r="D99">
            <v>214374600</v>
          </cell>
          <cell r="E99">
            <v>214374600</v>
          </cell>
          <cell r="F99">
            <v>0</v>
          </cell>
          <cell r="G99">
            <v>0</v>
          </cell>
        </row>
        <row r="100">
          <cell r="B100">
            <v>611816100172</v>
          </cell>
          <cell r="D100">
            <v>105540840</v>
          </cell>
          <cell r="E100">
            <v>105540840</v>
          </cell>
          <cell r="F100">
            <v>0</v>
          </cell>
          <cell r="G100">
            <v>0</v>
          </cell>
        </row>
        <row r="101">
          <cell r="B101">
            <v>611816130172</v>
          </cell>
          <cell r="D101">
            <v>11441130</v>
          </cell>
          <cell r="E101">
            <v>11441130</v>
          </cell>
          <cell r="F101">
            <v>0</v>
          </cell>
          <cell r="G101">
            <v>0</v>
          </cell>
        </row>
        <row r="102">
          <cell r="B102">
            <v>620852010172</v>
          </cell>
          <cell r="D102">
            <v>764269072484</v>
          </cell>
          <cell r="E102">
            <v>764269072484</v>
          </cell>
          <cell r="F102">
            <v>0</v>
          </cell>
          <cell r="G102">
            <v>0</v>
          </cell>
        </row>
        <row r="103">
          <cell r="B103">
            <v>620852010174</v>
          </cell>
          <cell r="D103">
            <v>823840054996</v>
          </cell>
          <cell r="E103">
            <v>823840054996</v>
          </cell>
          <cell r="F103">
            <v>0</v>
          </cell>
          <cell r="G103">
            <v>0</v>
          </cell>
        </row>
        <row r="104">
          <cell r="B104">
            <v>620852010178</v>
          </cell>
          <cell r="D104">
            <v>454402254968</v>
          </cell>
          <cell r="E104">
            <v>454402254968</v>
          </cell>
          <cell r="F104">
            <v>0</v>
          </cell>
          <cell r="G104">
            <v>0</v>
          </cell>
        </row>
        <row r="105">
          <cell r="B105">
            <v>620852040172</v>
          </cell>
          <cell r="D105">
            <v>26002385108</v>
          </cell>
          <cell r="E105">
            <v>26002385108</v>
          </cell>
          <cell r="F105">
            <v>0</v>
          </cell>
          <cell r="G105">
            <v>0</v>
          </cell>
        </row>
        <row r="106">
          <cell r="B106">
            <v>620852040174</v>
          </cell>
          <cell r="D106">
            <v>4945002698</v>
          </cell>
          <cell r="E106">
            <v>4945002698</v>
          </cell>
          <cell r="F106">
            <v>0</v>
          </cell>
          <cell r="G106">
            <v>0</v>
          </cell>
        </row>
        <row r="107">
          <cell r="B107">
            <v>620853010171</v>
          </cell>
          <cell r="D107">
            <v>24280647971</v>
          </cell>
          <cell r="E107">
            <v>24280647971</v>
          </cell>
          <cell r="F107">
            <v>0</v>
          </cell>
          <cell r="G107">
            <v>0</v>
          </cell>
        </row>
        <row r="108">
          <cell r="B108">
            <v>631993010170</v>
          </cell>
          <cell r="D108">
            <v>41109247970</v>
          </cell>
          <cell r="E108">
            <v>0</v>
          </cell>
          <cell r="F108">
            <v>41109247970</v>
          </cell>
          <cell r="G108">
            <v>0</v>
          </cell>
        </row>
        <row r="109">
          <cell r="B109">
            <v>6324780101000</v>
          </cell>
          <cell r="D109">
            <v>19825215255</v>
          </cell>
          <cell r="E109">
            <v>0</v>
          </cell>
          <cell r="F109">
            <v>19825215255</v>
          </cell>
          <cell r="G109">
            <v>0</v>
          </cell>
        </row>
        <row r="110">
          <cell r="B110">
            <v>6324780101010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>
            <v>6324780101020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>
            <v>6324780101030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B113">
            <v>6324780101100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>
            <v>6324780101110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>
            <v>6324780101120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>
            <v>6324780101130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>
            <v>6324780101140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>
            <v>6324780101210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>
            <v>6324780101220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B120">
            <v>6324780101300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B121">
            <v>6324780101310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B122">
            <v>6324780101311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B123">
            <v>6324780101312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B124">
            <v>6324780101313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B125">
            <v>6324780101315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B126">
            <v>6324780101340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B127">
            <v>6324780101341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B128">
            <v>6324780201010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B129">
            <v>632994010170</v>
          </cell>
          <cell r="D129">
            <v>597129873537</v>
          </cell>
          <cell r="E129">
            <v>0</v>
          </cell>
          <cell r="F129">
            <v>597129873537</v>
          </cell>
          <cell r="G129">
            <v>0</v>
          </cell>
        </row>
        <row r="130">
          <cell r="B130">
            <v>640901011</v>
          </cell>
          <cell r="D130">
            <v>0</v>
          </cell>
          <cell r="E130">
            <v>22485000000</v>
          </cell>
          <cell r="F130">
            <v>0</v>
          </cell>
          <cell r="G130">
            <v>22485000000</v>
          </cell>
        </row>
        <row r="131">
          <cell r="B131">
            <v>642913010</v>
          </cell>
          <cell r="D131">
            <v>0</v>
          </cell>
          <cell r="E131">
            <v>51793093</v>
          </cell>
          <cell r="F131">
            <v>0</v>
          </cell>
          <cell r="G131">
            <v>51793093</v>
          </cell>
        </row>
        <row r="132">
          <cell r="B132">
            <v>642915010170</v>
          </cell>
          <cell r="D132">
            <v>12033344604</v>
          </cell>
          <cell r="E132">
            <v>12033344604</v>
          </cell>
          <cell r="F132">
            <v>0</v>
          </cell>
          <cell r="G132">
            <v>0</v>
          </cell>
        </row>
        <row r="133">
          <cell r="B133">
            <v>643923010</v>
          </cell>
          <cell r="D133">
            <v>130819673</v>
          </cell>
          <cell r="E133">
            <v>3846062696</v>
          </cell>
          <cell r="F133">
            <v>0</v>
          </cell>
          <cell r="G133">
            <v>3715243023</v>
          </cell>
        </row>
        <row r="134">
          <cell r="B134">
            <v>644947010170</v>
          </cell>
          <cell r="D134">
            <v>3650000000</v>
          </cell>
          <cell r="E134">
            <v>4419412898</v>
          </cell>
          <cell r="F134">
            <v>0</v>
          </cell>
          <cell r="G134">
            <v>769412898</v>
          </cell>
        </row>
        <row r="135">
          <cell r="B135">
            <v>644947020170</v>
          </cell>
          <cell r="D135">
            <v>0</v>
          </cell>
          <cell r="E135">
            <v>112483847029</v>
          </cell>
          <cell r="F135">
            <v>0</v>
          </cell>
          <cell r="G135">
            <v>112483847029</v>
          </cell>
        </row>
        <row r="136">
          <cell r="B136">
            <v>645945010</v>
          </cell>
          <cell r="D136">
            <v>0</v>
          </cell>
          <cell r="E136">
            <v>1021681793</v>
          </cell>
          <cell r="F136">
            <v>0</v>
          </cell>
          <cell r="G136">
            <v>1021681793</v>
          </cell>
        </row>
        <row r="137">
          <cell r="B137">
            <v>645945011</v>
          </cell>
          <cell r="D137">
            <v>0</v>
          </cell>
          <cell r="E137">
            <v>129998399</v>
          </cell>
          <cell r="F137">
            <v>0</v>
          </cell>
          <cell r="G137">
            <v>129998399</v>
          </cell>
        </row>
        <row r="138">
          <cell r="B138">
            <v>646935010</v>
          </cell>
          <cell r="D138">
            <v>0</v>
          </cell>
          <cell r="E138">
            <v>2964859162</v>
          </cell>
          <cell r="F138">
            <v>0</v>
          </cell>
          <cell r="G138">
            <v>2964859162</v>
          </cell>
        </row>
        <row r="139">
          <cell r="B139">
            <v>647916010</v>
          </cell>
          <cell r="D139">
            <v>0</v>
          </cell>
          <cell r="E139">
            <v>50925087747</v>
          </cell>
          <cell r="F139">
            <v>0</v>
          </cell>
          <cell r="G139">
            <v>50925087747</v>
          </cell>
        </row>
        <row r="140">
          <cell r="B140">
            <v>649949010</v>
          </cell>
          <cell r="D140">
            <v>0</v>
          </cell>
          <cell r="E140">
            <v>10594840</v>
          </cell>
          <cell r="F140">
            <v>0</v>
          </cell>
          <cell r="G140">
            <v>10594840</v>
          </cell>
        </row>
        <row r="141">
          <cell r="B141">
            <v>649949020</v>
          </cell>
          <cell r="D141">
            <v>0</v>
          </cell>
          <cell r="E141">
            <v>278811</v>
          </cell>
          <cell r="F141">
            <v>0</v>
          </cell>
          <cell r="G141">
            <v>278811</v>
          </cell>
        </row>
        <row r="142">
          <cell r="B142">
            <v>6544960101110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>
            <v>6567330101110</v>
          </cell>
          <cell r="D143">
            <v>3037837212</v>
          </cell>
          <cell r="E143">
            <v>0</v>
          </cell>
          <cell r="F143">
            <v>3037837212</v>
          </cell>
          <cell r="G143">
            <v>0</v>
          </cell>
        </row>
        <row r="144">
          <cell r="B144">
            <v>657736010</v>
          </cell>
          <cell r="D144">
            <v>854897286</v>
          </cell>
          <cell r="E144">
            <v>0</v>
          </cell>
          <cell r="F144">
            <v>854897286</v>
          </cell>
          <cell r="G144">
            <v>0</v>
          </cell>
        </row>
        <row r="145">
          <cell r="B145">
            <v>657736020</v>
          </cell>
          <cell r="D145">
            <v>43540660520</v>
          </cell>
          <cell r="E145">
            <v>0</v>
          </cell>
          <cell r="F145">
            <v>43540660520</v>
          </cell>
          <cell r="G145">
            <v>0</v>
          </cell>
        </row>
        <row r="146">
          <cell r="B146">
            <v>6594770101000</v>
          </cell>
          <cell r="D146">
            <v>45578000</v>
          </cell>
          <cell r="E146">
            <v>0</v>
          </cell>
          <cell r="F146">
            <v>45578000</v>
          </cell>
          <cell r="G146">
            <v>0</v>
          </cell>
        </row>
        <row r="147">
          <cell r="B147">
            <v>6594770101001</v>
          </cell>
          <cell r="D147">
            <v>91265000</v>
          </cell>
          <cell r="E147">
            <v>0</v>
          </cell>
          <cell r="F147">
            <v>91265000</v>
          </cell>
          <cell r="G147">
            <v>0</v>
          </cell>
        </row>
        <row r="148">
          <cell r="B148">
            <v>6594770101010</v>
          </cell>
          <cell r="D148">
            <v>12010000</v>
          </cell>
          <cell r="E148">
            <v>0</v>
          </cell>
          <cell r="F148">
            <v>12010000</v>
          </cell>
          <cell r="G148">
            <v>0</v>
          </cell>
        </row>
        <row r="149">
          <cell r="B149">
            <v>6594770101030</v>
          </cell>
          <cell r="D149">
            <v>18275000</v>
          </cell>
          <cell r="E149">
            <v>0</v>
          </cell>
          <cell r="F149">
            <v>18275000</v>
          </cell>
          <cell r="G149">
            <v>0</v>
          </cell>
        </row>
        <row r="150">
          <cell r="B150">
            <v>6594770101100</v>
          </cell>
          <cell r="D150">
            <v>60770000</v>
          </cell>
          <cell r="E150">
            <v>0</v>
          </cell>
          <cell r="F150">
            <v>60770000</v>
          </cell>
          <cell r="G150">
            <v>0</v>
          </cell>
        </row>
        <row r="151">
          <cell r="B151">
            <v>6594770201030</v>
          </cell>
          <cell r="D151">
            <v>5600000</v>
          </cell>
          <cell r="E151">
            <v>0</v>
          </cell>
          <cell r="F151">
            <v>5600000</v>
          </cell>
          <cell r="G151">
            <v>0</v>
          </cell>
        </row>
        <row r="152">
          <cell r="B152">
            <v>6594770301110</v>
          </cell>
          <cell r="D152">
            <v>3500000</v>
          </cell>
          <cell r="E152">
            <v>0</v>
          </cell>
          <cell r="F152">
            <v>3500000</v>
          </cell>
          <cell r="G152">
            <v>0</v>
          </cell>
        </row>
        <row r="153">
          <cell r="B153">
            <v>6594770501000</v>
          </cell>
          <cell r="D153">
            <v>50000000</v>
          </cell>
          <cell r="E153">
            <v>0</v>
          </cell>
          <cell r="F153">
            <v>50000000</v>
          </cell>
          <cell r="G153">
            <v>0</v>
          </cell>
        </row>
        <row r="154">
          <cell r="B154">
            <v>6594779901110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B155">
            <v>6594990101110</v>
          </cell>
          <cell r="D155">
            <v>100962</v>
          </cell>
          <cell r="E155">
            <v>0</v>
          </cell>
          <cell r="F155">
            <v>100962</v>
          </cell>
          <cell r="G155">
            <v>0</v>
          </cell>
        </row>
        <row r="156">
          <cell r="B156">
            <v>6594999901110</v>
          </cell>
          <cell r="D156">
            <v>28649170</v>
          </cell>
          <cell r="E156">
            <v>0</v>
          </cell>
          <cell r="F156">
            <v>28649170</v>
          </cell>
          <cell r="G156">
            <v>0</v>
          </cell>
        </row>
        <row r="157">
          <cell r="B157">
            <v>6595480101000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B158">
            <v>6595480101100</v>
          </cell>
          <cell r="D158">
            <v>193531000</v>
          </cell>
          <cell r="E158">
            <v>0</v>
          </cell>
          <cell r="F158">
            <v>193531000</v>
          </cell>
          <cell r="G158">
            <v>0</v>
          </cell>
        </row>
        <row r="159">
          <cell r="B159">
            <v>6595480101110</v>
          </cell>
          <cell r="D159">
            <v>49571000</v>
          </cell>
          <cell r="E159">
            <v>0</v>
          </cell>
          <cell r="F159">
            <v>49571000</v>
          </cell>
          <cell r="G159">
            <v>0</v>
          </cell>
        </row>
        <row r="160">
          <cell r="B160">
            <v>661995010170</v>
          </cell>
          <cell r="D160">
            <v>943468088980</v>
          </cell>
          <cell r="E160">
            <v>0</v>
          </cell>
          <cell r="F160">
            <v>943468088980</v>
          </cell>
          <cell r="G160">
            <v>0</v>
          </cell>
        </row>
        <row r="161">
          <cell r="B161">
            <v>671948010</v>
          </cell>
          <cell r="D161">
            <v>0</v>
          </cell>
          <cell r="E161">
            <v>208887810</v>
          </cell>
          <cell r="F161">
            <v>0</v>
          </cell>
          <cell r="G161">
            <v>208887810</v>
          </cell>
        </row>
        <row r="162">
          <cell r="B162">
            <v>679885010170</v>
          </cell>
          <cell r="D162">
            <v>2864820223</v>
          </cell>
          <cell r="E162">
            <v>2864820223</v>
          </cell>
          <cell r="F162">
            <v>0</v>
          </cell>
          <cell r="G162">
            <v>0</v>
          </cell>
        </row>
        <row r="163">
          <cell r="B163">
            <v>679939010170</v>
          </cell>
          <cell r="D163">
            <v>6647845464</v>
          </cell>
          <cell r="E163">
            <v>6647845464</v>
          </cell>
          <cell r="F163">
            <v>0</v>
          </cell>
          <cell r="G163">
            <v>0</v>
          </cell>
        </row>
        <row r="164">
          <cell r="B164">
            <v>6814970101110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B165">
            <v>6894760101000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B166">
            <v>689476040</v>
          </cell>
          <cell r="D166">
            <v>144532376</v>
          </cell>
          <cell r="E166">
            <v>0</v>
          </cell>
          <cell r="F166">
            <v>144532376</v>
          </cell>
          <cell r="G166">
            <v>0</v>
          </cell>
        </row>
        <row r="167">
          <cell r="B167">
            <v>6894940101000</v>
          </cell>
          <cell r="D167">
            <v>27650961</v>
          </cell>
          <cell r="E167">
            <v>0</v>
          </cell>
          <cell r="F167">
            <v>27650961</v>
          </cell>
          <cell r="G167">
            <v>0</v>
          </cell>
        </row>
        <row r="168">
          <cell r="B168">
            <v>6894990101001</v>
          </cell>
          <cell r="D168">
            <v>412656300</v>
          </cell>
          <cell r="E168">
            <v>0</v>
          </cell>
          <cell r="F168">
            <v>412656300</v>
          </cell>
          <cell r="G168">
            <v>0</v>
          </cell>
        </row>
        <row r="169">
          <cell r="B169">
            <v>6894990101100</v>
          </cell>
          <cell r="D169">
            <v>136</v>
          </cell>
          <cell r="E169">
            <v>0</v>
          </cell>
          <cell r="F169">
            <v>136</v>
          </cell>
          <cell r="G169">
            <v>0</v>
          </cell>
        </row>
        <row r="170">
          <cell r="B170">
            <v>689499990</v>
          </cell>
          <cell r="D170">
            <v>1353</v>
          </cell>
          <cell r="E170">
            <v>0</v>
          </cell>
          <cell r="F170">
            <v>1353</v>
          </cell>
          <cell r="G170">
            <v>0</v>
          </cell>
        </row>
        <row r="171">
          <cell r="B171">
            <v>689895010170</v>
          </cell>
          <cell r="D171">
            <v>6647845464</v>
          </cell>
          <cell r="E171">
            <v>6647845464</v>
          </cell>
          <cell r="F171">
            <v>0</v>
          </cell>
          <cell r="G171">
            <v>0</v>
          </cell>
        </row>
        <row r="172">
          <cell r="B172">
            <v>7602010101030</v>
          </cell>
          <cell r="D172">
            <v>11880000000</v>
          </cell>
          <cell r="E172">
            <v>0</v>
          </cell>
          <cell r="F172">
            <v>11880000000</v>
          </cell>
          <cell r="G172">
            <v>0</v>
          </cell>
        </row>
        <row r="173">
          <cell r="B173">
            <v>7602010101300</v>
          </cell>
          <cell r="D173">
            <v>3515000000</v>
          </cell>
          <cell r="E173">
            <v>0</v>
          </cell>
          <cell r="F173">
            <v>3515000000</v>
          </cell>
          <cell r="G173">
            <v>0</v>
          </cell>
        </row>
        <row r="174">
          <cell r="B174">
            <v>7602040101030</v>
          </cell>
          <cell r="D174">
            <v>3960000000</v>
          </cell>
          <cell r="E174">
            <v>0</v>
          </cell>
          <cell r="F174">
            <v>3960000000</v>
          </cell>
          <cell r="G174">
            <v>0</v>
          </cell>
        </row>
        <row r="175">
          <cell r="B175">
            <v>7602040101300</v>
          </cell>
          <cell r="D175">
            <v>16773333333</v>
          </cell>
          <cell r="E175">
            <v>0</v>
          </cell>
          <cell r="F175">
            <v>16773333333</v>
          </cell>
          <cell r="G175">
            <v>0</v>
          </cell>
        </row>
        <row r="176">
          <cell r="B176">
            <v>7602190101300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B177">
            <v>7602210101030</v>
          </cell>
          <cell r="D177">
            <v>350997212</v>
          </cell>
          <cell r="E177">
            <v>0</v>
          </cell>
          <cell r="F177">
            <v>350997212</v>
          </cell>
          <cell r="G177">
            <v>0</v>
          </cell>
        </row>
        <row r="178">
          <cell r="B178">
            <v>7602230101300</v>
          </cell>
          <cell r="D178">
            <v>3605364</v>
          </cell>
          <cell r="E178">
            <v>0</v>
          </cell>
          <cell r="F178">
            <v>3605364</v>
          </cell>
          <cell r="G178">
            <v>0</v>
          </cell>
        </row>
        <row r="179">
          <cell r="B179">
            <v>7602240101030</v>
          </cell>
          <cell r="D179">
            <v>356400000</v>
          </cell>
          <cell r="E179">
            <v>0</v>
          </cell>
          <cell r="F179">
            <v>356400000</v>
          </cell>
          <cell r="G179">
            <v>0</v>
          </cell>
        </row>
        <row r="180">
          <cell r="B180">
            <v>7602310101030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B181">
            <v>7602320101030</v>
          </cell>
          <cell r="D181">
            <v>525107747</v>
          </cell>
          <cell r="E181">
            <v>0</v>
          </cell>
          <cell r="F181">
            <v>525107747</v>
          </cell>
          <cell r="G181">
            <v>0</v>
          </cell>
        </row>
        <row r="182">
          <cell r="B182">
            <v>7602320101310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B183">
            <v>7602330101030</v>
          </cell>
          <cell r="D183">
            <v>10970149</v>
          </cell>
          <cell r="E183">
            <v>0</v>
          </cell>
          <cell r="F183">
            <v>10970149</v>
          </cell>
          <cell r="G183">
            <v>0</v>
          </cell>
        </row>
        <row r="184">
          <cell r="B184">
            <v>7602350101030</v>
          </cell>
          <cell r="D184">
            <v>23779680</v>
          </cell>
          <cell r="E184">
            <v>0</v>
          </cell>
          <cell r="F184">
            <v>23779680</v>
          </cell>
          <cell r="G184">
            <v>0</v>
          </cell>
        </row>
        <row r="185">
          <cell r="B185">
            <v>7602360101030</v>
          </cell>
          <cell r="D185">
            <v>207302716</v>
          </cell>
          <cell r="E185">
            <v>0</v>
          </cell>
          <cell r="F185">
            <v>207302716</v>
          </cell>
          <cell r="G185">
            <v>0</v>
          </cell>
        </row>
        <row r="186">
          <cell r="B186">
            <v>7603160101030</v>
          </cell>
          <cell r="D186">
            <v>256447394</v>
          </cell>
          <cell r="E186">
            <v>0</v>
          </cell>
          <cell r="F186">
            <v>256447394</v>
          </cell>
          <cell r="G186">
            <v>0</v>
          </cell>
        </row>
        <row r="187">
          <cell r="B187">
            <v>7603160101300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B188">
            <v>7603160101310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B189">
            <v>7603230101030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B190">
            <v>7603230101300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B191">
            <v>7603320101030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B192">
            <v>7603320101300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B193">
            <v>7604010101030</v>
          </cell>
          <cell r="D193">
            <v>748963042</v>
          </cell>
          <cell r="E193">
            <v>0</v>
          </cell>
          <cell r="F193">
            <v>748963042</v>
          </cell>
          <cell r="G193">
            <v>0</v>
          </cell>
        </row>
        <row r="194">
          <cell r="B194">
            <v>7604010101300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B195">
            <v>7604010101310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B196">
            <v>7604020101030</v>
          </cell>
          <cell r="D196">
            <v>349793478</v>
          </cell>
          <cell r="E196">
            <v>0</v>
          </cell>
          <cell r="F196">
            <v>349793478</v>
          </cell>
          <cell r="G196">
            <v>0</v>
          </cell>
        </row>
        <row r="197">
          <cell r="B197">
            <v>7604020101300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B198">
            <v>7604020201030</v>
          </cell>
          <cell r="D198">
            <v>345063033</v>
          </cell>
          <cell r="E198">
            <v>0</v>
          </cell>
          <cell r="F198">
            <v>345063033</v>
          </cell>
          <cell r="G198">
            <v>0</v>
          </cell>
        </row>
        <row r="199">
          <cell r="B199">
            <v>7604020201300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B200">
            <v>7604030101300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B201">
            <v>7604130101030</v>
          </cell>
          <cell r="D201">
            <v>158842176</v>
          </cell>
          <cell r="E201">
            <v>0</v>
          </cell>
          <cell r="F201">
            <v>158842176</v>
          </cell>
          <cell r="G201">
            <v>0</v>
          </cell>
        </row>
        <row r="202">
          <cell r="B202">
            <v>7604140101030</v>
          </cell>
          <cell r="D202">
            <v>67954345</v>
          </cell>
          <cell r="E202">
            <v>0</v>
          </cell>
          <cell r="F202">
            <v>67954345</v>
          </cell>
          <cell r="G202">
            <v>0</v>
          </cell>
        </row>
        <row r="203">
          <cell r="B203">
            <v>7604210101300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B204">
            <v>7604220101300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B205">
            <v>7604270101030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B206">
            <v>7604270101300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B207">
            <v>7604280101030</v>
          </cell>
          <cell r="D207">
            <v>21565217</v>
          </cell>
          <cell r="E207">
            <v>0</v>
          </cell>
          <cell r="F207">
            <v>21565217</v>
          </cell>
          <cell r="G207">
            <v>0</v>
          </cell>
        </row>
        <row r="208">
          <cell r="B208">
            <v>7604280101300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B209">
            <v>7604330201030</v>
          </cell>
          <cell r="D209">
            <v>155100737</v>
          </cell>
          <cell r="E209">
            <v>0</v>
          </cell>
          <cell r="F209">
            <v>155100737</v>
          </cell>
          <cell r="G209">
            <v>0</v>
          </cell>
        </row>
        <row r="210">
          <cell r="B210">
            <v>7604390101030</v>
          </cell>
          <cell r="D210">
            <v>114742617</v>
          </cell>
          <cell r="E210">
            <v>0</v>
          </cell>
          <cell r="F210">
            <v>114742617</v>
          </cell>
          <cell r="G210">
            <v>0</v>
          </cell>
        </row>
        <row r="211">
          <cell r="B211">
            <v>7604480101030</v>
          </cell>
          <cell r="D211">
            <v>81301</v>
          </cell>
          <cell r="E211">
            <v>0</v>
          </cell>
          <cell r="F211">
            <v>81301</v>
          </cell>
          <cell r="G211">
            <v>0</v>
          </cell>
        </row>
        <row r="212">
          <cell r="B212">
            <v>7604510101030</v>
          </cell>
          <cell r="D212">
            <v>260983115</v>
          </cell>
          <cell r="E212">
            <v>0</v>
          </cell>
          <cell r="F212">
            <v>260983115</v>
          </cell>
          <cell r="G212">
            <v>0</v>
          </cell>
        </row>
        <row r="213">
          <cell r="B213">
            <v>7604510101300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B214">
            <v>7604520101300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B215">
            <v>7604540101030</v>
          </cell>
          <cell r="D215">
            <v>491675655</v>
          </cell>
          <cell r="E215">
            <v>0</v>
          </cell>
          <cell r="F215">
            <v>491675655</v>
          </cell>
          <cell r="G215">
            <v>0</v>
          </cell>
        </row>
        <row r="216">
          <cell r="B216">
            <v>7604540101300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B217">
            <v>7604540101310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B218">
            <v>7604610101030</v>
          </cell>
          <cell r="D218">
            <v>72391304</v>
          </cell>
          <cell r="E218">
            <v>0</v>
          </cell>
          <cell r="F218">
            <v>72391304</v>
          </cell>
          <cell r="G218">
            <v>0</v>
          </cell>
        </row>
        <row r="219">
          <cell r="B219">
            <v>7604610101300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B220">
            <v>7604610101310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B221">
            <v>7604990101030</v>
          </cell>
          <cell r="D221">
            <v>94086575</v>
          </cell>
          <cell r="E221">
            <v>0</v>
          </cell>
          <cell r="F221">
            <v>94086575</v>
          </cell>
          <cell r="G221">
            <v>0</v>
          </cell>
        </row>
        <row r="222">
          <cell r="B222">
            <v>7604990101300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B223">
            <v>7604990201030</v>
          </cell>
          <cell r="D223">
            <v>49086957</v>
          </cell>
          <cell r="E223">
            <v>0</v>
          </cell>
          <cell r="F223">
            <v>49086957</v>
          </cell>
          <cell r="G223">
            <v>0</v>
          </cell>
        </row>
        <row r="224">
          <cell r="B224">
            <v>7604990201300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B225">
            <v>7604999901030</v>
          </cell>
          <cell r="D225">
            <v>8057065</v>
          </cell>
          <cell r="E225">
            <v>0</v>
          </cell>
          <cell r="F225">
            <v>8057065</v>
          </cell>
          <cell r="G225">
            <v>0</v>
          </cell>
        </row>
        <row r="226">
          <cell r="B226">
            <v>7604999901300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B227">
            <v>7605440101300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B228">
            <v>7605510101030</v>
          </cell>
          <cell r="D228">
            <v>239381113</v>
          </cell>
          <cell r="E228">
            <v>0</v>
          </cell>
          <cell r="F228">
            <v>239381113</v>
          </cell>
          <cell r="G228">
            <v>0</v>
          </cell>
        </row>
        <row r="229">
          <cell r="B229">
            <v>7605510101300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B230">
            <v>7605520101030</v>
          </cell>
          <cell r="D230">
            <v>47500000</v>
          </cell>
          <cell r="E230">
            <v>0</v>
          </cell>
          <cell r="F230">
            <v>47500000</v>
          </cell>
          <cell r="G230">
            <v>0</v>
          </cell>
        </row>
        <row r="231">
          <cell r="B231">
            <v>7607310101030</v>
          </cell>
          <cell r="D231">
            <v>21036645</v>
          </cell>
          <cell r="E231">
            <v>0</v>
          </cell>
          <cell r="F231">
            <v>21036645</v>
          </cell>
          <cell r="G231">
            <v>0</v>
          </cell>
        </row>
        <row r="232">
          <cell r="B232">
            <v>7607310101300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B233">
            <v>761993010170</v>
          </cell>
          <cell r="D233">
            <v>0</v>
          </cell>
          <cell r="E233">
            <v>41109247970</v>
          </cell>
          <cell r="F233">
            <v>0</v>
          </cell>
          <cell r="G233">
            <v>41109247970</v>
          </cell>
        </row>
        <row r="234">
          <cell r="B234">
            <v>7702010101000</v>
          </cell>
          <cell r="D234">
            <v>34470000000</v>
          </cell>
          <cell r="E234">
            <v>0</v>
          </cell>
          <cell r="F234">
            <v>34470000000</v>
          </cell>
          <cell r="G234">
            <v>0</v>
          </cell>
        </row>
        <row r="235">
          <cell r="B235">
            <v>7702010101010</v>
          </cell>
          <cell r="D235">
            <v>19920000000</v>
          </cell>
          <cell r="E235">
            <v>0</v>
          </cell>
          <cell r="F235">
            <v>19920000000</v>
          </cell>
          <cell r="G235">
            <v>0</v>
          </cell>
        </row>
        <row r="236">
          <cell r="B236">
            <v>7702010101020</v>
          </cell>
          <cell r="D236">
            <v>15487500000</v>
          </cell>
          <cell r="E236">
            <v>0</v>
          </cell>
          <cell r="F236">
            <v>15487500000</v>
          </cell>
          <cell r="G236">
            <v>0</v>
          </cell>
        </row>
        <row r="237">
          <cell r="B237">
            <v>7702010101100</v>
          </cell>
          <cell r="D237">
            <v>19200000000</v>
          </cell>
          <cell r="E237">
            <v>0</v>
          </cell>
          <cell r="F237">
            <v>19200000000</v>
          </cell>
          <cell r="G237">
            <v>0</v>
          </cell>
        </row>
        <row r="238">
          <cell r="B238">
            <v>7702010101110</v>
          </cell>
          <cell r="D238">
            <v>53722000000</v>
          </cell>
          <cell r="E238">
            <v>0</v>
          </cell>
          <cell r="F238">
            <v>53722000000</v>
          </cell>
          <cell r="G238">
            <v>0</v>
          </cell>
        </row>
        <row r="239">
          <cell r="B239">
            <v>7702010101120</v>
          </cell>
          <cell r="D239">
            <v>14155500000</v>
          </cell>
          <cell r="E239">
            <v>0</v>
          </cell>
          <cell r="F239">
            <v>14155500000</v>
          </cell>
          <cell r="G239">
            <v>0</v>
          </cell>
        </row>
        <row r="240">
          <cell r="B240">
            <v>7702010101130</v>
          </cell>
          <cell r="D240">
            <v>27420000000</v>
          </cell>
          <cell r="E240">
            <v>0</v>
          </cell>
          <cell r="F240">
            <v>27420000000</v>
          </cell>
          <cell r="G240">
            <v>0</v>
          </cell>
        </row>
        <row r="241">
          <cell r="B241">
            <v>7702010101140</v>
          </cell>
          <cell r="D241">
            <v>5940500002</v>
          </cell>
          <cell r="E241">
            <v>0</v>
          </cell>
          <cell r="F241">
            <v>5940500002</v>
          </cell>
          <cell r="G241">
            <v>0</v>
          </cell>
        </row>
        <row r="242">
          <cell r="B242">
            <v>7702010101220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B243">
            <v>7702012101010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B244">
            <v>7702020101000</v>
          </cell>
          <cell r="D244">
            <v>51916667</v>
          </cell>
          <cell r="E244">
            <v>0</v>
          </cell>
          <cell r="F244">
            <v>51916667</v>
          </cell>
          <cell r="G244">
            <v>0</v>
          </cell>
        </row>
        <row r="245">
          <cell r="B245">
            <v>7702020101010</v>
          </cell>
          <cell r="D245">
            <v>577111112</v>
          </cell>
          <cell r="E245">
            <v>0</v>
          </cell>
          <cell r="F245">
            <v>577111112</v>
          </cell>
          <cell r="G245">
            <v>0</v>
          </cell>
        </row>
        <row r="246">
          <cell r="B246">
            <v>7702020101110</v>
          </cell>
          <cell r="D246">
            <v>27133333</v>
          </cell>
          <cell r="E246">
            <v>0</v>
          </cell>
          <cell r="F246">
            <v>27133333</v>
          </cell>
          <cell r="G246">
            <v>0</v>
          </cell>
        </row>
        <row r="247">
          <cell r="B247">
            <v>7702040101000</v>
          </cell>
          <cell r="D247">
            <v>11490000000</v>
          </cell>
          <cell r="E247">
            <v>0</v>
          </cell>
          <cell r="F247">
            <v>11490000000</v>
          </cell>
          <cell r="G247">
            <v>0</v>
          </cell>
        </row>
        <row r="248">
          <cell r="B248">
            <v>7702040101010</v>
          </cell>
          <cell r="D248">
            <v>6743499999</v>
          </cell>
          <cell r="E248">
            <v>0</v>
          </cell>
          <cell r="F248">
            <v>6743499999</v>
          </cell>
          <cell r="G248">
            <v>0</v>
          </cell>
        </row>
        <row r="249">
          <cell r="B249">
            <v>7702040101020</v>
          </cell>
          <cell r="D249">
            <v>5352499999</v>
          </cell>
          <cell r="E249">
            <v>0</v>
          </cell>
          <cell r="F249">
            <v>5352499999</v>
          </cell>
          <cell r="G249">
            <v>0</v>
          </cell>
        </row>
        <row r="250">
          <cell r="B250">
            <v>7702040101030</v>
          </cell>
          <cell r="D250">
            <v>1320000000</v>
          </cell>
          <cell r="E250">
            <v>1320000000</v>
          </cell>
          <cell r="F250">
            <v>0</v>
          </cell>
          <cell r="G250">
            <v>0</v>
          </cell>
        </row>
        <row r="251">
          <cell r="B251">
            <v>7702040101100</v>
          </cell>
          <cell r="D251">
            <v>6400000002</v>
          </cell>
          <cell r="E251">
            <v>1</v>
          </cell>
          <cell r="F251">
            <v>6400000001</v>
          </cell>
          <cell r="G251">
            <v>0</v>
          </cell>
        </row>
        <row r="252">
          <cell r="B252">
            <v>7702040101110</v>
          </cell>
          <cell r="D252">
            <v>18050000000</v>
          </cell>
          <cell r="E252">
            <v>199599999</v>
          </cell>
          <cell r="F252">
            <v>17850400001</v>
          </cell>
          <cell r="G252">
            <v>0</v>
          </cell>
        </row>
        <row r="253">
          <cell r="B253">
            <v>7702040101120</v>
          </cell>
          <cell r="D253">
            <v>4753500000</v>
          </cell>
          <cell r="E253">
            <v>0</v>
          </cell>
          <cell r="F253">
            <v>4753500000</v>
          </cell>
          <cell r="G253">
            <v>0</v>
          </cell>
        </row>
        <row r="254">
          <cell r="B254">
            <v>7702040101130</v>
          </cell>
          <cell r="D254">
            <v>9077000001</v>
          </cell>
          <cell r="E254">
            <v>0</v>
          </cell>
          <cell r="F254">
            <v>9077000001</v>
          </cell>
          <cell r="G254">
            <v>0</v>
          </cell>
        </row>
        <row r="255">
          <cell r="B255">
            <v>7702040101140</v>
          </cell>
          <cell r="D255">
            <v>34441111110</v>
          </cell>
          <cell r="E255">
            <v>0</v>
          </cell>
          <cell r="F255">
            <v>34441111110</v>
          </cell>
          <cell r="G255">
            <v>0</v>
          </cell>
        </row>
        <row r="256">
          <cell r="B256">
            <v>7702040101220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B257">
            <v>7702050101000</v>
          </cell>
          <cell r="D257">
            <v>833749998</v>
          </cell>
          <cell r="E257">
            <v>0</v>
          </cell>
          <cell r="F257">
            <v>833749998</v>
          </cell>
          <cell r="G257">
            <v>0</v>
          </cell>
        </row>
        <row r="258">
          <cell r="B258">
            <v>7702050101020</v>
          </cell>
          <cell r="D258">
            <v>1953750000</v>
          </cell>
          <cell r="E258">
            <v>0</v>
          </cell>
          <cell r="F258">
            <v>1953750000</v>
          </cell>
          <cell r="G258">
            <v>0</v>
          </cell>
        </row>
        <row r="259">
          <cell r="B259">
            <v>7702050101110</v>
          </cell>
          <cell r="D259">
            <v>882499999</v>
          </cell>
          <cell r="E259">
            <v>30000001</v>
          </cell>
          <cell r="F259">
            <v>852499998</v>
          </cell>
          <cell r="G259">
            <v>0</v>
          </cell>
        </row>
        <row r="260">
          <cell r="B260">
            <v>7702050101120</v>
          </cell>
          <cell r="D260">
            <v>408750000</v>
          </cell>
          <cell r="E260">
            <v>0</v>
          </cell>
          <cell r="F260">
            <v>408750000</v>
          </cell>
          <cell r="G260">
            <v>0</v>
          </cell>
        </row>
        <row r="261">
          <cell r="B261">
            <v>7702050101130</v>
          </cell>
          <cell r="D261">
            <v>55833333</v>
          </cell>
          <cell r="E261">
            <v>55833333</v>
          </cell>
          <cell r="F261">
            <v>0</v>
          </cell>
          <cell r="G261">
            <v>0</v>
          </cell>
        </row>
        <row r="262">
          <cell r="B262">
            <v>7702050201000</v>
          </cell>
          <cell r="D262">
            <v>10000000000</v>
          </cell>
          <cell r="E262">
            <v>0</v>
          </cell>
          <cell r="F262">
            <v>10000000000</v>
          </cell>
          <cell r="G262">
            <v>0</v>
          </cell>
        </row>
        <row r="263">
          <cell r="B263">
            <v>7702050201100</v>
          </cell>
          <cell r="D263">
            <v>2800000000</v>
          </cell>
          <cell r="E263">
            <v>0</v>
          </cell>
          <cell r="F263">
            <v>2800000000</v>
          </cell>
          <cell r="G263">
            <v>0</v>
          </cell>
        </row>
        <row r="264">
          <cell r="B264">
            <v>7702080101000</v>
          </cell>
          <cell r="D264">
            <v>1000000</v>
          </cell>
          <cell r="E264">
            <v>0</v>
          </cell>
          <cell r="F264">
            <v>1000000</v>
          </cell>
          <cell r="G264">
            <v>0</v>
          </cell>
        </row>
        <row r="265">
          <cell r="B265">
            <v>7702080101001</v>
          </cell>
          <cell r="D265">
            <v>4736000000</v>
          </cell>
          <cell r="E265">
            <v>0</v>
          </cell>
          <cell r="F265">
            <v>4736000000</v>
          </cell>
          <cell r="G265">
            <v>0</v>
          </cell>
        </row>
        <row r="266">
          <cell r="B266">
            <v>7702110101010</v>
          </cell>
          <cell r="D266">
            <v>3751923346</v>
          </cell>
          <cell r="E266">
            <v>0</v>
          </cell>
          <cell r="F266">
            <v>3751923346</v>
          </cell>
          <cell r="G266">
            <v>0</v>
          </cell>
        </row>
        <row r="267">
          <cell r="B267">
            <v>7702110101100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B268">
            <v>7702110101110</v>
          </cell>
          <cell r="D268">
            <v>2690823254</v>
          </cell>
          <cell r="E268">
            <v>0</v>
          </cell>
          <cell r="F268">
            <v>2690823254</v>
          </cell>
          <cell r="G268">
            <v>0</v>
          </cell>
        </row>
        <row r="269">
          <cell r="B269">
            <v>7702110101120</v>
          </cell>
          <cell r="D269">
            <v>2317400860</v>
          </cell>
          <cell r="E269">
            <v>0</v>
          </cell>
          <cell r="F269">
            <v>2317400860</v>
          </cell>
          <cell r="G269">
            <v>0</v>
          </cell>
        </row>
        <row r="270">
          <cell r="B270">
            <v>7702110101130</v>
          </cell>
          <cell r="D270">
            <v>10456550528</v>
          </cell>
          <cell r="E270">
            <v>0</v>
          </cell>
          <cell r="F270">
            <v>10456550528</v>
          </cell>
          <cell r="G270">
            <v>0</v>
          </cell>
        </row>
        <row r="271">
          <cell r="B271">
            <v>7702110101140</v>
          </cell>
          <cell r="D271">
            <v>30625702488</v>
          </cell>
          <cell r="E271">
            <v>0</v>
          </cell>
          <cell r="F271">
            <v>30625702488</v>
          </cell>
          <cell r="G271">
            <v>0</v>
          </cell>
        </row>
        <row r="272">
          <cell r="B272">
            <v>7702110101220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B273">
            <v>7702110101300</v>
          </cell>
          <cell r="D273">
            <v>719382731</v>
          </cell>
          <cell r="E273">
            <v>0</v>
          </cell>
          <cell r="F273">
            <v>719382731</v>
          </cell>
          <cell r="G273">
            <v>0</v>
          </cell>
        </row>
        <row r="274">
          <cell r="B274">
            <v>7702120101010</v>
          </cell>
          <cell r="D274">
            <v>1983857397</v>
          </cell>
          <cell r="E274">
            <v>0</v>
          </cell>
          <cell r="F274">
            <v>1983857397</v>
          </cell>
          <cell r="G274">
            <v>0</v>
          </cell>
        </row>
        <row r="275">
          <cell r="B275">
            <v>7702120101100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B276">
            <v>7702120101110</v>
          </cell>
          <cell r="D276">
            <v>21903329600</v>
          </cell>
          <cell r="E276">
            <v>0</v>
          </cell>
          <cell r="F276">
            <v>21903329600</v>
          </cell>
          <cell r="G276">
            <v>0</v>
          </cell>
        </row>
        <row r="277">
          <cell r="B277">
            <v>7702120101120</v>
          </cell>
          <cell r="D277">
            <v>1047353356</v>
          </cell>
          <cell r="E277">
            <v>0</v>
          </cell>
          <cell r="F277">
            <v>1047353356</v>
          </cell>
          <cell r="G277">
            <v>0</v>
          </cell>
        </row>
        <row r="278">
          <cell r="B278">
            <v>7702120101130</v>
          </cell>
          <cell r="D278">
            <v>1503510363</v>
          </cell>
          <cell r="E278">
            <v>0</v>
          </cell>
          <cell r="F278">
            <v>1503510363</v>
          </cell>
          <cell r="G278">
            <v>0</v>
          </cell>
        </row>
        <row r="279">
          <cell r="B279">
            <v>7702120101140</v>
          </cell>
          <cell r="D279">
            <v>13341969683</v>
          </cell>
          <cell r="E279">
            <v>0</v>
          </cell>
          <cell r="F279">
            <v>13341969683</v>
          </cell>
          <cell r="G279">
            <v>0</v>
          </cell>
        </row>
        <row r="280">
          <cell r="B280">
            <v>7702120101220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B281">
            <v>7702120101300</v>
          </cell>
          <cell r="D281">
            <v>6885417283</v>
          </cell>
          <cell r="E281">
            <v>0</v>
          </cell>
          <cell r="F281">
            <v>6885417283</v>
          </cell>
          <cell r="G281">
            <v>0</v>
          </cell>
        </row>
        <row r="282">
          <cell r="B282">
            <v>7702190101120</v>
          </cell>
          <cell r="D282">
            <v>25230714</v>
          </cell>
          <cell r="E282">
            <v>0</v>
          </cell>
          <cell r="F282">
            <v>25230714</v>
          </cell>
          <cell r="G282">
            <v>0</v>
          </cell>
        </row>
        <row r="283">
          <cell r="B283">
            <v>7702190201000</v>
          </cell>
          <cell r="D283">
            <v>556784963</v>
          </cell>
          <cell r="E283">
            <v>0</v>
          </cell>
          <cell r="F283">
            <v>556784963</v>
          </cell>
          <cell r="G283">
            <v>0</v>
          </cell>
        </row>
        <row r="284">
          <cell r="B284">
            <v>7702190201001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B285">
            <v>7702190201010</v>
          </cell>
          <cell r="D285">
            <v>70937334</v>
          </cell>
          <cell r="E285">
            <v>0</v>
          </cell>
          <cell r="F285">
            <v>70937334</v>
          </cell>
          <cell r="G285">
            <v>0</v>
          </cell>
        </row>
        <row r="286">
          <cell r="B286">
            <v>7702190201020</v>
          </cell>
          <cell r="D286">
            <v>23390342</v>
          </cell>
          <cell r="E286">
            <v>0</v>
          </cell>
          <cell r="F286">
            <v>23390342</v>
          </cell>
          <cell r="G286">
            <v>0</v>
          </cell>
        </row>
        <row r="287">
          <cell r="B287">
            <v>7702190201100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B288">
            <v>7702190201110</v>
          </cell>
          <cell r="D288">
            <v>18573944</v>
          </cell>
          <cell r="E288">
            <v>0</v>
          </cell>
          <cell r="F288">
            <v>18573944</v>
          </cell>
          <cell r="G288">
            <v>0</v>
          </cell>
        </row>
        <row r="289">
          <cell r="B289">
            <v>7702190201120</v>
          </cell>
          <cell r="D289">
            <v>119403923</v>
          </cell>
          <cell r="E289">
            <v>0</v>
          </cell>
          <cell r="F289">
            <v>119403923</v>
          </cell>
          <cell r="G289">
            <v>0</v>
          </cell>
        </row>
        <row r="290">
          <cell r="B290">
            <v>7702190201130</v>
          </cell>
          <cell r="D290">
            <v>19608829</v>
          </cell>
          <cell r="E290">
            <v>0</v>
          </cell>
          <cell r="F290">
            <v>19608829</v>
          </cell>
          <cell r="G290">
            <v>0</v>
          </cell>
        </row>
        <row r="291">
          <cell r="B291">
            <v>7702190201140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B292">
            <v>7702190301110</v>
          </cell>
          <cell r="D292">
            <v>450000</v>
          </cell>
          <cell r="E292">
            <v>0</v>
          </cell>
          <cell r="F292">
            <v>450000</v>
          </cell>
          <cell r="G292">
            <v>0</v>
          </cell>
        </row>
        <row r="293">
          <cell r="B293">
            <v>7702210101000</v>
          </cell>
          <cell r="D293">
            <v>525181362</v>
          </cell>
          <cell r="E293">
            <v>0</v>
          </cell>
          <cell r="F293">
            <v>525181362</v>
          </cell>
          <cell r="G293">
            <v>0</v>
          </cell>
        </row>
        <row r="294">
          <cell r="B294">
            <v>7702210101010</v>
          </cell>
          <cell r="D294">
            <v>909612542</v>
          </cell>
          <cell r="E294">
            <v>0</v>
          </cell>
          <cell r="F294">
            <v>909612542</v>
          </cell>
          <cell r="G294">
            <v>0</v>
          </cell>
        </row>
        <row r="295">
          <cell r="B295">
            <v>7702210101020</v>
          </cell>
          <cell r="D295">
            <v>356635598</v>
          </cell>
          <cell r="E295">
            <v>0</v>
          </cell>
          <cell r="F295">
            <v>356635598</v>
          </cell>
          <cell r="G295">
            <v>0</v>
          </cell>
        </row>
        <row r="296">
          <cell r="B296">
            <v>7702210101100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B297">
            <v>7702210101110</v>
          </cell>
          <cell r="D297">
            <v>1844173935</v>
          </cell>
          <cell r="E297">
            <v>0</v>
          </cell>
          <cell r="F297">
            <v>1844173935</v>
          </cell>
          <cell r="G297">
            <v>0</v>
          </cell>
        </row>
        <row r="298">
          <cell r="B298">
            <v>7702210101120</v>
          </cell>
          <cell r="D298">
            <v>535126157</v>
          </cell>
          <cell r="E298">
            <v>0</v>
          </cell>
          <cell r="F298">
            <v>535126157</v>
          </cell>
          <cell r="G298">
            <v>0</v>
          </cell>
        </row>
        <row r="299">
          <cell r="B299">
            <v>7702210101130</v>
          </cell>
          <cell r="D299">
            <v>737221835</v>
          </cell>
          <cell r="E299">
            <v>0</v>
          </cell>
          <cell r="F299">
            <v>737221835</v>
          </cell>
          <cell r="G299">
            <v>0</v>
          </cell>
        </row>
        <row r="300">
          <cell r="B300">
            <v>7702210101140</v>
          </cell>
          <cell r="D300">
            <v>27340677</v>
          </cell>
          <cell r="E300">
            <v>0</v>
          </cell>
          <cell r="F300">
            <v>27340677</v>
          </cell>
          <cell r="G300">
            <v>0</v>
          </cell>
        </row>
        <row r="301">
          <cell r="B301">
            <v>7702210101220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B302">
            <v>7702230101010</v>
          </cell>
          <cell r="D302">
            <v>162241380</v>
          </cell>
          <cell r="E302">
            <v>0</v>
          </cell>
          <cell r="F302">
            <v>162241380</v>
          </cell>
          <cell r="G302">
            <v>0</v>
          </cell>
        </row>
        <row r="303">
          <cell r="B303">
            <v>7702230101100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B304">
            <v>7702230101140</v>
          </cell>
          <cell r="D304">
            <v>3605364</v>
          </cell>
          <cell r="E304">
            <v>0</v>
          </cell>
          <cell r="F304">
            <v>3605364</v>
          </cell>
          <cell r="G304">
            <v>0</v>
          </cell>
        </row>
        <row r="305">
          <cell r="B305">
            <v>7702240101000</v>
          </cell>
          <cell r="D305">
            <v>1035657500</v>
          </cell>
          <cell r="E305">
            <v>0</v>
          </cell>
          <cell r="F305">
            <v>1035657500</v>
          </cell>
          <cell r="G305">
            <v>0</v>
          </cell>
        </row>
        <row r="306">
          <cell r="B306">
            <v>7702240101010</v>
          </cell>
          <cell r="D306">
            <v>564513329</v>
          </cell>
          <cell r="E306">
            <v>0</v>
          </cell>
          <cell r="F306">
            <v>564513329</v>
          </cell>
          <cell r="G306">
            <v>0</v>
          </cell>
        </row>
        <row r="307">
          <cell r="B307">
            <v>7702240101020</v>
          </cell>
          <cell r="D307">
            <v>468900000</v>
          </cell>
          <cell r="E307">
            <v>0</v>
          </cell>
          <cell r="F307">
            <v>468900000</v>
          </cell>
          <cell r="G307">
            <v>0</v>
          </cell>
        </row>
        <row r="308">
          <cell r="B308">
            <v>7702240101100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B309">
            <v>7702240101110</v>
          </cell>
          <cell r="D309">
            <v>1611993999</v>
          </cell>
          <cell r="E309">
            <v>0</v>
          </cell>
          <cell r="F309">
            <v>1611993999</v>
          </cell>
          <cell r="G309">
            <v>0</v>
          </cell>
        </row>
        <row r="310">
          <cell r="B310">
            <v>7702240101120</v>
          </cell>
          <cell r="D310">
            <v>424665000</v>
          </cell>
          <cell r="E310">
            <v>0</v>
          </cell>
          <cell r="F310">
            <v>424665000</v>
          </cell>
          <cell r="G310">
            <v>0</v>
          </cell>
        </row>
        <row r="311">
          <cell r="B311">
            <v>7702240101130</v>
          </cell>
          <cell r="D311">
            <v>816930000</v>
          </cell>
          <cell r="E311">
            <v>0</v>
          </cell>
          <cell r="F311">
            <v>816930000</v>
          </cell>
          <cell r="G311">
            <v>0</v>
          </cell>
        </row>
        <row r="312">
          <cell r="B312">
            <v>7702240101140</v>
          </cell>
          <cell r="D312">
            <v>10300000</v>
          </cell>
          <cell r="E312">
            <v>0</v>
          </cell>
          <cell r="F312">
            <v>10300000</v>
          </cell>
          <cell r="G312">
            <v>0</v>
          </cell>
        </row>
        <row r="313">
          <cell r="B313">
            <v>7702240101220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B314">
            <v>7702310101000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B315">
            <v>7702310101010</v>
          </cell>
          <cell r="D315">
            <v>306521740</v>
          </cell>
          <cell r="E315">
            <v>0</v>
          </cell>
          <cell r="F315">
            <v>306521740</v>
          </cell>
          <cell r="G315">
            <v>0</v>
          </cell>
        </row>
        <row r="316">
          <cell r="B316">
            <v>7702310101020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B317">
            <v>7702310101100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B318">
            <v>7702310101110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B319">
            <v>7702310101120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B320">
            <v>7702310101130</v>
          </cell>
          <cell r="D320">
            <v>14800000</v>
          </cell>
          <cell r="E320">
            <v>0</v>
          </cell>
          <cell r="F320">
            <v>14800000</v>
          </cell>
          <cell r="G320">
            <v>0</v>
          </cell>
        </row>
        <row r="321">
          <cell r="B321">
            <v>7702320101000</v>
          </cell>
          <cell r="D321">
            <v>1225159339</v>
          </cell>
          <cell r="E321">
            <v>0</v>
          </cell>
          <cell r="F321">
            <v>1225159339</v>
          </cell>
          <cell r="G321">
            <v>0</v>
          </cell>
        </row>
        <row r="322">
          <cell r="B322">
            <v>7702320101010</v>
          </cell>
          <cell r="D322">
            <v>977188639</v>
          </cell>
          <cell r="E322">
            <v>0</v>
          </cell>
          <cell r="F322">
            <v>977188639</v>
          </cell>
          <cell r="G322">
            <v>0</v>
          </cell>
        </row>
        <row r="323">
          <cell r="B323">
            <v>7702320101020</v>
          </cell>
          <cell r="D323">
            <v>293421207</v>
          </cell>
          <cell r="E323">
            <v>0</v>
          </cell>
          <cell r="F323">
            <v>293421207</v>
          </cell>
          <cell r="G323">
            <v>0</v>
          </cell>
        </row>
        <row r="324">
          <cell r="B324">
            <v>7702320101100</v>
          </cell>
          <cell r="D324">
            <v>226456192</v>
          </cell>
          <cell r="E324">
            <v>0</v>
          </cell>
          <cell r="F324">
            <v>226456192</v>
          </cell>
          <cell r="G324">
            <v>0</v>
          </cell>
        </row>
        <row r="325">
          <cell r="B325">
            <v>7702320101110</v>
          </cell>
          <cell r="D325">
            <v>2037704847</v>
          </cell>
          <cell r="E325">
            <v>0</v>
          </cell>
          <cell r="F325">
            <v>2037704847</v>
          </cell>
          <cell r="G325">
            <v>0</v>
          </cell>
        </row>
        <row r="326">
          <cell r="B326">
            <v>7702320101120</v>
          </cell>
          <cell r="D326">
            <v>458660325</v>
          </cell>
          <cell r="E326">
            <v>0</v>
          </cell>
          <cell r="F326">
            <v>458660325</v>
          </cell>
          <cell r="G326">
            <v>0</v>
          </cell>
        </row>
        <row r="327">
          <cell r="B327">
            <v>7702320101130</v>
          </cell>
          <cell r="D327">
            <v>787639965</v>
          </cell>
          <cell r="E327">
            <v>0</v>
          </cell>
          <cell r="F327">
            <v>787639965</v>
          </cell>
          <cell r="G327">
            <v>0</v>
          </cell>
        </row>
        <row r="328">
          <cell r="B328">
            <v>7702320101150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B329">
            <v>7702330101000</v>
          </cell>
          <cell r="D329">
            <v>54462998</v>
          </cell>
          <cell r="E329">
            <v>0</v>
          </cell>
          <cell r="F329">
            <v>54462998</v>
          </cell>
          <cell r="G329">
            <v>0</v>
          </cell>
        </row>
        <row r="330">
          <cell r="B330">
            <v>7702330101010</v>
          </cell>
          <cell r="D330">
            <v>54462992</v>
          </cell>
          <cell r="E330">
            <v>0</v>
          </cell>
          <cell r="F330">
            <v>54462992</v>
          </cell>
          <cell r="G330">
            <v>0</v>
          </cell>
        </row>
        <row r="331">
          <cell r="B331">
            <v>7702330101020</v>
          </cell>
          <cell r="D331">
            <v>54462992</v>
          </cell>
          <cell r="E331">
            <v>0</v>
          </cell>
          <cell r="F331">
            <v>54462992</v>
          </cell>
          <cell r="G331">
            <v>0</v>
          </cell>
        </row>
        <row r="332">
          <cell r="B332">
            <v>7702330101100</v>
          </cell>
          <cell r="D332">
            <v>54462995</v>
          </cell>
          <cell r="E332">
            <v>0</v>
          </cell>
          <cell r="F332">
            <v>54462995</v>
          </cell>
          <cell r="G332">
            <v>0</v>
          </cell>
        </row>
        <row r="333">
          <cell r="B333">
            <v>7702330101110</v>
          </cell>
          <cell r="D333">
            <v>103962995</v>
          </cell>
          <cell r="E333">
            <v>0</v>
          </cell>
          <cell r="F333">
            <v>103962995</v>
          </cell>
          <cell r="G333">
            <v>0</v>
          </cell>
        </row>
        <row r="334">
          <cell r="B334">
            <v>7702330101120</v>
          </cell>
          <cell r="D334">
            <v>10970149</v>
          </cell>
          <cell r="E334">
            <v>0</v>
          </cell>
          <cell r="F334">
            <v>10970149</v>
          </cell>
          <cell r="G334">
            <v>0</v>
          </cell>
        </row>
        <row r="335">
          <cell r="B335">
            <v>7702330101130</v>
          </cell>
          <cell r="D335">
            <v>54462994</v>
          </cell>
          <cell r="E335">
            <v>0</v>
          </cell>
          <cell r="F335">
            <v>54462994</v>
          </cell>
          <cell r="G335">
            <v>0</v>
          </cell>
        </row>
        <row r="336">
          <cell r="B336">
            <v>7702350101000</v>
          </cell>
          <cell r="D336">
            <v>291768418</v>
          </cell>
          <cell r="E336">
            <v>0</v>
          </cell>
          <cell r="F336">
            <v>291768418</v>
          </cell>
          <cell r="G336">
            <v>0</v>
          </cell>
        </row>
        <row r="337">
          <cell r="B337">
            <v>7702350101001</v>
          </cell>
          <cell r="D337">
            <v>17000000</v>
          </cell>
          <cell r="E337">
            <v>0</v>
          </cell>
          <cell r="F337">
            <v>17000000</v>
          </cell>
          <cell r="G337">
            <v>0</v>
          </cell>
        </row>
        <row r="338">
          <cell r="B338">
            <v>7702350101010</v>
          </cell>
          <cell r="D338">
            <v>1986775154</v>
          </cell>
          <cell r="E338">
            <v>240174963</v>
          </cell>
          <cell r="F338">
            <v>1746600191</v>
          </cell>
          <cell r="G338">
            <v>0</v>
          </cell>
        </row>
        <row r="339">
          <cell r="B339">
            <v>7702350101020</v>
          </cell>
          <cell r="D339">
            <v>866871201</v>
          </cell>
          <cell r="E339">
            <v>0</v>
          </cell>
          <cell r="F339">
            <v>866871201</v>
          </cell>
          <cell r="G339">
            <v>0</v>
          </cell>
        </row>
        <row r="340">
          <cell r="B340">
            <v>7702350101100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B341">
            <v>7702350101110</v>
          </cell>
          <cell r="D341">
            <v>1446100368</v>
          </cell>
          <cell r="E341">
            <v>0</v>
          </cell>
          <cell r="F341">
            <v>1446100368</v>
          </cell>
          <cell r="G341">
            <v>0</v>
          </cell>
        </row>
        <row r="342">
          <cell r="B342">
            <v>7702350101120</v>
          </cell>
          <cell r="D342">
            <v>477388497</v>
          </cell>
          <cell r="E342">
            <v>0</v>
          </cell>
          <cell r="F342">
            <v>477388497</v>
          </cell>
          <cell r="G342">
            <v>0</v>
          </cell>
        </row>
        <row r="343">
          <cell r="B343">
            <v>7702350101130</v>
          </cell>
          <cell r="D343">
            <v>116101092</v>
          </cell>
          <cell r="E343">
            <v>0</v>
          </cell>
          <cell r="F343">
            <v>116101092</v>
          </cell>
          <cell r="G343">
            <v>0</v>
          </cell>
        </row>
        <row r="344">
          <cell r="B344">
            <v>7702360101000</v>
          </cell>
          <cell r="D344">
            <v>688118565</v>
          </cell>
          <cell r="E344">
            <v>0</v>
          </cell>
          <cell r="F344">
            <v>688118565</v>
          </cell>
          <cell r="G344">
            <v>0</v>
          </cell>
        </row>
        <row r="345">
          <cell r="B345">
            <v>7702360101010</v>
          </cell>
          <cell r="D345">
            <v>366447359</v>
          </cell>
          <cell r="E345">
            <v>0</v>
          </cell>
          <cell r="F345">
            <v>366447359</v>
          </cell>
          <cell r="G345">
            <v>0</v>
          </cell>
        </row>
        <row r="346">
          <cell r="B346">
            <v>7702360101020</v>
          </cell>
          <cell r="D346">
            <v>296578027</v>
          </cell>
          <cell r="E346">
            <v>0</v>
          </cell>
          <cell r="F346">
            <v>296578027</v>
          </cell>
          <cell r="G346">
            <v>0</v>
          </cell>
        </row>
        <row r="347">
          <cell r="B347">
            <v>7702360101100</v>
          </cell>
          <cell r="D347">
            <v>80815848</v>
          </cell>
          <cell r="E347">
            <v>0</v>
          </cell>
          <cell r="F347">
            <v>80815848</v>
          </cell>
          <cell r="G347">
            <v>0</v>
          </cell>
        </row>
        <row r="348">
          <cell r="B348">
            <v>7702360101110</v>
          </cell>
          <cell r="D348">
            <v>1036294536</v>
          </cell>
          <cell r="E348">
            <v>0</v>
          </cell>
          <cell r="F348">
            <v>1036294536</v>
          </cell>
          <cell r="G348">
            <v>0</v>
          </cell>
        </row>
        <row r="349">
          <cell r="B349">
            <v>7702360101120</v>
          </cell>
          <cell r="D349">
            <v>338959789</v>
          </cell>
          <cell r="E349">
            <v>0</v>
          </cell>
          <cell r="F349">
            <v>338959789</v>
          </cell>
          <cell r="G349">
            <v>0</v>
          </cell>
        </row>
        <row r="350">
          <cell r="B350">
            <v>7702360101130</v>
          </cell>
          <cell r="D350">
            <v>452687462</v>
          </cell>
          <cell r="E350">
            <v>0</v>
          </cell>
          <cell r="F350">
            <v>452687462</v>
          </cell>
          <cell r="G350">
            <v>0</v>
          </cell>
        </row>
        <row r="351">
          <cell r="B351">
            <v>7702490101010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B352">
            <v>7703010101130</v>
          </cell>
          <cell r="D352">
            <v>15806090</v>
          </cell>
          <cell r="E352">
            <v>0</v>
          </cell>
          <cell r="F352">
            <v>15806090</v>
          </cell>
          <cell r="G352">
            <v>0</v>
          </cell>
        </row>
        <row r="353">
          <cell r="B353">
            <v>7703020101001</v>
          </cell>
          <cell r="D353">
            <v>216413400</v>
          </cell>
          <cell r="E353">
            <v>0</v>
          </cell>
          <cell r="F353">
            <v>216413400</v>
          </cell>
          <cell r="G353">
            <v>0</v>
          </cell>
        </row>
        <row r="354">
          <cell r="B354">
            <v>7703020101130</v>
          </cell>
          <cell r="D354">
            <v>112773800</v>
          </cell>
          <cell r="E354">
            <v>0</v>
          </cell>
          <cell r="F354">
            <v>112773800</v>
          </cell>
          <cell r="G354">
            <v>0</v>
          </cell>
        </row>
        <row r="355">
          <cell r="B355">
            <v>7703040101130</v>
          </cell>
          <cell r="D355">
            <v>11936477</v>
          </cell>
          <cell r="E355">
            <v>0</v>
          </cell>
          <cell r="F355">
            <v>11936477</v>
          </cell>
          <cell r="G355">
            <v>0</v>
          </cell>
        </row>
        <row r="356">
          <cell r="B356">
            <v>7703120101110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B357">
            <v>7703120101130</v>
          </cell>
          <cell r="D357">
            <v>30337078</v>
          </cell>
          <cell r="E357">
            <v>0</v>
          </cell>
          <cell r="F357">
            <v>30337078</v>
          </cell>
          <cell r="G357">
            <v>0</v>
          </cell>
        </row>
        <row r="358">
          <cell r="B358">
            <v>7703130101010</v>
          </cell>
          <cell r="D358">
            <v>162186570</v>
          </cell>
          <cell r="E358">
            <v>0</v>
          </cell>
          <cell r="F358">
            <v>162186570</v>
          </cell>
          <cell r="G358">
            <v>0</v>
          </cell>
        </row>
        <row r="359">
          <cell r="B359">
            <v>7703160101000</v>
          </cell>
          <cell r="D359">
            <v>743855071</v>
          </cell>
          <cell r="E359">
            <v>450000000</v>
          </cell>
          <cell r="F359">
            <v>293855071</v>
          </cell>
          <cell r="G359">
            <v>0</v>
          </cell>
        </row>
        <row r="360">
          <cell r="B360">
            <v>7703160101001</v>
          </cell>
          <cell r="D360">
            <v>644597404</v>
          </cell>
          <cell r="E360">
            <v>0</v>
          </cell>
          <cell r="F360">
            <v>644597404</v>
          </cell>
          <cell r="G360">
            <v>0</v>
          </cell>
        </row>
        <row r="361">
          <cell r="B361">
            <v>7703160101010</v>
          </cell>
          <cell r="D361">
            <v>178990453</v>
          </cell>
          <cell r="E361">
            <v>0</v>
          </cell>
          <cell r="F361">
            <v>178990453</v>
          </cell>
          <cell r="G361">
            <v>0</v>
          </cell>
        </row>
        <row r="362">
          <cell r="B362">
            <v>7703160101100</v>
          </cell>
          <cell r="D362">
            <v>44833333</v>
          </cell>
          <cell r="E362">
            <v>0</v>
          </cell>
          <cell r="F362">
            <v>44833333</v>
          </cell>
          <cell r="G362">
            <v>0</v>
          </cell>
        </row>
        <row r="363">
          <cell r="B363">
            <v>7703160101110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B364">
            <v>7703180101000</v>
          </cell>
          <cell r="D364">
            <v>6162975</v>
          </cell>
          <cell r="E364">
            <v>0</v>
          </cell>
          <cell r="F364">
            <v>6162975</v>
          </cell>
          <cell r="G364">
            <v>0</v>
          </cell>
        </row>
        <row r="365">
          <cell r="B365">
            <v>7703180101010</v>
          </cell>
          <cell r="D365">
            <v>6162975</v>
          </cell>
          <cell r="E365">
            <v>0</v>
          </cell>
          <cell r="F365">
            <v>6162975</v>
          </cell>
          <cell r="G365">
            <v>0</v>
          </cell>
        </row>
        <row r="366">
          <cell r="B366">
            <v>7703180101020</v>
          </cell>
          <cell r="D366">
            <v>6162975</v>
          </cell>
          <cell r="E366">
            <v>0</v>
          </cell>
          <cell r="F366">
            <v>6162975</v>
          </cell>
          <cell r="G366">
            <v>0</v>
          </cell>
        </row>
        <row r="367">
          <cell r="B367">
            <v>7703180101100</v>
          </cell>
          <cell r="D367">
            <v>6162975</v>
          </cell>
          <cell r="E367">
            <v>0</v>
          </cell>
          <cell r="F367">
            <v>6162975</v>
          </cell>
          <cell r="G367">
            <v>0</v>
          </cell>
        </row>
        <row r="368">
          <cell r="B368">
            <v>7703180101110</v>
          </cell>
          <cell r="D368">
            <v>6162975</v>
          </cell>
          <cell r="E368">
            <v>0</v>
          </cell>
          <cell r="F368">
            <v>6162975</v>
          </cell>
          <cell r="G368">
            <v>0</v>
          </cell>
        </row>
        <row r="369">
          <cell r="B369">
            <v>7703180101120</v>
          </cell>
          <cell r="D369">
            <v>101232225</v>
          </cell>
          <cell r="E369">
            <v>0</v>
          </cell>
          <cell r="F369">
            <v>101232225</v>
          </cell>
          <cell r="G369">
            <v>0</v>
          </cell>
        </row>
        <row r="370">
          <cell r="B370">
            <v>7703180101130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</row>
        <row r="371">
          <cell r="B371">
            <v>7703210101000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B372">
            <v>7703210101120</v>
          </cell>
          <cell r="D372">
            <v>9900792070</v>
          </cell>
          <cell r="E372">
            <v>0</v>
          </cell>
          <cell r="F372">
            <v>9900792070</v>
          </cell>
          <cell r="G372">
            <v>0</v>
          </cell>
        </row>
        <row r="373">
          <cell r="B373">
            <v>7703220101110</v>
          </cell>
          <cell r="D373">
            <v>6290989500</v>
          </cell>
          <cell r="E373">
            <v>0</v>
          </cell>
          <cell r="F373">
            <v>6290989500</v>
          </cell>
          <cell r="G373">
            <v>0</v>
          </cell>
        </row>
        <row r="374">
          <cell r="B374">
            <v>7703230101000</v>
          </cell>
          <cell r="D374">
            <v>15030900000</v>
          </cell>
          <cell r="E374">
            <v>0</v>
          </cell>
          <cell r="F374">
            <v>15030900000</v>
          </cell>
          <cell r="G374">
            <v>0</v>
          </cell>
        </row>
        <row r="375">
          <cell r="B375">
            <v>7703230101020</v>
          </cell>
          <cell r="D375">
            <v>1558273172</v>
          </cell>
          <cell r="E375">
            <v>0</v>
          </cell>
          <cell r="F375">
            <v>1558273172</v>
          </cell>
          <cell r="G375">
            <v>0</v>
          </cell>
        </row>
        <row r="376">
          <cell r="B376">
            <v>7703230101100</v>
          </cell>
          <cell r="D376">
            <v>1436397000</v>
          </cell>
          <cell r="E376">
            <v>0</v>
          </cell>
          <cell r="F376">
            <v>1436397000</v>
          </cell>
          <cell r="G376">
            <v>0</v>
          </cell>
        </row>
        <row r="377">
          <cell r="B377">
            <v>7703230101110</v>
          </cell>
          <cell r="D377">
            <v>6000000</v>
          </cell>
          <cell r="E377">
            <v>0</v>
          </cell>
          <cell r="F377">
            <v>6000000</v>
          </cell>
          <cell r="G377">
            <v>0</v>
          </cell>
        </row>
        <row r="378">
          <cell r="B378">
            <v>7703230101150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</row>
        <row r="379">
          <cell r="B379">
            <v>7703240101010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B380">
            <v>7703280101020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</row>
        <row r="381">
          <cell r="B381">
            <v>7703280101110</v>
          </cell>
          <cell r="D381">
            <v>444500000</v>
          </cell>
          <cell r="E381">
            <v>0</v>
          </cell>
          <cell r="F381">
            <v>444500000</v>
          </cell>
          <cell r="G381">
            <v>0</v>
          </cell>
        </row>
        <row r="382">
          <cell r="B382">
            <v>7703280101210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B383">
            <v>7703290101000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B384">
            <v>7703299901110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B385">
            <v>7703299901140</v>
          </cell>
          <cell r="D385">
            <v>43478261</v>
          </cell>
          <cell r="E385">
            <v>0</v>
          </cell>
          <cell r="F385">
            <v>43478261</v>
          </cell>
          <cell r="G385">
            <v>0</v>
          </cell>
        </row>
        <row r="386">
          <cell r="B386">
            <v>7703310101130</v>
          </cell>
          <cell r="D386">
            <v>61797753</v>
          </cell>
          <cell r="E386">
            <v>0</v>
          </cell>
          <cell r="F386">
            <v>61797753</v>
          </cell>
          <cell r="G386">
            <v>0</v>
          </cell>
        </row>
        <row r="387">
          <cell r="B387">
            <v>7703310101140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B388">
            <v>7703320101010</v>
          </cell>
          <cell r="D388">
            <v>269662924</v>
          </cell>
          <cell r="E388">
            <v>0</v>
          </cell>
          <cell r="F388">
            <v>269662924</v>
          </cell>
          <cell r="G388">
            <v>0</v>
          </cell>
        </row>
        <row r="389">
          <cell r="B389">
            <v>7703320101130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B390">
            <v>7703320101140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B391">
            <v>7704010101000</v>
          </cell>
          <cell r="D391">
            <v>207631303</v>
          </cell>
          <cell r="E391">
            <v>0</v>
          </cell>
          <cell r="F391">
            <v>207631303</v>
          </cell>
          <cell r="G391">
            <v>0</v>
          </cell>
        </row>
        <row r="392">
          <cell r="B392">
            <v>7704010101001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B393">
            <v>7704010101010</v>
          </cell>
          <cell r="D393">
            <v>538335799</v>
          </cell>
          <cell r="E393">
            <v>0</v>
          </cell>
          <cell r="F393">
            <v>538335799</v>
          </cell>
          <cell r="G393">
            <v>0</v>
          </cell>
        </row>
        <row r="394">
          <cell r="B394">
            <v>7704010101020</v>
          </cell>
          <cell r="D394">
            <v>207906520</v>
          </cell>
          <cell r="E394">
            <v>0</v>
          </cell>
          <cell r="F394">
            <v>207906520</v>
          </cell>
          <cell r="G394">
            <v>0</v>
          </cell>
        </row>
        <row r="395">
          <cell r="B395">
            <v>7704010101100</v>
          </cell>
          <cell r="D395">
            <v>65874652</v>
          </cell>
          <cell r="E395">
            <v>0</v>
          </cell>
          <cell r="F395">
            <v>65874652</v>
          </cell>
          <cell r="G395">
            <v>0</v>
          </cell>
        </row>
        <row r="396">
          <cell r="B396">
            <v>7704010101110</v>
          </cell>
          <cell r="D396">
            <v>456184781</v>
          </cell>
          <cell r="E396">
            <v>0</v>
          </cell>
          <cell r="F396">
            <v>456184781</v>
          </cell>
          <cell r="G396">
            <v>0</v>
          </cell>
        </row>
        <row r="397">
          <cell r="B397">
            <v>7704010101120</v>
          </cell>
          <cell r="D397">
            <v>413824348</v>
          </cell>
          <cell r="E397">
            <v>0</v>
          </cell>
          <cell r="F397">
            <v>413824348</v>
          </cell>
          <cell r="G397">
            <v>0</v>
          </cell>
        </row>
        <row r="398">
          <cell r="B398">
            <v>7704010101130</v>
          </cell>
          <cell r="D398">
            <v>270291303</v>
          </cell>
          <cell r="E398">
            <v>0</v>
          </cell>
          <cell r="F398">
            <v>270291303</v>
          </cell>
          <cell r="G398">
            <v>0</v>
          </cell>
        </row>
        <row r="399">
          <cell r="B399">
            <v>7704010101140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</row>
        <row r="400">
          <cell r="B400">
            <v>7704010101150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</row>
        <row r="401">
          <cell r="B401">
            <v>7704010101210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B402">
            <v>7704020101000</v>
          </cell>
          <cell r="D402">
            <v>557885951</v>
          </cell>
          <cell r="E402">
            <v>0</v>
          </cell>
          <cell r="F402">
            <v>557885951</v>
          </cell>
          <cell r="G402">
            <v>0</v>
          </cell>
        </row>
        <row r="403">
          <cell r="B403">
            <v>7704020101001</v>
          </cell>
          <cell r="D403">
            <v>95652174</v>
          </cell>
          <cell r="E403">
            <v>0</v>
          </cell>
          <cell r="F403">
            <v>95652174</v>
          </cell>
          <cell r="G403">
            <v>0</v>
          </cell>
        </row>
        <row r="404">
          <cell r="B404">
            <v>7704020101010</v>
          </cell>
          <cell r="D404">
            <v>443826086</v>
          </cell>
          <cell r="E404">
            <v>0</v>
          </cell>
          <cell r="F404">
            <v>443826086</v>
          </cell>
          <cell r="G404">
            <v>0</v>
          </cell>
        </row>
        <row r="405">
          <cell r="B405">
            <v>7704020101020</v>
          </cell>
          <cell r="D405">
            <v>375817391</v>
          </cell>
          <cell r="E405">
            <v>0</v>
          </cell>
          <cell r="F405">
            <v>375817391</v>
          </cell>
          <cell r="G405">
            <v>0</v>
          </cell>
        </row>
        <row r="406">
          <cell r="B406">
            <v>7704020101100</v>
          </cell>
          <cell r="D406">
            <v>93956522</v>
          </cell>
          <cell r="E406">
            <v>0</v>
          </cell>
          <cell r="F406">
            <v>93956522</v>
          </cell>
          <cell r="G406">
            <v>0</v>
          </cell>
        </row>
        <row r="407">
          <cell r="B407">
            <v>7704020101110</v>
          </cell>
          <cell r="D407">
            <v>287434782</v>
          </cell>
          <cell r="E407">
            <v>0</v>
          </cell>
          <cell r="F407">
            <v>287434782</v>
          </cell>
          <cell r="G407">
            <v>0</v>
          </cell>
        </row>
        <row r="408">
          <cell r="B408">
            <v>7704020101120</v>
          </cell>
          <cell r="D408">
            <v>728615112</v>
          </cell>
          <cell r="E408">
            <v>0</v>
          </cell>
          <cell r="F408">
            <v>728615112</v>
          </cell>
          <cell r="G408">
            <v>0</v>
          </cell>
        </row>
        <row r="409">
          <cell r="B409">
            <v>7704020101130</v>
          </cell>
          <cell r="D409">
            <v>201434782</v>
          </cell>
          <cell r="E409">
            <v>0</v>
          </cell>
          <cell r="F409">
            <v>201434782</v>
          </cell>
          <cell r="G409">
            <v>0</v>
          </cell>
        </row>
        <row r="410">
          <cell r="B410">
            <v>7704020101140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B411">
            <v>7704020101210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B412">
            <v>7704020201000</v>
          </cell>
          <cell r="D412">
            <v>62529743</v>
          </cell>
          <cell r="E412">
            <v>0</v>
          </cell>
          <cell r="F412">
            <v>62529743</v>
          </cell>
          <cell r="G412">
            <v>0</v>
          </cell>
        </row>
        <row r="413">
          <cell r="B413">
            <v>7704020201001</v>
          </cell>
          <cell r="D413">
            <v>145465013</v>
          </cell>
          <cell r="E413">
            <v>0</v>
          </cell>
          <cell r="F413">
            <v>145465013</v>
          </cell>
          <cell r="G413">
            <v>0</v>
          </cell>
        </row>
        <row r="414">
          <cell r="B414">
            <v>7704020201010</v>
          </cell>
          <cell r="D414">
            <v>399864324</v>
          </cell>
          <cell r="E414">
            <v>0</v>
          </cell>
          <cell r="F414">
            <v>399864324</v>
          </cell>
          <cell r="G414">
            <v>0</v>
          </cell>
        </row>
        <row r="415">
          <cell r="B415">
            <v>7704020201020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B416">
            <v>7704020201100</v>
          </cell>
          <cell r="D416">
            <v>96185804</v>
          </cell>
          <cell r="E416">
            <v>0</v>
          </cell>
          <cell r="F416">
            <v>96185804</v>
          </cell>
          <cell r="G416">
            <v>0</v>
          </cell>
        </row>
        <row r="417">
          <cell r="B417">
            <v>7704020201110</v>
          </cell>
          <cell r="D417">
            <v>47034700</v>
          </cell>
          <cell r="E417">
            <v>0</v>
          </cell>
          <cell r="F417">
            <v>47034700</v>
          </cell>
          <cell r="G417">
            <v>0</v>
          </cell>
        </row>
        <row r="418">
          <cell r="B418">
            <v>7704020201120</v>
          </cell>
          <cell r="D418">
            <v>163639564</v>
          </cell>
          <cell r="E418">
            <v>0</v>
          </cell>
          <cell r="F418">
            <v>163639564</v>
          </cell>
          <cell r="G418">
            <v>0</v>
          </cell>
        </row>
        <row r="419">
          <cell r="B419">
            <v>7704020201130</v>
          </cell>
          <cell r="D419">
            <v>22678261</v>
          </cell>
          <cell r="E419">
            <v>0</v>
          </cell>
          <cell r="F419">
            <v>22678261</v>
          </cell>
          <cell r="G419">
            <v>0</v>
          </cell>
        </row>
        <row r="420">
          <cell r="B420">
            <v>7704020201140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B421">
            <v>7704020201210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B422">
            <v>7704030101000</v>
          </cell>
          <cell r="D422">
            <v>535061263</v>
          </cell>
          <cell r="E422">
            <v>0</v>
          </cell>
          <cell r="F422">
            <v>535061263</v>
          </cell>
          <cell r="G422">
            <v>0</v>
          </cell>
        </row>
        <row r="423">
          <cell r="B423">
            <v>7704030101001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B424">
            <v>7704030101010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</row>
        <row r="425">
          <cell r="B425">
            <v>7704030101020</v>
          </cell>
          <cell r="D425">
            <v>199784031</v>
          </cell>
          <cell r="E425">
            <v>0</v>
          </cell>
          <cell r="F425">
            <v>199784031</v>
          </cell>
          <cell r="G425">
            <v>0</v>
          </cell>
        </row>
        <row r="426">
          <cell r="B426">
            <v>7704030101100</v>
          </cell>
          <cell r="D426">
            <v>773303622</v>
          </cell>
          <cell r="E426">
            <v>0</v>
          </cell>
          <cell r="F426">
            <v>773303622</v>
          </cell>
          <cell r="G426">
            <v>0</v>
          </cell>
        </row>
        <row r="427">
          <cell r="B427">
            <v>7704030101130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</row>
        <row r="428">
          <cell r="B428">
            <v>7704030101140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B429">
            <v>7704030101210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B430">
            <v>7704110101010</v>
          </cell>
          <cell r="D430">
            <v>109925000</v>
          </cell>
          <cell r="E430">
            <v>0</v>
          </cell>
          <cell r="F430">
            <v>109925000</v>
          </cell>
          <cell r="G430">
            <v>0</v>
          </cell>
        </row>
        <row r="431">
          <cell r="B431">
            <v>7704110101020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</row>
        <row r="432">
          <cell r="B432">
            <v>7704110101100</v>
          </cell>
          <cell r="D432">
            <v>10400000</v>
          </cell>
          <cell r="E432">
            <v>0</v>
          </cell>
          <cell r="F432">
            <v>10400000</v>
          </cell>
          <cell r="G432">
            <v>0</v>
          </cell>
        </row>
        <row r="433">
          <cell r="B433">
            <v>7704110101110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B434">
            <v>7704110101210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B435">
            <v>7704120101020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B436">
            <v>7704120101210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B437">
            <v>7704130101000</v>
          </cell>
          <cell r="D437">
            <v>1133225575</v>
          </cell>
          <cell r="E437">
            <v>0</v>
          </cell>
          <cell r="F437">
            <v>1133225575</v>
          </cell>
          <cell r="G437">
            <v>0</v>
          </cell>
        </row>
        <row r="438">
          <cell r="B438">
            <v>7704130101001</v>
          </cell>
          <cell r="D438">
            <v>78566086</v>
          </cell>
          <cell r="E438">
            <v>0</v>
          </cell>
          <cell r="F438">
            <v>78566086</v>
          </cell>
          <cell r="G438">
            <v>0</v>
          </cell>
        </row>
        <row r="439">
          <cell r="B439">
            <v>7704130101010</v>
          </cell>
          <cell r="D439">
            <v>2969545826</v>
          </cell>
          <cell r="E439">
            <v>0</v>
          </cell>
          <cell r="F439">
            <v>2969545826</v>
          </cell>
          <cell r="G439">
            <v>0</v>
          </cell>
        </row>
        <row r="440">
          <cell r="B440">
            <v>7704130101020</v>
          </cell>
          <cell r="D440">
            <v>230321451</v>
          </cell>
          <cell r="E440">
            <v>0</v>
          </cell>
          <cell r="F440">
            <v>230321451</v>
          </cell>
          <cell r="G440">
            <v>0</v>
          </cell>
        </row>
        <row r="441">
          <cell r="B441">
            <v>7704130101100</v>
          </cell>
          <cell r="D441">
            <v>225864492</v>
          </cell>
          <cell r="E441">
            <v>0</v>
          </cell>
          <cell r="F441">
            <v>225864492</v>
          </cell>
          <cell r="G441">
            <v>0</v>
          </cell>
        </row>
        <row r="442">
          <cell r="B442">
            <v>7704130101110</v>
          </cell>
          <cell r="D442">
            <v>232308472</v>
          </cell>
          <cell r="E442">
            <v>0</v>
          </cell>
          <cell r="F442">
            <v>232308472</v>
          </cell>
          <cell r="G442">
            <v>0</v>
          </cell>
        </row>
        <row r="443">
          <cell r="B443">
            <v>7704130101120</v>
          </cell>
          <cell r="D443">
            <v>164763913</v>
          </cell>
          <cell r="E443">
            <v>0</v>
          </cell>
          <cell r="F443">
            <v>164763913</v>
          </cell>
          <cell r="G443">
            <v>0</v>
          </cell>
        </row>
        <row r="444">
          <cell r="B444">
            <v>7704130101130</v>
          </cell>
          <cell r="D444">
            <v>517528844</v>
          </cell>
          <cell r="E444">
            <v>0</v>
          </cell>
          <cell r="F444">
            <v>517528844</v>
          </cell>
          <cell r="G444">
            <v>0</v>
          </cell>
        </row>
        <row r="445">
          <cell r="B445">
            <v>7704130101140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B446">
            <v>7704130101210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B447">
            <v>7704140101000</v>
          </cell>
          <cell r="D447">
            <v>194499238</v>
          </cell>
          <cell r="E447">
            <v>25478261</v>
          </cell>
          <cell r="F447">
            <v>169020977</v>
          </cell>
          <cell r="G447">
            <v>0</v>
          </cell>
        </row>
        <row r="448">
          <cell r="B448">
            <v>7704140101010</v>
          </cell>
          <cell r="D448">
            <v>94928365</v>
          </cell>
          <cell r="E448">
            <v>0</v>
          </cell>
          <cell r="F448">
            <v>94928365</v>
          </cell>
          <cell r="G448">
            <v>0</v>
          </cell>
        </row>
        <row r="449">
          <cell r="B449">
            <v>7704140101020</v>
          </cell>
          <cell r="D449">
            <v>79812267</v>
          </cell>
          <cell r="E449">
            <v>0</v>
          </cell>
          <cell r="F449">
            <v>79812267</v>
          </cell>
          <cell r="G449">
            <v>0</v>
          </cell>
        </row>
        <row r="450">
          <cell r="B450">
            <v>7704140101100</v>
          </cell>
          <cell r="D450">
            <v>67314486</v>
          </cell>
          <cell r="E450">
            <v>0</v>
          </cell>
          <cell r="F450">
            <v>67314486</v>
          </cell>
          <cell r="G450">
            <v>0</v>
          </cell>
        </row>
        <row r="451">
          <cell r="B451">
            <v>7704140101110</v>
          </cell>
          <cell r="D451">
            <v>290713909</v>
          </cell>
          <cell r="E451">
            <v>0</v>
          </cell>
          <cell r="F451">
            <v>290713909</v>
          </cell>
          <cell r="G451">
            <v>0</v>
          </cell>
        </row>
        <row r="452">
          <cell r="B452">
            <v>7704140101120</v>
          </cell>
          <cell r="D452">
            <v>41875802</v>
          </cell>
          <cell r="E452">
            <v>0</v>
          </cell>
          <cell r="F452">
            <v>41875802</v>
          </cell>
          <cell r="G452">
            <v>0</v>
          </cell>
        </row>
        <row r="453">
          <cell r="B453">
            <v>7704140101130</v>
          </cell>
          <cell r="D453">
            <v>351341955</v>
          </cell>
          <cell r="E453">
            <v>0</v>
          </cell>
          <cell r="F453">
            <v>351341955</v>
          </cell>
          <cell r="G453">
            <v>0</v>
          </cell>
        </row>
        <row r="454">
          <cell r="B454">
            <v>7704140101140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B455">
            <v>7704210101010</v>
          </cell>
          <cell r="D455">
            <v>458000000</v>
          </cell>
          <cell r="E455">
            <v>0</v>
          </cell>
          <cell r="F455">
            <v>458000000</v>
          </cell>
          <cell r="G455">
            <v>0</v>
          </cell>
        </row>
        <row r="456">
          <cell r="B456">
            <v>7704210101020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</row>
        <row r="457">
          <cell r="B457">
            <v>7704210101110</v>
          </cell>
          <cell r="D457">
            <v>4005000000</v>
          </cell>
          <cell r="E457">
            <v>0</v>
          </cell>
          <cell r="F457">
            <v>4005000000</v>
          </cell>
          <cell r="G457">
            <v>0</v>
          </cell>
        </row>
        <row r="458">
          <cell r="B458">
            <v>7704210101210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B459">
            <v>7704220101000</v>
          </cell>
          <cell r="D459">
            <v>5175815500</v>
          </cell>
          <cell r="E459">
            <v>0</v>
          </cell>
          <cell r="F459">
            <v>5175815500</v>
          </cell>
          <cell r="G459">
            <v>0</v>
          </cell>
        </row>
        <row r="460">
          <cell r="B460">
            <v>7704220101001</v>
          </cell>
          <cell r="D460">
            <v>1054601390</v>
          </cell>
          <cell r="E460">
            <v>136792500</v>
          </cell>
          <cell r="F460">
            <v>917808890</v>
          </cell>
          <cell r="G460">
            <v>0</v>
          </cell>
        </row>
        <row r="461">
          <cell r="B461">
            <v>7704220101010</v>
          </cell>
          <cell r="D461">
            <v>591060000</v>
          </cell>
          <cell r="E461">
            <v>0</v>
          </cell>
          <cell r="F461">
            <v>591060000</v>
          </cell>
          <cell r="G461">
            <v>0</v>
          </cell>
        </row>
        <row r="462">
          <cell r="B462">
            <v>7704220101110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B463">
            <v>7704230101000</v>
          </cell>
          <cell r="D463">
            <v>1090000000</v>
          </cell>
          <cell r="E463">
            <v>0</v>
          </cell>
          <cell r="F463">
            <v>1090000000</v>
          </cell>
          <cell r="G463">
            <v>0</v>
          </cell>
        </row>
        <row r="464">
          <cell r="B464">
            <v>7704230101010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B465">
            <v>7704230101020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</row>
        <row r="466">
          <cell r="B466">
            <v>7704230101100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B467">
            <v>7704230101110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B468">
            <v>7704230101210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B469">
            <v>7704270101000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</row>
        <row r="470">
          <cell r="B470">
            <v>7704270101020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</row>
        <row r="471">
          <cell r="B471">
            <v>7704270101210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B472">
            <v>7704280101000</v>
          </cell>
          <cell r="D472">
            <v>275000000</v>
          </cell>
          <cell r="E472">
            <v>0</v>
          </cell>
          <cell r="F472">
            <v>275000000</v>
          </cell>
          <cell r="G472">
            <v>0</v>
          </cell>
        </row>
        <row r="473">
          <cell r="B473">
            <v>7704280101010</v>
          </cell>
          <cell r="D473">
            <v>296979166</v>
          </cell>
          <cell r="E473">
            <v>0</v>
          </cell>
          <cell r="F473">
            <v>296979166</v>
          </cell>
          <cell r="G473">
            <v>0</v>
          </cell>
        </row>
        <row r="474">
          <cell r="B474">
            <v>7704280101020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B475">
            <v>7704280101110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</row>
        <row r="476">
          <cell r="B476">
            <v>7704280101120</v>
          </cell>
          <cell r="D476">
            <v>13826087</v>
          </cell>
          <cell r="E476">
            <v>0</v>
          </cell>
          <cell r="F476">
            <v>13826087</v>
          </cell>
          <cell r="G476">
            <v>0</v>
          </cell>
        </row>
        <row r="477">
          <cell r="B477">
            <v>7704280101130</v>
          </cell>
          <cell r="D477">
            <v>21000000</v>
          </cell>
          <cell r="E477">
            <v>0</v>
          </cell>
          <cell r="F477">
            <v>21000000</v>
          </cell>
          <cell r="G477">
            <v>0</v>
          </cell>
        </row>
        <row r="478">
          <cell r="B478">
            <v>7704280101140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</row>
        <row r="479">
          <cell r="B479">
            <v>7704280101210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B480">
            <v>7704290101000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</row>
        <row r="481">
          <cell r="B481">
            <v>7704290101020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</row>
        <row r="482">
          <cell r="B482">
            <v>7704290101210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B483">
            <v>7704310101000</v>
          </cell>
          <cell r="D483">
            <v>27650961</v>
          </cell>
          <cell r="E483">
            <v>0</v>
          </cell>
          <cell r="F483">
            <v>27650961</v>
          </cell>
          <cell r="G483">
            <v>0</v>
          </cell>
        </row>
        <row r="484">
          <cell r="B484">
            <v>7704310101020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B485">
            <v>7704310101110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B486">
            <v>7704310101210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B487">
            <v>7704320101000</v>
          </cell>
          <cell r="D487">
            <v>121785000</v>
          </cell>
          <cell r="E487">
            <v>0</v>
          </cell>
          <cell r="F487">
            <v>121785000</v>
          </cell>
          <cell r="G487">
            <v>0</v>
          </cell>
        </row>
        <row r="488">
          <cell r="B488">
            <v>7704320101010</v>
          </cell>
          <cell r="D488">
            <v>46920000</v>
          </cell>
          <cell r="E488">
            <v>0</v>
          </cell>
          <cell r="F488">
            <v>46920000</v>
          </cell>
          <cell r="G488">
            <v>0</v>
          </cell>
        </row>
        <row r="489">
          <cell r="B489">
            <v>7704320101020</v>
          </cell>
          <cell r="D489">
            <v>46920000</v>
          </cell>
          <cell r="E489">
            <v>0</v>
          </cell>
          <cell r="F489">
            <v>46920000</v>
          </cell>
          <cell r="G489">
            <v>0</v>
          </cell>
        </row>
        <row r="490">
          <cell r="B490">
            <v>7704320101100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B491">
            <v>7704320101110</v>
          </cell>
          <cell r="D491">
            <v>95910000</v>
          </cell>
          <cell r="E491">
            <v>0</v>
          </cell>
          <cell r="F491">
            <v>95910000</v>
          </cell>
          <cell r="G491">
            <v>0</v>
          </cell>
        </row>
        <row r="492">
          <cell r="B492">
            <v>7704320101130</v>
          </cell>
          <cell r="D492">
            <v>112240000</v>
          </cell>
          <cell r="E492">
            <v>0</v>
          </cell>
          <cell r="F492">
            <v>112240000</v>
          </cell>
          <cell r="G492">
            <v>0</v>
          </cell>
        </row>
        <row r="493">
          <cell r="B493">
            <v>7704330101110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B494">
            <v>7704330201000</v>
          </cell>
          <cell r="D494">
            <v>776015100</v>
          </cell>
          <cell r="E494">
            <v>0</v>
          </cell>
          <cell r="F494">
            <v>776015100</v>
          </cell>
          <cell r="G494">
            <v>0</v>
          </cell>
        </row>
        <row r="495">
          <cell r="B495">
            <v>7704330201001</v>
          </cell>
          <cell r="D495">
            <v>1156202713</v>
          </cell>
          <cell r="E495">
            <v>0</v>
          </cell>
          <cell r="F495">
            <v>1156202713</v>
          </cell>
          <cell r="G495">
            <v>0</v>
          </cell>
        </row>
        <row r="496">
          <cell r="B496">
            <v>7704340101110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B497">
            <v>7704390101000</v>
          </cell>
          <cell r="D497">
            <v>204685670</v>
          </cell>
          <cell r="E497">
            <v>0</v>
          </cell>
          <cell r="F497">
            <v>204685670</v>
          </cell>
          <cell r="G497">
            <v>0</v>
          </cell>
        </row>
        <row r="498">
          <cell r="B498">
            <v>7704390101010</v>
          </cell>
          <cell r="D498">
            <v>126096488</v>
          </cell>
          <cell r="E498">
            <v>0</v>
          </cell>
          <cell r="F498">
            <v>126096488</v>
          </cell>
          <cell r="G498">
            <v>0</v>
          </cell>
        </row>
        <row r="499">
          <cell r="B499">
            <v>7704390101020</v>
          </cell>
          <cell r="D499">
            <v>143032594</v>
          </cell>
          <cell r="E499">
            <v>0</v>
          </cell>
          <cell r="F499">
            <v>143032594</v>
          </cell>
          <cell r="G499">
            <v>0</v>
          </cell>
        </row>
        <row r="500">
          <cell r="B500">
            <v>7704390101100</v>
          </cell>
          <cell r="D500">
            <v>143032594</v>
          </cell>
          <cell r="E500">
            <v>0</v>
          </cell>
          <cell r="F500">
            <v>143032594</v>
          </cell>
          <cell r="G500">
            <v>0</v>
          </cell>
        </row>
      </sheetData>
      <sheetData sheetId="23" refreshError="1">
        <row r="6">
          <cell r="B6">
            <v>600802010171</v>
          </cell>
          <cell r="D6">
            <v>0</v>
          </cell>
          <cell r="E6">
            <v>132762150500</v>
          </cell>
          <cell r="F6">
            <v>0</v>
          </cell>
          <cell r="G6">
            <v>132762150500</v>
          </cell>
          <cell r="H6">
            <v>0</v>
          </cell>
        </row>
        <row r="7">
          <cell r="B7">
            <v>600802020171</v>
          </cell>
          <cell r="D7">
            <v>0</v>
          </cell>
          <cell r="E7">
            <v>1643950000</v>
          </cell>
          <cell r="F7">
            <v>0</v>
          </cell>
          <cell r="G7">
            <v>1643950000</v>
          </cell>
          <cell r="H7">
            <v>0</v>
          </cell>
        </row>
        <row r="8">
          <cell r="B8">
            <v>610817010171</v>
          </cell>
          <cell r="D8">
            <v>1541736000</v>
          </cell>
          <cell r="E8">
            <v>0</v>
          </cell>
          <cell r="F8">
            <v>1541736000</v>
          </cell>
          <cell r="G8">
            <v>0</v>
          </cell>
          <cell r="H8">
            <v>0</v>
          </cell>
        </row>
        <row r="9">
          <cell r="B9">
            <v>620853010171</v>
          </cell>
          <cell r="D9">
            <v>105589183612</v>
          </cell>
          <cell r="E9">
            <v>0</v>
          </cell>
          <cell r="F9">
            <v>105589183612</v>
          </cell>
          <cell r="G9">
            <v>0</v>
          </cell>
          <cell r="H9">
            <v>0</v>
          </cell>
        </row>
        <row r="10">
          <cell r="B10">
            <v>6324780102131</v>
          </cell>
          <cell r="D10">
            <v>20923032219</v>
          </cell>
          <cell r="E10">
            <v>11250718606</v>
          </cell>
          <cell r="F10">
            <v>9672313613</v>
          </cell>
          <cell r="G10">
            <v>0</v>
          </cell>
          <cell r="H10">
            <v>9810690582</v>
          </cell>
        </row>
        <row r="11">
          <cell r="B11">
            <v>6324780102132</v>
          </cell>
          <cell r="D11">
            <v>6761452998</v>
          </cell>
          <cell r="E11">
            <v>0</v>
          </cell>
          <cell r="F11">
            <v>6761452998</v>
          </cell>
          <cell r="G11">
            <v>0</v>
          </cell>
          <cell r="H11">
            <v>6623076024</v>
          </cell>
        </row>
        <row r="12">
          <cell r="B12">
            <v>6324780102133</v>
          </cell>
          <cell r="D12">
            <v>8288117639</v>
          </cell>
          <cell r="E12">
            <v>0</v>
          </cell>
          <cell r="F12">
            <v>8288117639</v>
          </cell>
          <cell r="G12">
            <v>0</v>
          </cell>
          <cell r="H12">
            <v>8288117634</v>
          </cell>
        </row>
        <row r="13">
          <cell r="B13">
            <v>6324780102232</v>
          </cell>
          <cell r="D13">
            <v>7820583905</v>
          </cell>
          <cell r="E13">
            <v>0</v>
          </cell>
          <cell r="F13">
            <v>7820583905</v>
          </cell>
          <cell r="G13">
            <v>0</v>
          </cell>
          <cell r="H13">
            <v>7820583900</v>
          </cell>
        </row>
        <row r="14">
          <cell r="B14">
            <v>6324780102240</v>
          </cell>
          <cell r="D14">
            <v>7032173459</v>
          </cell>
          <cell r="E14">
            <v>0</v>
          </cell>
          <cell r="F14">
            <v>7032173459</v>
          </cell>
          <cell r="G14">
            <v>0</v>
          </cell>
          <cell r="H14">
            <v>7032173460</v>
          </cell>
        </row>
        <row r="15">
          <cell r="B15">
            <v>6324780102250</v>
          </cell>
          <cell r="D15">
            <v>3463210852</v>
          </cell>
          <cell r="E15">
            <v>0</v>
          </cell>
          <cell r="F15">
            <v>3463210852</v>
          </cell>
          <cell r="G15">
            <v>0</v>
          </cell>
          <cell r="H15">
            <v>3542688012</v>
          </cell>
        </row>
        <row r="16">
          <cell r="B16">
            <v>6324780102251</v>
          </cell>
          <cell r="D16">
            <v>2756704516</v>
          </cell>
          <cell r="E16">
            <v>0</v>
          </cell>
          <cell r="F16">
            <v>2756704516</v>
          </cell>
          <cell r="G16">
            <v>0</v>
          </cell>
          <cell r="H16">
            <v>2836181676</v>
          </cell>
        </row>
        <row r="17">
          <cell r="B17">
            <v>6324780102280</v>
          </cell>
          <cell r="D17">
            <v>6968632118</v>
          </cell>
          <cell r="E17">
            <v>0</v>
          </cell>
          <cell r="F17">
            <v>6968632118</v>
          </cell>
          <cell r="G17">
            <v>0</v>
          </cell>
          <cell r="H17">
            <v>6919601196</v>
          </cell>
        </row>
        <row r="18">
          <cell r="B18">
            <v>6324780102290</v>
          </cell>
          <cell r="D18">
            <v>535871404</v>
          </cell>
          <cell r="E18">
            <v>0</v>
          </cell>
          <cell r="F18">
            <v>535871404</v>
          </cell>
          <cell r="G18">
            <v>0</v>
          </cell>
          <cell r="H18">
            <v>528607704</v>
          </cell>
        </row>
        <row r="19">
          <cell r="B19">
            <v>6324780202000</v>
          </cell>
          <cell r="D19">
            <v>7121130022</v>
          </cell>
          <cell r="E19">
            <v>5117257588</v>
          </cell>
          <cell r="F19">
            <v>2003872434</v>
          </cell>
          <cell r="G19">
            <v>0</v>
          </cell>
          <cell r="H19">
            <v>2003872434</v>
          </cell>
        </row>
        <row r="20">
          <cell r="B20">
            <v>6324780202010</v>
          </cell>
          <cell r="D20">
            <v>8296649658</v>
          </cell>
          <cell r="E20">
            <v>0</v>
          </cell>
          <cell r="F20">
            <v>8296649658</v>
          </cell>
          <cell r="G20">
            <v>0</v>
          </cell>
          <cell r="H20">
            <v>8296649658</v>
          </cell>
        </row>
        <row r="21">
          <cell r="B21">
            <v>6324780202011</v>
          </cell>
          <cell r="D21">
            <v>2874616440</v>
          </cell>
          <cell r="E21">
            <v>0</v>
          </cell>
          <cell r="F21">
            <v>2874616440</v>
          </cell>
          <cell r="G21">
            <v>0</v>
          </cell>
          <cell r="H21">
            <v>2874616440</v>
          </cell>
        </row>
        <row r="22">
          <cell r="B22">
            <v>6324780202012</v>
          </cell>
          <cell r="D22">
            <v>1818612672</v>
          </cell>
          <cell r="E22">
            <v>0</v>
          </cell>
          <cell r="F22">
            <v>1818612672</v>
          </cell>
          <cell r="G22">
            <v>0</v>
          </cell>
          <cell r="H22">
            <v>1818612672</v>
          </cell>
        </row>
        <row r="23">
          <cell r="B23">
            <v>6324780202014</v>
          </cell>
          <cell r="D23">
            <v>2441000514</v>
          </cell>
          <cell r="E23">
            <v>0</v>
          </cell>
          <cell r="F23">
            <v>2441000514</v>
          </cell>
          <cell r="G23">
            <v>0</v>
          </cell>
          <cell r="H23">
            <v>3457908732</v>
          </cell>
        </row>
        <row r="24">
          <cell r="B24">
            <v>6324780202040</v>
          </cell>
          <cell r="D24">
            <v>388075338</v>
          </cell>
          <cell r="E24">
            <v>0</v>
          </cell>
          <cell r="F24">
            <v>388075338</v>
          </cell>
          <cell r="G24">
            <v>0</v>
          </cell>
          <cell r="H24">
            <v>388075338</v>
          </cell>
        </row>
        <row r="25">
          <cell r="B25">
            <v>6324780202050</v>
          </cell>
          <cell r="D25">
            <v>6237048118</v>
          </cell>
          <cell r="E25">
            <v>0</v>
          </cell>
          <cell r="F25">
            <v>6237048118</v>
          </cell>
          <cell r="G25">
            <v>0</v>
          </cell>
          <cell r="H25">
            <v>6237048120</v>
          </cell>
        </row>
        <row r="26">
          <cell r="B26">
            <v>632994010171</v>
          </cell>
          <cell r="D26">
            <v>247106176788</v>
          </cell>
          <cell r="E26">
            <v>0</v>
          </cell>
          <cell r="F26">
            <v>247106176788</v>
          </cell>
          <cell r="G26">
            <v>0</v>
          </cell>
          <cell r="H26">
            <v>0</v>
          </cell>
        </row>
        <row r="27">
          <cell r="B27">
            <v>644947010171</v>
          </cell>
          <cell r="D27">
            <v>0</v>
          </cell>
          <cell r="E27">
            <v>14018466852</v>
          </cell>
          <cell r="F27">
            <v>0</v>
          </cell>
          <cell r="G27">
            <v>14018466852</v>
          </cell>
          <cell r="H27">
            <v>0</v>
          </cell>
        </row>
        <row r="28">
          <cell r="B28">
            <v>644947020</v>
          </cell>
          <cell r="D28">
            <v>0</v>
          </cell>
          <cell r="E28">
            <v>19595436224</v>
          </cell>
          <cell r="F28">
            <v>0</v>
          </cell>
          <cell r="G28">
            <v>19595436224</v>
          </cell>
          <cell r="H28">
            <v>0</v>
          </cell>
        </row>
        <row r="29">
          <cell r="B29">
            <v>645945010171</v>
          </cell>
          <cell r="D29">
            <v>0</v>
          </cell>
          <cell r="E29">
            <v>174127086</v>
          </cell>
          <cell r="F29">
            <v>0</v>
          </cell>
          <cell r="G29">
            <v>174127086</v>
          </cell>
          <cell r="H29">
            <v>0</v>
          </cell>
        </row>
        <row r="30">
          <cell r="B30">
            <v>649889030171</v>
          </cell>
          <cell r="D30">
            <v>0</v>
          </cell>
          <cell r="E30">
            <v>100949254</v>
          </cell>
          <cell r="F30">
            <v>0</v>
          </cell>
          <cell r="G30">
            <v>100949254</v>
          </cell>
          <cell r="H30">
            <v>0</v>
          </cell>
        </row>
        <row r="31">
          <cell r="B31">
            <v>6499490202050</v>
          </cell>
          <cell r="D31">
            <v>0</v>
          </cell>
          <cell r="E31">
            <v>4120</v>
          </cell>
          <cell r="F31">
            <v>0</v>
          </cell>
          <cell r="G31">
            <v>4120</v>
          </cell>
          <cell r="H31">
            <v>0</v>
          </cell>
        </row>
        <row r="32">
          <cell r="B32">
            <v>6499499902050</v>
          </cell>
          <cell r="D32">
            <v>29133332</v>
          </cell>
          <cell r="E32">
            <v>175316255</v>
          </cell>
          <cell r="F32">
            <v>0</v>
          </cell>
          <cell r="G32">
            <v>146182923</v>
          </cell>
          <cell r="H32">
            <v>0</v>
          </cell>
        </row>
        <row r="33">
          <cell r="B33">
            <v>6544960102050</v>
          </cell>
          <cell r="D33">
            <v>924007219</v>
          </cell>
          <cell r="E33">
            <v>0</v>
          </cell>
          <cell r="F33">
            <v>924007219</v>
          </cell>
          <cell r="G33">
            <v>0</v>
          </cell>
          <cell r="H33">
            <v>0</v>
          </cell>
        </row>
        <row r="34">
          <cell r="B34">
            <v>6594770102050</v>
          </cell>
          <cell r="D34">
            <v>76085000</v>
          </cell>
          <cell r="E34">
            <v>0</v>
          </cell>
          <cell r="F34">
            <v>76085000</v>
          </cell>
          <cell r="G34">
            <v>0</v>
          </cell>
          <cell r="H34">
            <v>0</v>
          </cell>
        </row>
        <row r="35">
          <cell r="B35">
            <v>6594999902050</v>
          </cell>
          <cell r="D35">
            <v>221885052</v>
          </cell>
          <cell r="E35">
            <v>0</v>
          </cell>
          <cell r="F35">
            <v>221885052</v>
          </cell>
          <cell r="G35">
            <v>0</v>
          </cell>
          <cell r="H35">
            <v>0</v>
          </cell>
        </row>
        <row r="36">
          <cell r="B36">
            <v>6595410102050</v>
          </cell>
          <cell r="D36">
            <v>450657214</v>
          </cell>
          <cell r="E36">
            <v>0</v>
          </cell>
          <cell r="F36">
            <v>450657214</v>
          </cell>
          <cell r="G36">
            <v>0</v>
          </cell>
          <cell r="H36">
            <v>929100000</v>
          </cell>
        </row>
        <row r="37">
          <cell r="B37">
            <v>6595430102050</v>
          </cell>
          <cell r="D37">
            <v>23161000</v>
          </cell>
          <cell r="E37">
            <v>0</v>
          </cell>
          <cell r="F37">
            <v>23161000</v>
          </cell>
          <cell r="G37">
            <v>0</v>
          </cell>
          <cell r="H37">
            <v>71500000</v>
          </cell>
        </row>
        <row r="38">
          <cell r="B38">
            <v>6595490102050</v>
          </cell>
          <cell r="D38">
            <v>14616000</v>
          </cell>
          <cell r="E38">
            <v>0</v>
          </cell>
          <cell r="F38">
            <v>14616000</v>
          </cell>
          <cell r="G38">
            <v>0</v>
          </cell>
          <cell r="H38">
            <v>0</v>
          </cell>
        </row>
        <row r="39">
          <cell r="B39">
            <v>6597350202050</v>
          </cell>
          <cell r="D39">
            <v>255971161</v>
          </cell>
          <cell r="E39">
            <v>0</v>
          </cell>
          <cell r="F39">
            <v>255971161</v>
          </cell>
          <cell r="G39">
            <v>0</v>
          </cell>
          <cell r="H39">
            <v>0</v>
          </cell>
        </row>
        <row r="40">
          <cell r="B40">
            <v>661995010171</v>
          </cell>
          <cell r="D40">
            <v>6880500494</v>
          </cell>
          <cell r="E40">
            <v>0</v>
          </cell>
          <cell r="F40">
            <v>6880500494</v>
          </cell>
          <cell r="G40">
            <v>0</v>
          </cell>
          <cell r="H40">
            <v>0</v>
          </cell>
        </row>
        <row r="41">
          <cell r="B41">
            <v>6799490302050</v>
          </cell>
          <cell r="D41">
            <v>0</v>
          </cell>
          <cell r="E41">
            <v>75000000</v>
          </cell>
          <cell r="F41">
            <v>0</v>
          </cell>
          <cell r="G41">
            <v>75000000</v>
          </cell>
          <cell r="H41">
            <v>0</v>
          </cell>
        </row>
        <row r="42">
          <cell r="B42">
            <v>6799490402012</v>
          </cell>
          <cell r="D42">
            <v>0</v>
          </cell>
          <cell r="E42">
            <v>5611422</v>
          </cell>
          <cell r="F42">
            <v>0</v>
          </cell>
          <cell r="G42">
            <v>5611422</v>
          </cell>
          <cell r="H42">
            <v>0</v>
          </cell>
        </row>
        <row r="43">
          <cell r="B43">
            <v>6799499902050</v>
          </cell>
          <cell r="D43">
            <v>0</v>
          </cell>
          <cell r="E43">
            <v>161430160</v>
          </cell>
          <cell r="F43">
            <v>0</v>
          </cell>
          <cell r="G43">
            <v>161430160</v>
          </cell>
          <cell r="H43">
            <v>0</v>
          </cell>
        </row>
        <row r="44">
          <cell r="B44">
            <v>680982010171</v>
          </cell>
          <cell r="D44">
            <v>2902159611</v>
          </cell>
          <cell r="E44">
            <v>0</v>
          </cell>
          <cell r="F44">
            <v>2902159611</v>
          </cell>
          <cell r="G44">
            <v>0</v>
          </cell>
          <cell r="H44">
            <v>0</v>
          </cell>
        </row>
        <row r="45">
          <cell r="B45">
            <v>680984010171</v>
          </cell>
          <cell r="D45">
            <v>1134296193</v>
          </cell>
          <cell r="E45">
            <v>0</v>
          </cell>
          <cell r="F45">
            <v>1134296193</v>
          </cell>
          <cell r="G45">
            <v>0</v>
          </cell>
          <cell r="H45">
            <v>0</v>
          </cell>
        </row>
        <row r="46">
          <cell r="B46">
            <v>6894760102000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357300000</v>
          </cell>
        </row>
        <row r="47">
          <cell r="B47">
            <v>6894999902050</v>
          </cell>
          <cell r="D47">
            <v>841095440</v>
          </cell>
          <cell r="E47">
            <v>0</v>
          </cell>
          <cell r="F47">
            <v>841095440</v>
          </cell>
          <cell r="G47">
            <v>0</v>
          </cell>
          <cell r="H47">
            <v>0</v>
          </cell>
        </row>
        <row r="48">
          <cell r="B48">
            <v>7100011102131</v>
          </cell>
          <cell r="D48">
            <v>48909974060</v>
          </cell>
          <cell r="E48">
            <v>0</v>
          </cell>
          <cell r="F48">
            <v>48909974060</v>
          </cell>
          <cell r="G48">
            <v>0</v>
          </cell>
          <cell r="H48">
            <v>0</v>
          </cell>
        </row>
        <row r="49">
          <cell r="B49">
            <v>7100011112131</v>
          </cell>
          <cell r="D49">
            <v>514784250179</v>
          </cell>
          <cell r="E49">
            <v>0</v>
          </cell>
          <cell r="F49">
            <v>514784250179</v>
          </cell>
          <cell r="G49">
            <v>0</v>
          </cell>
          <cell r="H49">
            <v>0</v>
          </cell>
        </row>
        <row r="50">
          <cell r="B50">
            <v>7100011212131</v>
          </cell>
          <cell r="D50">
            <v>68279791786</v>
          </cell>
          <cell r="E50">
            <v>0</v>
          </cell>
          <cell r="F50">
            <v>68279791786</v>
          </cell>
          <cell r="G50">
            <v>0</v>
          </cell>
          <cell r="H50">
            <v>0</v>
          </cell>
        </row>
        <row r="51">
          <cell r="B51">
            <v>7100011312131</v>
          </cell>
          <cell r="D51">
            <v>37674716803</v>
          </cell>
          <cell r="E51">
            <v>0</v>
          </cell>
          <cell r="F51">
            <v>37674716803</v>
          </cell>
          <cell r="G51">
            <v>0</v>
          </cell>
          <cell r="H51">
            <v>0</v>
          </cell>
        </row>
        <row r="52">
          <cell r="B52">
            <v>7100011412131</v>
          </cell>
          <cell r="D52">
            <v>60684929073</v>
          </cell>
          <cell r="E52">
            <v>0</v>
          </cell>
          <cell r="F52">
            <v>60684929073</v>
          </cell>
          <cell r="G52">
            <v>0</v>
          </cell>
          <cell r="H52">
            <v>0</v>
          </cell>
        </row>
        <row r="53">
          <cell r="B53">
            <v>7100011512131</v>
          </cell>
          <cell r="D53">
            <v>14040341486</v>
          </cell>
          <cell r="E53">
            <v>0</v>
          </cell>
          <cell r="F53">
            <v>14040341486</v>
          </cell>
          <cell r="G53">
            <v>0</v>
          </cell>
          <cell r="H53">
            <v>0</v>
          </cell>
        </row>
        <row r="54">
          <cell r="B54">
            <v>7100011612131</v>
          </cell>
          <cell r="D54">
            <v>71488000</v>
          </cell>
          <cell r="E54">
            <v>0</v>
          </cell>
          <cell r="F54">
            <v>71488000</v>
          </cell>
          <cell r="G54">
            <v>0</v>
          </cell>
          <cell r="H54">
            <v>0</v>
          </cell>
        </row>
        <row r="55">
          <cell r="B55">
            <v>7100011902131</v>
          </cell>
          <cell r="D55">
            <v>12245447841</v>
          </cell>
          <cell r="E55">
            <v>0</v>
          </cell>
          <cell r="F55">
            <v>12245447841</v>
          </cell>
          <cell r="G55">
            <v>0</v>
          </cell>
          <cell r="H55">
            <v>0</v>
          </cell>
        </row>
        <row r="56">
          <cell r="B56">
            <v>7100012502131</v>
          </cell>
          <cell r="D56">
            <v>31663144206</v>
          </cell>
          <cell r="E56">
            <v>0</v>
          </cell>
          <cell r="F56">
            <v>31663144206</v>
          </cell>
          <cell r="G56">
            <v>0</v>
          </cell>
          <cell r="H56">
            <v>0</v>
          </cell>
        </row>
        <row r="57">
          <cell r="B57">
            <v>7100013302131</v>
          </cell>
          <cell r="D57">
            <v>31756279464</v>
          </cell>
          <cell r="E57">
            <v>0</v>
          </cell>
          <cell r="F57">
            <v>31756279464</v>
          </cell>
          <cell r="G57">
            <v>0</v>
          </cell>
          <cell r="H57">
            <v>0</v>
          </cell>
        </row>
        <row r="58">
          <cell r="B58">
            <v>7100050102131</v>
          </cell>
          <cell r="D58">
            <v>63485564230</v>
          </cell>
          <cell r="E58">
            <v>0</v>
          </cell>
          <cell r="F58">
            <v>63485564230</v>
          </cell>
          <cell r="G58">
            <v>0</v>
          </cell>
          <cell r="H58">
            <v>0</v>
          </cell>
        </row>
        <row r="59">
          <cell r="B59">
            <v>7100050202131</v>
          </cell>
          <cell r="D59">
            <v>495208301</v>
          </cell>
          <cell r="E59">
            <v>0</v>
          </cell>
          <cell r="F59">
            <v>495208301</v>
          </cell>
          <cell r="G59">
            <v>0</v>
          </cell>
          <cell r="H59">
            <v>0</v>
          </cell>
        </row>
        <row r="60">
          <cell r="B60">
            <v>7100050302131</v>
          </cell>
          <cell r="D60">
            <v>30921469408</v>
          </cell>
          <cell r="E60">
            <v>0</v>
          </cell>
          <cell r="F60">
            <v>30921469408</v>
          </cell>
          <cell r="G60">
            <v>0</v>
          </cell>
          <cell r="H60">
            <v>0</v>
          </cell>
        </row>
        <row r="61">
          <cell r="B61">
            <v>7100050802131</v>
          </cell>
          <cell r="D61">
            <v>33105254574</v>
          </cell>
          <cell r="E61">
            <v>0</v>
          </cell>
          <cell r="F61">
            <v>33105254574</v>
          </cell>
          <cell r="G61">
            <v>0</v>
          </cell>
          <cell r="H61">
            <v>0</v>
          </cell>
        </row>
        <row r="62">
          <cell r="B62">
            <v>7100051002131</v>
          </cell>
          <cell r="D62">
            <v>36117695440</v>
          </cell>
          <cell r="E62">
            <v>0</v>
          </cell>
          <cell r="F62">
            <v>36117695440</v>
          </cell>
          <cell r="G62">
            <v>0</v>
          </cell>
          <cell r="H62">
            <v>0</v>
          </cell>
        </row>
        <row r="63">
          <cell r="B63">
            <v>711981010171</v>
          </cell>
          <cell r="D63">
            <v>0</v>
          </cell>
          <cell r="E63">
            <v>984235554851</v>
          </cell>
          <cell r="F63">
            <v>0</v>
          </cell>
          <cell r="G63">
            <v>984235554851</v>
          </cell>
          <cell r="H63">
            <v>0</v>
          </cell>
        </row>
        <row r="64">
          <cell r="B64">
            <v>7201011102131</v>
          </cell>
          <cell r="D64">
            <v>17253219833</v>
          </cell>
          <cell r="E64">
            <v>287329523</v>
          </cell>
          <cell r="F64">
            <v>16965890310</v>
          </cell>
          <cell r="G64">
            <v>0</v>
          </cell>
          <cell r="H64">
            <v>18600941484</v>
          </cell>
        </row>
        <row r="65">
          <cell r="B65">
            <v>7201011102132</v>
          </cell>
          <cell r="D65">
            <v>12973991279</v>
          </cell>
          <cell r="E65">
            <v>216343215</v>
          </cell>
          <cell r="F65">
            <v>12757648064</v>
          </cell>
          <cell r="G65">
            <v>0</v>
          </cell>
          <cell r="H65">
            <v>11787313680</v>
          </cell>
        </row>
        <row r="66">
          <cell r="B66">
            <v>7201011102133</v>
          </cell>
          <cell r="D66">
            <v>11409445521</v>
          </cell>
          <cell r="E66">
            <v>195840450</v>
          </cell>
          <cell r="F66">
            <v>11213605071</v>
          </cell>
          <cell r="G66">
            <v>0</v>
          </cell>
          <cell r="H66">
            <v>11815712580</v>
          </cell>
        </row>
        <row r="67">
          <cell r="B67">
            <v>7201020102131</v>
          </cell>
          <cell r="D67">
            <v>1781879453</v>
          </cell>
          <cell r="E67">
            <v>0</v>
          </cell>
          <cell r="F67">
            <v>1781879453</v>
          </cell>
          <cell r="G67">
            <v>0</v>
          </cell>
          <cell r="H67">
            <v>1488075320</v>
          </cell>
        </row>
        <row r="68">
          <cell r="B68">
            <v>7201020102132</v>
          </cell>
          <cell r="D68">
            <v>1491890198</v>
          </cell>
          <cell r="E68">
            <v>0</v>
          </cell>
          <cell r="F68">
            <v>1491890198</v>
          </cell>
          <cell r="G68">
            <v>0</v>
          </cell>
          <cell r="H68">
            <v>942985093</v>
          </cell>
        </row>
        <row r="69">
          <cell r="B69">
            <v>7201020102133</v>
          </cell>
          <cell r="D69">
            <v>542409555</v>
          </cell>
          <cell r="E69">
            <v>0</v>
          </cell>
          <cell r="F69">
            <v>542409555</v>
          </cell>
          <cell r="G69">
            <v>0</v>
          </cell>
          <cell r="H69">
            <v>945257005</v>
          </cell>
        </row>
        <row r="70">
          <cell r="B70">
            <v>7201041102131</v>
          </cell>
          <cell r="D70">
            <v>5746590450</v>
          </cell>
          <cell r="E70">
            <v>95776508</v>
          </cell>
          <cell r="F70">
            <v>5650813942</v>
          </cell>
          <cell r="G70">
            <v>0</v>
          </cell>
          <cell r="H70">
            <v>6200313829</v>
          </cell>
        </row>
        <row r="71">
          <cell r="B71">
            <v>7201041102132</v>
          </cell>
          <cell r="D71">
            <v>4326864300</v>
          </cell>
          <cell r="E71">
            <v>72114405</v>
          </cell>
          <cell r="F71">
            <v>4254749895</v>
          </cell>
          <cell r="G71">
            <v>0</v>
          </cell>
          <cell r="H71">
            <v>3929104560</v>
          </cell>
        </row>
        <row r="72">
          <cell r="B72">
            <v>7201041102133</v>
          </cell>
          <cell r="D72">
            <v>3916809000</v>
          </cell>
          <cell r="E72">
            <v>65280150</v>
          </cell>
          <cell r="F72">
            <v>3851528850</v>
          </cell>
          <cell r="G72">
            <v>0</v>
          </cell>
          <cell r="H72">
            <v>3938570860</v>
          </cell>
        </row>
        <row r="73">
          <cell r="B73">
            <v>7201210102131</v>
          </cell>
          <cell r="D73">
            <v>2133384019</v>
          </cell>
          <cell r="E73">
            <v>34611494</v>
          </cell>
          <cell r="F73">
            <v>2098772525</v>
          </cell>
          <cell r="G73">
            <v>0</v>
          </cell>
          <cell r="H73">
            <v>2471040000</v>
          </cell>
        </row>
        <row r="74">
          <cell r="B74">
            <v>7201210102132</v>
          </cell>
          <cell r="D74">
            <v>1589334588</v>
          </cell>
          <cell r="E74">
            <v>25958621</v>
          </cell>
          <cell r="F74">
            <v>1563375967</v>
          </cell>
          <cell r="G74">
            <v>0</v>
          </cell>
          <cell r="H74">
            <v>1520640000</v>
          </cell>
        </row>
        <row r="75">
          <cell r="B75">
            <v>7201210102133</v>
          </cell>
          <cell r="D75">
            <v>1380223478</v>
          </cell>
          <cell r="E75">
            <v>23074330</v>
          </cell>
          <cell r="F75">
            <v>1357149148</v>
          </cell>
          <cell r="G75">
            <v>0</v>
          </cell>
          <cell r="H75">
            <v>1520640000</v>
          </cell>
        </row>
        <row r="76">
          <cell r="B76">
            <v>7201240102131</v>
          </cell>
          <cell r="D76">
            <v>416530378</v>
          </cell>
          <cell r="E76">
            <v>8619886</v>
          </cell>
          <cell r="F76">
            <v>407910492</v>
          </cell>
          <cell r="G76">
            <v>0</v>
          </cell>
          <cell r="H76">
            <v>602670504</v>
          </cell>
        </row>
        <row r="77">
          <cell r="B77">
            <v>7201240102132</v>
          </cell>
          <cell r="D77">
            <v>326035142</v>
          </cell>
          <cell r="E77">
            <v>6490296</v>
          </cell>
          <cell r="F77">
            <v>319544846</v>
          </cell>
          <cell r="G77">
            <v>0</v>
          </cell>
          <cell r="H77">
            <v>381908962</v>
          </cell>
        </row>
        <row r="78">
          <cell r="B78">
            <v>7201240102133</v>
          </cell>
          <cell r="D78">
            <v>258245434</v>
          </cell>
          <cell r="E78">
            <v>5875214</v>
          </cell>
          <cell r="F78">
            <v>252370220</v>
          </cell>
          <cell r="G78">
            <v>0</v>
          </cell>
          <cell r="H78">
            <v>382829088</v>
          </cell>
        </row>
        <row r="79">
          <cell r="B79">
            <v>721982010171</v>
          </cell>
          <cell r="D79">
            <v>0</v>
          </cell>
          <cell r="E79">
            <v>64509538536</v>
          </cell>
          <cell r="F79">
            <v>0</v>
          </cell>
          <cell r="G79">
            <v>64509538536</v>
          </cell>
          <cell r="H79">
            <v>0</v>
          </cell>
        </row>
        <row r="80">
          <cell r="B80">
            <v>7300110202131</v>
          </cell>
          <cell r="D80">
            <v>2198543272</v>
          </cell>
          <cell r="E80">
            <v>0</v>
          </cell>
          <cell r="F80">
            <v>2198543272</v>
          </cell>
          <cell r="G80">
            <v>0</v>
          </cell>
          <cell r="H80">
            <v>0</v>
          </cell>
        </row>
        <row r="81">
          <cell r="B81">
            <v>7300110202290</v>
          </cell>
          <cell r="D81">
            <v>3170894580</v>
          </cell>
          <cell r="E81">
            <v>0</v>
          </cell>
          <cell r="F81">
            <v>3170894580</v>
          </cell>
          <cell r="G81">
            <v>0</v>
          </cell>
          <cell r="H81">
            <v>0</v>
          </cell>
        </row>
        <row r="82">
          <cell r="B82">
            <v>7300110402131</v>
          </cell>
          <cell r="D82">
            <v>26326494</v>
          </cell>
          <cell r="E82">
            <v>0</v>
          </cell>
          <cell r="F82">
            <v>26326494</v>
          </cell>
          <cell r="G82">
            <v>0</v>
          </cell>
          <cell r="H82">
            <v>0</v>
          </cell>
        </row>
        <row r="83">
          <cell r="B83">
            <v>7300110402240</v>
          </cell>
          <cell r="D83">
            <v>3000000</v>
          </cell>
          <cell r="E83">
            <v>0</v>
          </cell>
          <cell r="F83">
            <v>3000000</v>
          </cell>
          <cell r="G83">
            <v>0</v>
          </cell>
          <cell r="H83">
            <v>0</v>
          </cell>
        </row>
        <row r="84">
          <cell r="B84">
            <v>7300110402251</v>
          </cell>
          <cell r="D84">
            <v>5218000</v>
          </cell>
          <cell r="E84">
            <v>0</v>
          </cell>
          <cell r="F84">
            <v>5218000</v>
          </cell>
          <cell r="G84">
            <v>0</v>
          </cell>
          <cell r="H84">
            <v>0</v>
          </cell>
        </row>
        <row r="85">
          <cell r="B85">
            <v>7300110402330</v>
          </cell>
          <cell r="D85">
            <v>2609000</v>
          </cell>
          <cell r="E85">
            <v>0</v>
          </cell>
          <cell r="F85">
            <v>2609000</v>
          </cell>
          <cell r="G85">
            <v>0</v>
          </cell>
          <cell r="H85">
            <v>0</v>
          </cell>
        </row>
        <row r="86">
          <cell r="B86">
            <v>7300110502131</v>
          </cell>
          <cell r="D86">
            <v>6302719408</v>
          </cell>
          <cell r="E86">
            <v>0</v>
          </cell>
          <cell r="F86">
            <v>6302719408</v>
          </cell>
          <cell r="G86">
            <v>0</v>
          </cell>
          <cell r="H86">
            <v>0</v>
          </cell>
        </row>
        <row r="87">
          <cell r="B87">
            <v>7300110502232</v>
          </cell>
          <cell r="D87">
            <v>22440438</v>
          </cell>
          <cell r="E87">
            <v>0</v>
          </cell>
          <cell r="F87">
            <v>22440438</v>
          </cell>
          <cell r="G87">
            <v>0</v>
          </cell>
          <cell r="H87">
            <v>0</v>
          </cell>
        </row>
        <row r="88">
          <cell r="B88">
            <v>7300110502240</v>
          </cell>
          <cell r="D88">
            <v>18436389</v>
          </cell>
          <cell r="E88">
            <v>0</v>
          </cell>
          <cell r="F88">
            <v>18436389</v>
          </cell>
          <cell r="G88">
            <v>0</v>
          </cell>
          <cell r="H88">
            <v>0</v>
          </cell>
        </row>
        <row r="89">
          <cell r="B89">
            <v>7300110502251</v>
          </cell>
          <cell r="D89">
            <v>3955588858</v>
          </cell>
          <cell r="E89">
            <v>0</v>
          </cell>
          <cell r="F89">
            <v>3955588858</v>
          </cell>
          <cell r="G89">
            <v>0</v>
          </cell>
          <cell r="H89">
            <v>0</v>
          </cell>
        </row>
        <row r="90">
          <cell r="B90">
            <v>7300110502330</v>
          </cell>
          <cell r="D90">
            <v>2988175087</v>
          </cell>
          <cell r="E90">
            <v>0</v>
          </cell>
          <cell r="F90">
            <v>2988175087</v>
          </cell>
          <cell r="G90">
            <v>0</v>
          </cell>
          <cell r="H90">
            <v>0</v>
          </cell>
        </row>
        <row r="91">
          <cell r="B91">
            <v>7300110602131</v>
          </cell>
          <cell r="D91">
            <v>2787236039</v>
          </cell>
          <cell r="E91">
            <v>0</v>
          </cell>
          <cell r="F91">
            <v>2787236039</v>
          </cell>
          <cell r="G91">
            <v>0</v>
          </cell>
          <cell r="H91">
            <v>0</v>
          </cell>
        </row>
        <row r="92">
          <cell r="B92">
            <v>7300110602240</v>
          </cell>
          <cell r="D92">
            <v>291121220</v>
          </cell>
          <cell r="E92">
            <v>0</v>
          </cell>
          <cell r="F92">
            <v>291121220</v>
          </cell>
          <cell r="G92">
            <v>0</v>
          </cell>
          <cell r="H92">
            <v>0</v>
          </cell>
        </row>
        <row r="93">
          <cell r="B93">
            <v>7300110602290</v>
          </cell>
          <cell r="D93">
            <v>16051644</v>
          </cell>
          <cell r="E93">
            <v>0</v>
          </cell>
          <cell r="F93">
            <v>16051644</v>
          </cell>
          <cell r="G93">
            <v>0</v>
          </cell>
          <cell r="H93">
            <v>0</v>
          </cell>
        </row>
        <row r="94">
          <cell r="B94">
            <v>7300110702251</v>
          </cell>
          <cell r="D94">
            <v>116031613</v>
          </cell>
          <cell r="E94">
            <v>0</v>
          </cell>
          <cell r="F94">
            <v>116031613</v>
          </cell>
          <cell r="G94">
            <v>0</v>
          </cell>
          <cell r="H94">
            <v>0</v>
          </cell>
        </row>
        <row r="95">
          <cell r="B95">
            <v>7300110802131</v>
          </cell>
          <cell r="D95">
            <v>13988953639</v>
          </cell>
          <cell r="E95">
            <v>0</v>
          </cell>
          <cell r="F95">
            <v>13988953639</v>
          </cell>
          <cell r="G95">
            <v>0</v>
          </cell>
          <cell r="H95">
            <v>0</v>
          </cell>
        </row>
        <row r="96">
          <cell r="B96">
            <v>7300110902131</v>
          </cell>
          <cell r="D96">
            <v>15262824191</v>
          </cell>
          <cell r="E96">
            <v>0</v>
          </cell>
          <cell r="F96">
            <v>15262824191</v>
          </cell>
          <cell r="G96">
            <v>0</v>
          </cell>
          <cell r="H96">
            <v>0</v>
          </cell>
        </row>
        <row r="97">
          <cell r="B97">
            <v>7300110902132</v>
          </cell>
          <cell r="D97">
            <v>1405808714</v>
          </cell>
          <cell r="E97">
            <v>0</v>
          </cell>
          <cell r="F97">
            <v>1405808714</v>
          </cell>
          <cell r="G97">
            <v>0</v>
          </cell>
          <cell r="H97">
            <v>0</v>
          </cell>
        </row>
        <row r="98">
          <cell r="B98">
            <v>7300110902330</v>
          </cell>
          <cell r="D98">
            <v>586036078</v>
          </cell>
          <cell r="E98">
            <v>0</v>
          </cell>
          <cell r="F98">
            <v>586036078</v>
          </cell>
          <cell r="G98">
            <v>0</v>
          </cell>
          <cell r="H98">
            <v>0</v>
          </cell>
        </row>
        <row r="99">
          <cell r="B99">
            <v>7300150202131</v>
          </cell>
          <cell r="D99">
            <v>5500000</v>
          </cell>
          <cell r="E99">
            <v>0</v>
          </cell>
          <cell r="F99">
            <v>5500000</v>
          </cell>
          <cell r="G99">
            <v>0</v>
          </cell>
          <cell r="H99">
            <v>0</v>
          </cell>
        </row>
        <row r="100">
          <cell r="B100">
            <v>7300150202133</v>
          </cell>
          <cell r="D100">
            <v>76622000</v>
          </cell>
          <cell r="E100">
            <v>0</v>
          </cell>
          <cell r="F100">
            <v>76622000</v>
          </cell>
          <cell r="G100">
            <v>0</v>
          </cell>
          <cell r="H100">
            <v>0</v>
          </cell>
        </row>
        <row r="101">
          <cell r="B101">
            <v>7300150402133</v>
          </cell>
          <cell r="D101">
            <v>278387200</v>
          </cell>
          <cell r="E101">
            <v>0</v>
          </cell>
          <cell r="F101">
            <v>278387200</v>
          </cell>
          <cell r="G101">
            <v>0</v>
          </cell>
          <cell r="H101">
            <v>0</v>
          </cell>
        </row>
        <row r="102">
          <cell r="B102">
            <v>7300150402232</v>
          </cell>
          <cell r="D102">
            <v>19488000</v>
          </cell>
          <cell r="E102">
            <v>0</v>
          </cell>
          <cell r="F102">
            <v>19488000</v>
          </cell>
          <cell r="G102">
            <v>0</v>
          </cell>
          <cell r="H102">
            <v>0</v>
          </cell>
        </row>
        <row r="103">
          <cell r="B103">
            <v>7300150502133</v>
          </cell>
          <cell r="D103">
            <v>85105413</v>
          </cell>
          <cell r="E103">
            <v>0</v>
          </cell>
          <cell r="F103">
            <v>85105413</v>
          </cell>
          <cell r="G103">
            <v>0</v>
          </cell>
          <cell r="H103">
            <v>0</v>
          </cell>
        </row>
        <row r="104">
          <cell r="B104">
            <v>7303020102251</v>
          </cell>
          <cell r="D104">
            <v>158680641436</v>
          </cell>
          <cell r="E104">
            <v>0</v>
          </cell>
          <cell r="F104">
            <v>158680641436</v>
          </cell>
          <cell r="G104">
            <v>0</v>
          </cell>
          <cell r="H104">
            <v>0</v>
          </cell>
        </row>
        <row r="105">
          <cell r="B105">
            <v>7303040102131</v>
          </cell>
          <cell r="D105">
            <v>334355680148</v>
          </cell>
          <cell r="E105">
            <v>0</v>
          </cell>
          <cell r="F105">
            <v>334355680148</v>
          </cell>
          <cell r="G105">
            <v>0</v>
          </cell>
          <cell r="H105">
            <v>0</v>
          </cell>
        </row>
        <row r="106">
          <cell r="B106">
            <v>7303040102330</v>
          </cell>
          <cell r="D106">
            <v>2440508641</v>
          </cell>
          <cell r="E106">
            <v>0</v>
          </cell>
          <cell r="F106">
            <v>2440508641</v>
          </cell>
          <cell r="G106">
            <v>0</v>
          </cell>
          <cell r="H106">
            <v>0</v>
          </cell>
        </row>
        <row r="107">
          <cell r="B107">
            <v>731983010171</v>
          </cell>
          <cell r="D107">
            <v>0</v>
          </cell>
          <cell r="E107">
            <v>549089947502</v>
          </cell>
          <cell r="F107">
            <v>0</v>
          </cell>
          <cell r="G107">
            <v>549089947502</v>
          </cell>
          <cell r="H107">
            <v>0</v>
          </cell>
        </row>
        <row r="108">
          <cell r="B108">
            <v>7350210102131</v>
          </cell>
          <cell r="D108">
            <v>19618004650</v>
          </cell>
          <cell r="E108">
            <v>0</v>
          </cell>
          <cell r="F108">
            <v>19618004650</v>
          </cell>
          <cell r="G108">
            <v>0</v>
          </cell>
          <cell r="H108">
            <v>0</v>
          </cell>
        </row>
        <row r="109">
          <cell r="B109">
            <v>7350210102132</v>
          </cell>
          <cell r="D109">
            <v>1491255065</v>
          </cell>
          <cell r="E109">
            <v>0</v>
          </cell>
          <cell r="F109">
            <v>1491255065</v>
          </cell>
          <cell r="G109">
            <v>0</v>
          </cell>
          <cell r="H109">
            <v>0</v>
          </cell>
        </row>
        <row r="110">
          <cell r="B110">
            <v>7350210102330</v>
          </cell>
          <cell r="D110">
            <v>3059076</v>
          </cell>
          <cell r="E110">
            <v>0</v>
          </cell>
          <cell r="F110">
            <v>3059076</v>
          </cell>
          <cell r="G110">
            <v>0</v>
          </cell>
          <cell r="H110">
            <v>0</v>
          </cell>
        </row>
        <row r="111">
          <cell r="B111">
            <v>7350210202131</v>
          </cell>
          <cell r="D111">
            <v>131293714</v>
          </cell>
          <cell r="E111">
            <v>0</v>
          </cell>
          <cell r="F111">
            <v>131293714</v>
          </cell>
          <cell r="G111">
            <v>0</v>
          </cell>
          <cell r="H111">
            <v>0</v>
          </cell>
        </row>
        <row r="112">
          <cell r="B112">
            <v>7350210202251</v>
          </cell>
          <cell r="D112">
            <v>243312548</v>
          </cell>
          <cell r="E112">
            <v>0</v>
          </cell>
          <cell r="F112">
            <v>243312548</v>
          </cell>
          <cell r="G112">
            <v>0</v>
          </cell>
          <cell r="H112">
            <v>0</v>
          </cell>
        </row>
        <row r="113">
          <cell r="B113">
            <v>7350210202290</v>
          </cell>
          <cell r="D113">
            <v>10131250</v>
          </cell>
          <cell r="E113">
            <v>0</v>
          </cell>
          <cell r="F113">
            <v>10131250</v>
          </cell>
          <cell r="G113">
            <v>0</v>
          </cell>
          <cell r="H113">
            <v>0</v>
          </cell>
        </row>
        <row r="114">
          <cell r="B114">
            <v>7350210202330</v>
          </cell>
          <cell r="D114">
            <v>310000</v>
          </cell>
          <cell r="E114">
            <v>0</v>
          </cell>
          <cell r="F114">
            <v>310000</v>
          </cell>
          <cell r="G114">
            <v>0</v>
          </cell>
          <cell r="H114">
            <v>0</v>
          </cell>
        </row>
        <row r="115">
          <cell r="B115">
            <v>7350210302131</v>
          </cell>
          <cell r="D115">
            <v>936279520</v>
          </cell>
          <cell r="E115">
            <v>0</v>
          </cell>
          <cell r="F115">
            <v>936279520</v>
          </cell>
          <cell r="G115">
            <v>0</v>
          </cell>
          <cell r="H115">
            <v>0</v>
          </cell>
        </row>
        <row r="116">
          <cell r="B116">
            <v>7350210302132</v>
          </cell>
          <cell r="D116">
            <v>761965024</v>
          </cell>
          <cell r="E116">
            <v>0</v>
          </cell>
          <cell r="F116">
            <v>761965024</v>
          </cell>
          <cell r="G116">
            <v>0</v>
          </cell>
          <cell r="H116">
            <v>0</v>
          </cell>
        </row>
        <row r="117">
          <cell r="B117">
            <v>7350210402131</v>
          </cell>
          <cell r="D117">
            <v>918250664</v>
          </cell>
          <cell r="E117">
            <v>0</v>
          </cell>
          <cell r="F117">
            <v>918250664</v>
          </cell>
          <cell r="G117">
            <v>0</v>
          </cell>
          <cell r="H117">
            <v>0</v>
          </cell>
        </row>
        <row r="118">
          <cell r="B118">
            <v>7350210502133</v>
          </cell>
          <cell r="D118">
            <v>202706719</v>
          </cell>
          <cell r="E118">
            <v>0</v>
          </cell>
          <cell r="F118">
            <v>202706719</v>
          </cell>
          <cell r="G118">
            <v>0</v>
          </cell>
          <cell r="H118">
            <v>0</v>
          </cell>
        </row>
        <row r="119">
          <cell r="B119">
            <v>7350210602131</v>
          </cell>
          <cell r="D119">
            <v>3184808</v>
          </cell>
          <cell r="E119">
            <v>0</v>
          </cell>
          <cell r="F119">
            <v>3184808</v>
          </cell>
          <cell r="G119">
            <v>0</v>
          </cell>
          <cell r="H119">
            <v>0</v>
          </cell>
        </row>
        <row r="120">
          <cell r="B120">
            <v>7350210702131</v>
          </cell>
          <cell r="D120">
            <v>1200000</v>
          </cell>
          <cell r="E120">
            <v>0</v>
          </cell>
          <cell r="F120">
            <v>1200000</v>
          </cell>
          <cell r="G120">
            <v>0</v>
          </cell>
          <cell r="H120">
            <v>0</v>
          </cell>
        </row>
        <row r="121">
          <cell r="B121">
            <v>7350210702240</v>
          </cell>
          <cell r="D121">
            <v>1259100150</v>
          </cell>
          <cell r="E121">
            <v>0</v>
          </cell>
          <cell r="F121">
            <v>1259100150</v>
          </cell>
          <cell r="G121">
            <v>0</v>
          </cell>
          <cell r="H121">
            <v>0</v>
          </cell>
        </row>
        <row r="122">
          <cell r="B122">
            <v>7350210702290</v>
          </cell>
          <cell r="D122">
            <v>92523032</v>
          </cell>
          <cell r="E122">
            <v>0</v>
          </cell>
          <cell r="F122">
            <v>92523032</v>
          </cell>
          <cell r="G122">
            <v>0</v>
          </cell>
          <cell r="H122">
            <v>0</v>
          </cell>
        </row>
        <row r="123">
          <cell r="B123">
            <v>7350210902131</v>
          </cell>
          <cell r="D123">
            <v>79632667</v>
          </cell>
          <cell r="E123">
            <v>0</v>
          </cell>
          <cell r="F123">
            <v>79632667</v>
          </cell>
          <cell r="G123">
            <v>0</v>
          </cell>
          <cell r="H123">
            <v>0</v>
          </cell>
        </row>
        <row r="124">
          <cell r="B124">
            <v>7350210902330</v>
          </cell>
          <cell r="D124">
            <v>62622300</v>
          </cell>
          <cell r="E124">
            <v>0</v>
          </cell>
          <cell r="F124">
            <v>62622300</v>
          </cell>
          <cell r="G124">
            <v>0</v>
          </cell>
          <cell r="H124">
            <v>0</v>
          </cell>
        </row>
        <row r="125">
          <cell r="B125">
            <v>7350211002131</v>
          </cell>
          <cell r="D125">
            <v>964367681</v>
          </cell>
          <cell r="E125">
            <v>0</v>
          </cell>
          <cell r="F125">
            <v>964367681</v>
          </cell>
          <cell r="G125">
            <v>0</v>
          </cell>
          <cell r="H125">
            <v>0</v>
          </cell>
        </row>
        <row r="126">
          <cell r="B126">
            <v>7350211002132</v>
          </cell>
          <cell r="D126">
            <v>5972657</v>
          </cell>
          <cell r="E126">
            <v>0</v>
          </cell>
          <cell r="F126">
            <v>5972657</v>
          </cell>
          <cell r="G126">
            <v>0</v>
          </cell>
          <cell r="H126">
            <v>0</v>
          </cell>
        </row>
        <row r="127">
          <cell r="B127">
            <v>7350211002133</v>
          </cell>
          <cell r="D127">
            <v>240005595</v>
          </cell>
          <cell r="E127">
            <v>0</v>
          </cell>
          <cell r="F127">
            <v>240005595</v>
          </cell>
          <cell r="G127">
            <v>0</v>
          </cell>
          <cell r="H127">
            <v>0</v>
          </cell>
        </row>
        <row r="128">
          <cell r="B128">
            <v>7350211002251</v>
          </cell>
          <cell r="D128">
            <v>139939480</v>
          </cell>
          <cell r="E128">
            <v>0</v>
          </cell>
          <cell r="F128">
            <v>139939480</v>
          </cell>
          <cell r="G128">
            <v>0</v>
          </cell>
          <cell r="H128">
            <v>0</v>
          </cell>
        </row>
        <row r="129">
          <cell r="B129">
            <v>7350211002330</v>
          </cell>
          <cell r="D129">
            <v>180683625</v>
          </cell>
          <cell r="E129">
            <v>0</v>
          </cell>
          <cell r="F129">
            <v>180683625</v>
          </cell>
          <cell r="G129">
            <v>0</v>
          </cell>
          <cell r="H129">
            <v>0</v>
          </cell>
        </row>
        <row r="130">
          <cell r="B130">
            <v>7350211102131</v>
          </cell>
          <cell r="D130">
            <v>1062680599</v>
          </cell>
          <cell r="E130">
            <v>0</v>
          </cell>
          <cell r="F130">
            <v>1062680599</v>
          </cell>
          <cell r="G130">
            <v>0</v>
          </cell>
          <cell r="H130">
            <v>0</v>
          </cell>
        </row>
        <row r="131">
          <cell r="B131">
            <v>7350211102132</v>
          </cell>
          <cell r="D131">
            <v>114466228</v>
          </cell>
          <cell r="E131">
            <v>0</v>
          </cell>
          <cell r="F131">
            <v>114466228</v>
          </cell>
          <cell r="G131">
            <v>0</v>
          </cell>
          <cell r="H131">
            <v>0</v>
          </cell>
        </row>
        <row r="132">
          <cell r="B132">
            <v>7350211102133</v>
          </cell>
          <cell r="D132">
            <v>39001979</v>
          </cell>
          <cell r="E132">
            <v>0</v>
          </cell>
          <cell r="F132">
            <v>39001979</v>
          </cell>
          <cell r="G132">
            <v>0</v>
          </cell>
          <cell r="H132">
            <v>0</v>
          </cell>
        </row>
        <row r="133">
          <cell r="B133">
            <v>7350211102251</v>
          </cell>
          <cell r="D133">
            <v>54617141</v>
          </cell>
          <cell r="E133">
            <v>0</v>
          </cell>
          <cell r="F133">
            <v>54617141</v>
          </cell>
          <cell r="G133">
            <v>0</v>
          </cell>
          <cell r="H133">
            <v>0</v>
          </cell>
        </row>
        <row r="134">
          <cell r="B134">
            <v>7350211102330</v>
          </cell>
          <cell r="D134">
            <v>29597902</v>
          </cell>
          <cell r="E134">
            <v>0</v>
          </cell>
          <cell r="F134">
            <v>29597902</v>
          </cell>
          <cell r="G134">
            <v>0</v>
          </cell>
          <cell r="H134">
            <v>0</v>
          </cell>
        </row>
        <row r="135">
          <cell r="B135">
            <v>7350211202131</v>
          </cell>
          <cell r="D135">
            <v>52301273</v>
          </cell>
          <cell r="E135">
            <v>0</v>
          </cell>
          <cell r="F135">
            <v>52301273</v>
          </cell>
          <cell r="G135">
            <v>0</v>
          </cell>
          <cell r="H135">
            <v>0</v>
          </cell>
        </row>
        <row r="136">
          <cell r="B136">
            <v>7350211202240</v>
          </cell>
          <cell r="D136">
            <v>15339600</v>
          </cell>
          <cell r="E136">
            <v>0</v>
          </cell>
          <cell r="F136">
            <v>15339600</v>
          </cell>
          <cell r="G136">
            <v>0</v>
          </cell>
          <cell r="H136">
            <v>0</v>
          </cell>
        </row>
        <row r="137">
          <cell r="B137">
            <v>7350211202330</v>
          </cell>
          <cell r="D137">
            <v>29863699</v>
          </cell>
          <cell r="E137">
            <v>0</v>
          </cell>
          <cell r="F137">
            <v>29863699</v>
          </cell>
          <cell r="G137">
            <v>0</v>
          </cell>
          <cell r="H137">
            <v>0</v>
          </cell>
        </row>
        <row r="138">
          <cell r="B138">
            <v>7350310102131</v>
          </cell>
          <cell r="D138">
            <v>145391323</v>
          </cell>
          <cell r="E138">
            <v>0</v>
          </cell>
          <cell r="F138">
            <v>145391323</v>
          </cell>
          <cell r="G138">
            <v>0</v>
          </cell>
          <cell r="H138">
            <v>0</v>
          </cell>
        </row>
        <row r="139">
          <cell r="B139">
            <v>7350310102132</v>
          </cell>
          <cell r="D139">
            <v>478261</v>
          </cell>
          <cell r="E139">
            <v>0</v>
          </cell>
          <cell r="F139">
            <v>478261</v>
          </cell>
          <cell r="G139">
            <v>0</v>
          </cell>
          <cell r="H139">
            <v>0</v>
          </cell>
        </row>
        <row r="140">
          <cell r="B140">
            <v>7350310102133</v>
          </cell>
          <cell r="D140">
            <v>4291119</v>
          </cell>
          <cell r="E140">
            <v>0</v>
          </cell>
          <cell r="F140">
            <v>4291119</v>
          </cell>
          <cell r="G140">
            <v>0</v>
          </cell>
          <cell r="H140">
            <v>0</v>
          </cell>
        </row>
        <row r="141">
          <cell r="B141">
            <v>7350310102232</v>
          </cell>
          <cell r="D141">
            <v>19112362</v>
          </cell>
          <cell r="E141">
            <v>0</v>
          </cell>
          <cell r="F141">
            <v>19112362</v>
          </cell>
          <cell r="G141">
            <v>0</v>
          </cell>
          <cell r="H141">
            <v>0</v>
          </cell>
        </row>
        <row r="142">
          <cell r="B142">
            <v>7350310102240</v>
          </cell>
          <cell r="D142">
            <v>69069303</v>
          </cell>
          <cell r="E142">
            <v>0</v>
          </cell>
          <cell r="F142">
            <v>69069303</v>
          </cell>
          <cell r="G142">
            <v>0</v>
          </cell>
          <cell r="H142">
            <v>0</v>
          </cell>
        </row>
        <row r="143">
          <cell r="B143">
            <v>7350310102250</v>
          </cell>
          <cell r="D143">
            <v>30011601</v>
          </cell>
          <cell r="E143">
            <v>0</v>
          </cell>
          <cell r="F143">
            <v>30011601</v>
          </cell>
          <cell r="G143">
            <v>0</v>
          </cell>
          <cell r="H143">
            <v>0</v>
          </cell>
        </row>
        <row r="144">
          <cell r="B144">
            <v>7350310102251</v>
          </cell>
          <cell r="D144">
            <v>31734007</v>
          </cell>
          <cell r="E144">
            <v>0</v>
          </cell>
          <cell r="F144">
            <v>31734007</v>
          </cell>
          <cell r="G144">
            <v>0</v>
          </cell>
          <cell r="H144">
            <v>0</v>
          </cell>
        </row>
        <row r="145">
          <cell r="B145">
            <v>7350310102280</v>
          </cell>
          <cell r="D145">
            <v>19112363</v>
          </cell>
          <cell r="E145">
            <v>0</v>
          </cell>
          <cell r="F145">
            <v>19112363</v>
          </cell>
          <cell r="G145">
            <v>0</v>
          </cell>
          <cell r="H145">
            <v>0</v>
          </cell>
        </row>
        <row r="146">
          <cell r="B146">
            <v>7350310102290</v>
          </cell>
          <cell r="D146">
            <v>254804900</v>
          </cell>
          <cell r="E146">
            <v>0</v>
          </cell>
          <cell r="F146">
            <v>254804900</v>
          </cell>
          <cell r="G146">
            <v>0</v>
          </cell>
          <cell r="H146">
            <v>0</v>
          </cell>
        </row>
        <row r="147">
          <cell r="B147">
            <v>7350310202131</v>
          </cell>
          <cell r="D147">
            <v>2610586646</v>
          </cell>
          <cell r="E147">
            <v>0</v>
          </cell>
          <cell r="F147">
            <v>2610586646</v>
          </cell>
          <cell r="G147">
            <v>0</v>
          </cell>
          <cell r="H147">
            <v>0</v>
          </cell>
        </row>
        <row r="148">
          <cell r="B148">
            <v>7350310202132</v>
          </cell>
          <cell r="D148">
            <v>22229194</v>
          </cell>
          <cell r="E148">
            <v>0</v>
          </cell>
          <cell r="F148">
            <v>22229194</v>
          </cell>
          <cell r="G148">
            <v>0</v>
          </cell>
          <cell r="H148">
            <v>0</v>
          </cell>
        </row>
        <row r="149">
          <cell r="B149">
            <v>7350310202133</v>
          </cell>
          <cell r="D149">
            <v>2171792</v>
          </cell>
          <cell r="E149">
            <v>0</v>
          </cell>
          <cell r="F149">
            <v>2171792</v>
          </cell>
          <cell r="G149">
            <v>0</v>
          </cell>
          <cell r="H149">
            <v>0</v>
          </cell>
        </row>
        <row r="150">
          <cell r="B150">
            <v>7350310202232</v>
          </cell>
          <cell r="D150">
            <v>2155781</v>
          </cell>
          <cell r="E150">
            <v>0</v>
          </cell>
          <cell r="F150">
            <v>2155781</v>
          </cell>
          <cell r="G150">
            <v>0</v>
          </cell>
          <cell r="H150">
            <v>0</v>
          </cell>
        </row>
        <row r="151">
          <cell r="B151">
            <v>7350310202240</v>
          </cell>
          <cell r="D151">
            <v>41773922</v>
          </cell>
          <cell r="E151">
            <v>0</v>
          </cell>
          <cell r="F151">
            <v>41773922</v>
          </cell>
          <cell r="G151">
            <v>0</v>
          </cell>
          <cell r="H151">
            <v>0</v>
          </cell>
        </row>
        <row r="152">
          <cell r="B152">
            <v>7350310202250</v>
          </cell>
          <cell r="D152">
            <v>35918808</v>
          </cell>
          <cell r="E152">
            <v>0</v>
          </cell>
          <cell r="F152">
            <v>35918808</v>
          </cell>
          <cell r="G152">
            <v>0</v>
          </cell>
          <cell r="H152">
            <v>0</v>
          </cell>
        </row>
        <row r="153">
          <cell r="B153">
            <v>7350310202251</v>
          </cell>
          <cell r="D153">
            <v>92477825</v>
          </cell>
          <cell r="E153">
            <v>0</v>
          </cell>
          <cell r="F153">
            <v>92477825</v>
          </cell>
          <cell r="G153">
            <v>0</v>
          </cell>
          <cell r="H153">
            <v>0</v>
          </cell>
        </row>
        <row r="154">
          <cell r="B154">
            <v>7350310202280</v>
          </cell>
          <cell r="D154">
            <v>1304350</v>
          </cell>
          <cell r="E154">
            <v>0</v>
          </cell>
          <cell r="F154">
            <v>1304350</v>
          </cell>
          <cell r="G154">
            <v>0</v>
          </cell>
          <cell r="H154">
            <v>0</v>
          </cell>
        </row>
        <row r="155">
          <cell r="B155">
            <v>7350310202290</v>
          </cell>
          <cell r="D155">
            <v>73504747</v>
          </cell>
          <cell r="E155">
            <v>0</v>
          </cell>
          <cell r="F155">
            <v>73504747</v>
          </cell>
          <cell r="G155">
            <v>0</v>
          </cell>
          <cell r="H155">
            <v>0</v>
          </cell>
        </row>
        <row r="156">
          <cell r="B156">
            <v>7350310202330</v>
          </cell>
          <cell r="D156">
            <v>58627347</v>
          </cell>
          <cell r="E156">
            <v>0</v>
          </cell>
          <cell r="F156">
            <v>58627347</v>
          </cell>
          <cell r="G156">
            <v>0</v>
          </cell>
          <cell r="H156">
            <v>0</v>
          </cell>
        </row>
        <row r="157">
          <cell r="B157">
            <v>7350310302131</v>
          </cell>
          <cell r="D157">
            <v>152016001</v>
          </cell>
          <cell r="E157">
            <v>0</v>
          </cell>
          <cell r="F157">
            <v>152016001</v>
          </cell>
          <cell r="G157">
            <v>0</v>
          </cell>
          <cell r="H157">
            <v>0</v>
          </cell>
        </row>
        <row r="158">
          <cell r="B158">
            <v>7350310302133</v>
          </cell>
          <cell r="D158">
            <v>1750000</v>
          </cell>
          <cell r="E158">
            <v>0</v>
          </cell>
          <cell r="F158">
            <v>1750000</v>
          </cell>
          <cell r="G158">
            <v>0</v>
          </cell>
          <cell r="H158">
            <v>0</v>
          </cell>
        </row>
        <row r="159">
          <cell r="B159">
            <v>7350310302240</v>
          </cell>
          <cell r="D159">
            <v>158556729</v>
          </cell>
          <cell r="E159">
            <v>0</v>
          </cell>
          <cell r="F159">
            <v>158556729</v>
          </cell>
          <cell r="G159">
            <v>0</v>
          </cell>
          <cell r="H159">
            <v>0</v>
          </cell>
        </row>
        <row r="160">
          <cell r="B160">
            <v>7350310302250</v>
          </cell>
          <cell r="D160">
            <v>32827672</v>
          </cell>
          <cell r="E160">
            <v>0</v>
          </cell>
          <cell r="F160">
            <v>32827672</v>
          </cell>
          <cell r="G160">
            <v>0</v>
          </cell>
          <cell r="H160">
            <v>0</v>
          </cell>
        </row>
        <row r="161">
          <cell r="B161">
            <v>7350310302251</v>
          </cell>
          <cell r="D161">
            <v>1739000</v>
          </cell>
          <cell r="E161">
            <v>0</v>
          </cell>
          <cell r="F161">
            <v>1739000</v>
          </cell>
          <cell r="G161">
            <v>0</v>
          </cell>
          <cell r="H161">
            <v>0</v>
          </cell>
        </row>
        <row r="162">
          <cell r="B162">
            <v>7350310302290</v>
          </cell>
          <cell r="D162">
            <v>47930000</v>
          </cell>
          <cell r="E162">
            <v>0</v>
          </cell>
          <cell r="F162">
            <v>47930000</v>
          </cell>
          <cell r="G162">
            <v>0</v>
          </cell>
          <cell r="H162">
            <v>0</v>
          </cell>
        </row>
        <row r="163">
          <cell r="B163">
            <v>7350310402131</v>
          </cell>
          <cell r="D163">
            <v>714093764</v>
          </cell>
          <cell r="E163">
            <v>0</v>
          </cell>
          <cell r="F163">
            <v>714093764</v>
          </cell>
          <cell r="G163">
            <v>0</v>
          </cell>
          <cell r="H163">
            <v>0</v>
          </cell>
        </row>
        <row r="164">
          <cell r="B164">
            <v>7350310402132</v>
          </cell>
          <cell r="D164">
            <v>350000</v>
          </cell>
          <cell r="E164">
            <v>0</v>
          </cell>
          <cell r="F164">
            <v>350000</v>
          </cell>
          <cell r="G164">
            <v>0</v>
          </cell>
          <cell r="H164">
            <v>0</v>
          </cell>
        </row>
        <row r="165">
          <cell r="B165">
            <v>7350310402232</v>
          </cell>
          <cell r="D165">
            <v>55860000</v>
          </cell>
          <cell r="E165">
            <v>0</v>
          </cell>
          <cell r="F165">
            <v>55860000</v>
          </cell>
          <cell r="G165">
            <v>0</v>
          </cell>
          <cell r="H165">
            <v>0</v>
          </cell>
        </row>
        <row r="166">
          <cell r="B166">
            <v>7350310402240</v>
          </cell>
          <cell r="D166">
            <v>480456391</v>
          </cell>
          <cell r="E166">
            <v>0</v>
          </cell>
          <cell r="F166">
            <v>480456391</v>
          </cell>
          <cell r="G166">
            <v>0</v>
          </cell>
          <cell r="H166">
            <v>0</v>
          </cell>
        </row>
        <row r="167">
          <cell r="B167">
            <v>7350310402250</v>
          </cell>
          <cell r="D167">
            <v>440000</v>
          </cell>
          <cell r="E167">
            <v>0</v>
          </cell>
          <cell r="F167">
            <v>440000</v>
          </cell>
          <cell r="G167">
            <v>0</v>
          </cell>
          <cell r="H167">
            <v>0</v>
          </cell>
        </row>
        <row r="168">
          <cell r="B168">
            <v>7350310402251</v>
          </cell>
          <cell r="D168">
            <v>6165676</v>
          </cell>
          <cell r="E168">
            <v>0</v>
          </cell>
          <cell r="F168">
            <v>6165676</v>
          </cell>
          <cell r="G168">
            <v>0</v>
          </cell>
          <cell r="H168">
            <v>0</v>
          </cell>
        </row>
        <row r="169">
          <cell r="B169">
            <v>7350310402290</v>
          </cell>
          <cell r="D169">
            <v>41243490</v>
          </cell>
          <cell r="E169">
            <v>0</v>
          </cell>
          <cell r="F169">
            <v>41243490</v>
          </cell>
          <cell r="G169">
            <v>0</v>
          </cell>
          <cell r="H169">
            <v>0</v>
          </cell>
        </row>
        <row r="170">
          <cell r="B170">
            <v>7350310402330</v>
          </cell>
          <cell r="D170">
            <v>4800000</v>
          </cell>
          <cell r="E170">
            <v>0</v>
          </cell>
          <cell r="F170">
            <v>4800000</v>
          </cell>
          <cell r="G170">
            <v>0</v>
          </cell>
          <cell r="H170">
            <v>0</v>
          </cell>
        </row>
        <row r="171">
          <cell r="B171">
            <v>7350310702131</v>
          </cell>
          <cell r="D171">
            <v>279744713</v>
          </cell>
          <cell r="E171">
            <v>0</v>
          </cell>
          <cell r="F171">
            <v>279744713</v>
          </cell>
          <cell r="G171">
            <v>0</v>
          </cell>
          <cell r="H171">
            <v>0</v>
          </cell>
        </row>
        <row r="172">
          <cell r="B172">
            <v>7350310702240</v>
          </cell>
          <cell r="D172">
            <v>135274282</v>
          </cell>
          <cell r="E172">
            <v>0</v>
          </cell>
          <cell r="F172">
            <v>135274282</v>
          </cell>
          <cell r="G172">
            <v>0</v>
          </cell>
          <cell r="H172">
            <v>0</v>
          </cell>
        </row>
        <row r="173">
          <cell r="B173">
            <v>7350310702250</v>
          </cell>
          <cell r="D173">
            <v>39750000</v>
          </cell>
          <cell r="E173">
            <v>0</v>
          </cell>
          <cell r="F173">
            <v>39750000</v>
          </cell>
          <cell r="G173">
            <v>0</v>
          </cell>
          <cell r="H173">
            <v>0</v>
          </cell>
        </row>
        <row r="174">
          <cell r="B174">
            <v>7350310702251</v>
          </cell>
          <cell r="D174">
            <v>1400000</v>
          </cell>
          <cell r="E174">
            <v>0</v>
          </cell>
          <cell r="F174">
            <v>1400000</v>
          </cell>
          <cell r="G174">
            <v>0</v>
          </cell>
          <cell r="H174">
            <v>0</v>
          </cell>
        </row>
        <row r="175">
          <cell r="B175">
            <v>7350310702280</v>
          </cell>
          <cell r="D175">
            <v>157200000</v>
          </cell>
          <cell r="E175">
            <v>0</v>
          </cell>
          <cell r="F175">
            <v>157200000</v>
          </cell>
          <cell r="G175">
            <v>0</v>
          </cell>
          <cell r="H175">
            <v>0</v>
          </cell>
        </row>
        <row r="176">
          <cell r="B176">
            <v>7350310702290</v>
          </cell>
          <cell r="D176">
            <v>48922000</v>
          </cell>
          <cell r="E176">
            <v>0</v>
          </cell>
          <cell r="F176">
            <v>48922000</v>
          </cell>
          <cell r="G176">
            <v>0</v>
          </cell>
          <cell r="H176">
            <v>0</v>
          </cell>
        </row>
        <row r="177">
          <cell r="B177">
            <v>7350310702330</v>
          </cell>
          <cell r="D177">
            <v>434783</v>
          </cell>
          <cell r="E177">
            <v>0</v>
          </cell>
          <cell r="F177">
            <v>434783</v>
          </cell>
          <cell r="G177">
            <v>0</v>
          </cell>
          <cell r="H177">
            <v>0</v>
          </cell>
        </row>
        <row r="178">
          <cell r="B178">
            <v>7350310802131</v>
          </cell>
          <cell r="D178">
            <v>321103550</v>
          </cell>
          <cell r="E178">
            <v>0</v>
          </cell>
          <cell r="F178">
            <v>321103550</v>
          </cell>
          <cell r="G178">
            <v>0</v>
          </cell>
          <cell r="H178">
            <v>0</v>
          </cell>
        </row>
        <row r="179">
          <cell r="B179">
            <v>7350310802232</v>
          </cell>
          <cell r="D179">
            <v>1913259</v>
          </cell>
          <cell r="E179">
            <v>0</v>
          </cell>
          <cell r="F179">
            <v>1913259</v>
          </cell>
          <cell r="G179">
            <v>0</v>
          </cell>
          <cell r="H179">
            <v>0</v>
          </cell>
        </row>
        <row r="180">
          <cell r="B180">
            <v>7350310802240</v>
          </cell>
          <cell r="D180">
            <v>49940000</v>
          </cell>
          <cell r="E180">
            <v>0</v>
          </cell>
          <cell r="F180">
            <v>49940000</v>
          </cell>
          <cell r="G180">
            <v>0</v>
          </cell>
          <cell r="H180">
            <v>0</v>
          </cell>
        </row>
        <row r="181">
          <cell r="B181">
            <v>7350310802290</v>
          </cell>
          <cell r="D181">
            <v>8483739</v>
          </cell>
          <cell r="E181">
            <v>0</v>
          </cell>
          <cell r="F181">
            <v>8483739</v>
          </cell>
          <cell r="G181">
            <v>0</v>
          </cell>
          <cell r="H181">
            <v>0</v>
          </cell>
        </row>
        <row r="182">
          <cell r="B182">
            <v>7350310902131</v>
          </cell>
          <cell r="D182">
            <v>1488320920</v>
          </cell>
          <cell r="E182">
            <v>0</v>
          </cell>
          <cell r="F182">
            <v>1488320920</v>
          </cell>
          <cell r="G182">
            <v>0</v>
          </cell>
          <cell r="H182">
            <v>0</v>
          </cell>
        </row>
        <row r="183">
          <cell r="B183">
            <v>7350310902132</v>
          </cell>
          <cell r="D183">
            <v>20057109</v>
          </cell>
          <cell r="E183">
            <v>0</v>
          </cell>
          <cell r="F183">
            <v>20057109</v>
          </cell>
          <cell r="G183">
            <v>0</v>
          </cell>
          <cell r="H183">
            <v>0</v>
          </cell>
        </row>
        <row r="184">
          <cell r="B184">
            <v>7350310902133</v>
          </cell>
          <cell r="D184">
            <v>388500</v>
          </cell>
          <cell r="E184">
            <v>0</v>
          </cell>
          <cell r="F184">
            <v>388500</v>
          </cell>
          <cell r="G184">
            <v>0</v>
          </cell>
          <cell r="H184">
            <v>0</v>
          </cell>
        </row>
        <row r="185">
          <cell r="B185">
            <v>7350310902232</v>
          </cell>
          <cell r="D185">
            <v>7093831</v>
          </cell>
          <cell r="E185">
            <v>0</v>
          </cell>
          <cell r="F185">
            <v>7093831</v>
          </cell>
          <cell r="G185">
            <v>0</v>
          </cell>
          <cell r="H185">
            <v>0</v>
          </cell>
        </row>
        <row r="186">
          <cell r="B186">
            <v>7350310902240</v>
          </cell>
          <cell r="D186">
            <v>15501445</v>
          </cell>
          <cell r="E186">
            <v>0</v>
          </cell>
          <cell r="F186">
            <v>15501445</v>
          </cell>
          <cell r="G186">
            <v>0</v>
          </cell>
          <cell r="H186">
            <v>0</v>
          </cell>
        </row>
        <row r="187">
          <cell r="B187">
            <v>7350310902250</v>
          </cell>
          <cell r="D187">
            <v>1584270</v>
          </cell>
          <cell r="E187">
            <v>0</v>
          </cell>
          <cell r="F187">
            <v>1584270</v>
          </cell>
          <cell r="G187">
            <v>0</v>
          </cell>
          <cell r="H187">
            <v>0</v>
          </cell>
        </row>
        <row r="188">
          <cell r="B188">
            <v>7350310902251</v>
          </cell>
          <cell r="D188">
            <v>69319968</v>
          </cell>
          <cell r="E188">
            <v>0</v>
          </cell>
          <cell r="F188">
            <v>69319968</v>
          </cell>
          <cell r="G188">
            <v>0</v>
          </cell>
          <cell r="H188">
            <v>0</v>
          </cell>
        </row>
        <row r="189">
          <cell r="B189">
            <v>7350310902290</v>
          </cell>
          <cell r="D189">
            <v>9637971</v>
          </cell>
          <cell r="E189">
            <v>0</v>
          </cell>
          <cell r="F189">
            <v>9637971</v>
          </cell>
          <cell r="G189">
            <v>0</v>
          </cell>
          <cell r="H189">
            <v>0</v>
          </cell>
        </row>
        <row r="190">
          <cell r="B190">
            <v>7350310902330</v>
          </cell>
          <cell r="D190">
            <v>56565132</v>
          </cell>
          <cell r="E190">
            <v>0</v>
          </cell>
          <cell r="F190">
            <v>56565132</v>
          </cell>
          <cell r="G190">
            <v>0</v>
          </cell>
          <cell r="H190">
            <v>0</v>
          </cell>
        </row>
        <row r="191">
          <cell r="B191">
            <v>7350311002131</v>
          </cell>
          <cell r="D191">
            <v>457488509</v>
          </cell>
          <cell r="E191">
            <v>0</v>
          </cell>
          <cell r="F191">
            <v>457488509</v>
          </cell>
          <cell r="G191">
            <v>0</v>
          </cell>
          <cell r="H191">
            <v>0</v>
          </cell>
        </row>
        <row r="192">
          <cell r="B192">
            <v>7350311002132</v>
          </cell>
          <cell r="D192">
            <v>6194350</v>
          </cell>
          <cell r="E192">
            <v>0</v>
          </cell>
          <cell r="F192">
            <v>6194350</v>
          </cell>
          <cell r="G192">
            <v>0</v>
          </cell>
          <cell r="H192">
            <v>0</v>
          </cell>
        </row>
        <row r="193">
          <cell r="B193">
            <v>7350311002240</v>
          </cell>
          <cell r="D193">
            <v>4784000</v>
          </cell>
          <cell r="E193">
            <v>0</v>
          </cell>
          <cell r="F193">
            <v>4784000</v>
          </cell>
          <cell r="G193">
            <v>0</v>
          </cell>
          <cell r="H193">
            <v>0</v>
          </cell>
        </row>
        <row r="194">
          <cell r="B194">
            <v>7350311002251</v>
          </cell>
          <cell r="D194">
            <v>3400000</v>
          </cell>
          <cell r="E194">
            <v>0</v>
          </cell>
          <cell r="F194">
            <v>3400000</v>
          </cell>
          <cell r="G194">
            <v>0</v>
          </cell>
          <cell r="H194">
            <v>0</v>
          </cell>
        </row>
        <row r="195">
          <cell r="B195">
            <v>7350311202131</v>
          </cell>
          <cell r="D195">
            <v>67269960</v>
          </cell>
          <cell r="E195">
            <v>0</v>
          </cell>
          <cell r="F195">
            <v>67269960</v>
          </cell>
          <cell r="G195">
            <v>0</v>
          </cell>
          <cell r="H195">
            <v>0</v>
          </cell>
        </row>
        <row r="196">
          <cell r="B196">
            <v>7350311202251</v>
          </cell>
          <cell r="D196">
            <v>30300000</v>
          </cell>
          <cell r="E196">
            <v>0</v>
          </cell>
          <cell r="F196">
            <v>30300000</v>
          </cell>
          <cell r="G196">
            <v>0</v>
          </cell>
          <cell r="H196">
            <v>0</v>
          </cell>
        </row>
        <row r="197">
          <cell r="B197">
            <v>7350319902131</v>
          </cell>
          <cell r="D197">
            <v>276857964</v>
          </cell>
          <cell r="E197">
            <v>0</v>
          </cell>
          <cell r="F197">
            <v>276857964</v>
          </cell>
          <cell r="G197">
            <v>0</v>
          </cell>
          <cell r="H197">
            <v>0</v>
          </cell>
        </row>
        <row r="198">
          <cell r="B198">
            <v>7350319902132</v>
          </cell>
          <cell r="D198">
            <v>6500633</v>
          </cell>
          <cell r="E198">
            <v>0</v>
          </cell>
          <cell r="F198">
            <v>6500633</v>
          </cell>
          <cell r="G198">
            <v>0</v>
          </cell>
          <cell r="H198">
            <v>0</v>
          </cell>
        </row>
        <row r="199">
          <cell r="B199">
            <v>7350319902133</v>
          </cell>
          <cell r="D199">
            <v>164000000</v>
          </cell>
          <cell r="E199">
            <v>0</v>
          </cell>
          <cell r="F199">
            <v>164000000</v>
          </cell>
          <cell r="G199">
            <v>0</v>
          </cell>
          <cell r="H199">
            <v>0</v>
          </cell>
        </row>
        <row r="200">
          <cell r="B200">
            <v>7350319902232</v>
          </cell>
          <cell r="D200">
            <v>252418035</v>
          </cell>
          <cell r="E200">
            <v>0</v>
          </cell>
          <cell r="F200">
            <v>252418035</v>
          </cell>
          <cell r="G200">
            <v>0</v>
          </cell>
          <cell r="H200">
            <v>0</v>
          </cell>
        </row>
        <row r="201">
          <cell r="B201">
            <v>7350319902240</v>
          </cell>
          <cell r="D201">
            <v>35403737</v>
          </cell>
          <cell r="E201">
            <v>0</v>
          </cell>
          <cell r="F201">
            <v>35403737</v>
          </cell>
          <cell r="G201">
            <v>0</v>
          </cell>
          <cell r="H201">
            <v>0</v>
          </cell>
        </row>
        <row r="202">
          <cell r="B202">
            <v>7350319902251</v>
          </cell>
          <cell r="D202">
            <v>17672693</v>
          </cell>
          <cell r="E202">
            <v>0</v>
          </cell>
          <cell r="F202">
            <v>17672693</v>
          </cell>
          <cell r="G202">
            <v>0</v>
          </cell>
          <cell r="H202">
            <v>0</v>
          </cell>
        </row>
        <row r="203">
          <cell r="B203">
            <v>7350319902290</v>
          </cell>
          <cell r="D203">
            <v>205624783</v>
          </cell>
          <cell r="E203">
            <v>0</v>
          </cell>
          <cell r="F203">
            <v>205624783</v>
          </cell>
          <cell r="G203">
            <v>0</v>
          </cell>
          <cell r="H203">
            <v>0</v>
          </cell>
        </row>
        <row r="204">
          <cell r="B204">
            <v>7350319902330</v>
          </cell>
          <cell r="D204">
            <v>1926341</v>
          </cell>
          <cell r="E204">
            <v>0</v>
          </cell>
          <cell r="F204">
            <v>1926341</v>
          </cell>
          <cell r="G204">
            <v>0</v>
          </cell>
          <cell r="H204">
            <v>0</v>
          </cell>
        </row>
        <row r="205">
          <cell r="B205">
            <v>7351011102232</v>
          </cell>
          <cell r="D205">
            <v>9249011000</v>
          </cell>
          <cell r="E205">
            <v>166964940</v>
          </cell>
          <cell r="F205">
            <v>9082046060</v>
          </cell>
          <cell r="G205">
            <v>0</v>
          </cell>
          <cell r="H205">
            <v>10935201429</v>
          </cell>
        </row>
        <row r="206">
          <cell r="B206">
            <v>7351011102240</v>
          </cell>
          <cell r="D206">
            <v>10894910018</v>
          </cell>
          <cell r="E206">
            <v>246409988</v>
          </cell>
          <cell r="F206">
            <v>10648500030</v>
          </cell>
          <cell r="G206">
            <v>0</v>
          </cell>
          <cell r="H206">
            <v>10941967209</v>
          </cell>
        </row>
        <row r="207">
          <cell r="B207">
            <v>7351011102250</v>
          </cell>
          <cell r="D207">
            <v>7293600755</v>
          </cell>
          <cell r="E207">
            <v>204166253</v>
          </cell>
          <cell r="F207">
            <v>7089434502</v>
          </cell>
          <cell r="G207">
            <v>0</v>
          </cell>
          <cell r="H207">
            <v>7166079600</v>
          </cell>
        </row>
        <row r="208">
          <cell r="B208">
            <v>7351011102251</v>
          </cell>
          <cell r="D208">
            <v>5650307329</v>
          </cell>
          <cell r="E208">
            <v>93651503</v>
          </cell>
          <cell r="F208">
            <v>5556655826</v>
          </cell>
          <cell r="G208">
            <v>0</v>
          </cell>
          <cell r="H208">
            <v>5650305960</v>
          </cell>
        </row>
        <row r="209">
          <cell r="B209">
            <v>7351011102280</v>
          </cell>
          <cell r="D209">
            <v>9698885009</v>
          </cell>
          <cell r="E209">
            <v>316583265</v>
          </cell>
          <cell r="F209">
            <v>9382301744</v>
          </cell>
          <cell r="G209">
            <v>0</v>
          </cell>
          <cell r="H209">
            <v>9988018020</v>
          </cell>
        </row>
        <row r="210">
          <cell r="B210">
            <v>7351011102290</v>
          </cell>
          <cell r="D210">
            <v>1131677595</v>
          </cell>
          <cell r="E210">
            <v>33781253</v>
          </cell>
          <cell r="F210">
            <v>1097896342</v>
          </cell>
          <cell r="G210">
            <v>0</v>
          </cell>
          <cell r="H210">
            <v>920289975</v>
          </cell>
        </row>
        <row r="211">
          <cell r="B211">
            <v>7351020102232</v>
          </cell>
          <cell r="D211">
            <v>443388035</v>
          </cell>
          <cell r="E211">
            <v>0</v>
          </cell>
          <cell r="F211">
            <v>443388035</v>
          </cell>
          <cell r="G211">
            <v>0</v>
          </cell>
          <cell r="H211">
            <v>874816114</v>
          </cell>
        </row>
        <row r="212">
          <cell r="B212">
            <v>7351020102240</v>
          </cell>
          <cell r="D212">
            <v>1293704175</v>
          </cell>
          <cell r="E212">
            <v>0</v>
          </cell>
          <cell r="F212">
            <v>1293704175</v>
          </cell>
          <cell r="G212">
            <v>0</v>
          </cell>
          <cell r="H212">
            <v>875357378</v>
          </cell>
        </row>
        <row r="213">
          <cell r="B213">
            <v>7351020102250</v>
          </cell>
          <cell r="D213">
            <v>867085989</v>
          </cell>
          <cell r="E213">
            <v>0</v>
          </cell>
          <cell r="F213">
            <v>867085989</v>
          </cell>
          <cell r="G213">
            <v>0</v>
          </cell>
          <cell r="H213">
            <v>573286368</v>
          </cell>
        </row>
        <row r="214">
          <cell r="B214">
            <v>7351020102251</v>
          </cell>
          <cell r="D214">
            <v>618313033</v>
          </cell>
          <cell r="E214">
            <v>0</v>
          </cell>
          <cell r="F214">
            <v>618313033</v>
          </cell>
          <cell r="G214">
            <v>0</v>
          </cell>
          <cell r="H214">
            <v>452024477</v>
          </cell>
        </row>
        <row r="215">
          <cell r="B215">
            <v>7351020102280</v>
          </cell>
          <cell r="D215">
            <v>1161189325</v>
          </cell>
          <cell r="E215">
            <v>0</v>
          </cell>
          <cell r="F215">
            <v>1161189325</v>
          </cell>
          <cell r="G215">
            <v>0</v>
          </cell>
          <cell r="H215">
            <v>799041443</v>
          </cell>
        </row>
        <row r="216">
          <cell r="B216">
            <v>7351020102290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73623198</v>
          </cell>
        </row>
        <row r="217">
          <cell r="B217">
            <v>7351041102232</v>
          </cell>
          <cell r="D217">
            <v>3624927300</v>
          </cell>
          <cell r="E217">
            <v>107870555</v>
          </cell>
          <cell r="F217">
            <v>3517056745</v>
          </cell>
          <cell r="G217">
            <v>0</v>
          </cell>
          <cell r="H217">
            <v>3645067144</v>
          </cell>
        </row>
        <row r="218">
          <cell r="B218">
            <v>7351041102240</v>
          </cell>
          <cell r="D218">
            <v>3627172800</v>
          </cell>
          <cell r="E218">
            <v>82136663</v>
          </cell>
          <cell r="F218">
            <v>3545036137</v>
          </cell>
          <cell r="G218">
            <v>0</v>
          </cell>
          <cell r="H218">
            <v>3647322404</v>
          </cell>
        </row>
        <row r="219">
          <cell r="B219">
            <v>7351041102250</v>
          </cell>
          <cell r="D219">
            <v>2453570550</v>
          </cell>
          <cell r="E219">
            <v>74291593</v>
          </cell>
          <cell r="F219">
            <v>2379278957</v>
          </cell>
          <cell r="G219">
            <v>0</v>
          </cell>
          <cell r="H219">
            <v>2388693200</v>
          </cell>
        </row>
        <row r="220">
          <cell r="B220">
            <v>7351041102251</v>
          </cell>
          <cell r="D220">
            <v>1873030050</v>
          </cell>
          <cell r="E220">
            <v>31217168</v>
          </cell>
          <cell r="F220">
            <v>1841812882</v>
          </cell>
          <cell r="G220">
            <v>0</v>
          </cell>
          <cell r="H220">
            <v>1883435320</v>
          </cell>
        </row>
        <row r="221">
          <cell r="B221">
            <v>7351041102280</v>
          </cell>
          <cell r="D221">
            <v>3292945200</v>
          </cell>
          <cell r="E221">
            <v>54882420</v>
          </cell>
          <cell r="F221">
            <v>3238062780</v>
          </cell>
          <cell r="G221">
            <v>0</v>
          </cell>
          <cell r="H221">
            <v>3329339340</v>
          </cell>
        </row>
        <row r="222">
          <cell r="B222">
            <v>7351041102290</v>
          </cell>
          <cell r="D222">
            <v>305068500</v>
          </cell>
          <cell r="E222">
            <v>11260418</v>
          </cell>
          <cell r="F222">
            <v>293808082</v>
          </cell>
          <cell r="G222">
            <v>0</v>
          </cell>
          <cell r="H222">
            <v>306763325</v>
          </cell>
        </row>
        <row r="223">
          <cell r="B223">
            <v>7351131502131</v>
          </cell>
          <cell r="D223">
            <v>33691806</v>
          </cell>
          <cell r="E223">
            <v>0</v>
          </cell>
          <cell r="F223">
            <v>33691806</v>
          </cell>
          <cell r="G223">
            <v>0</v>
          </cell>
          <cell r="H223">
            <v>62400000</v>
          </cell>
        </row>
        <row r="224">
          <cell r="B224">
            <v>7351131502132</v>
          </cell>
          <cell r="D224">
            <v>17682673</v>
          </cell>
          <cell r="E224">
            <v>0</v>
          </cell>
          <cell r="F224">
            <v>17682673</v>
          </cell>
          <cell r="G224">
            <v>0</v>
          </cell>
          <cell r="H224">
            <v>38400000</v>
          </cell>
        </row>
        <row r="225">
          <cell r="B225">
            <v>7351131502133</v>
          </cell>
          <cell r="D225">
            <v>89966456</v>
          </cell>
          <cell r="E225">
            <v>0</v>
          </cell>
          <cell r="F225">
            <v>89966456</v>
          </cell>
          <cell r="G225">
            <v>0</v>
          </cell>
          <cell r="H225">
            <v>38400000</v>
          </cell>
        </row>
        <row r="226">
          <cell r="B226">
            <v>7351131502232</v>
          </cell>
          <cell r="D226">
            <v>1517085450</v>
          </cell>
          <cell r="E226">
            <v>0</v>
          </cell>
          <cell r="F226">
            <v>1517085450</v>
          </cell>
          <cell r="G226">
            <v>0</v>
          </cell>
          <cell r="H226">
            <v>33600000</v>
          </cell>
        </row>
        <row r="227">
          <cell r="B227">
            <v>7351131502240</v>
          </cell>
          <cell r="D227">
            <v>69761895</v>
          </cell>
          <cell r="E227">
            <v>0</v>
          </cell>
          <cell r="F227">
            <v>69761895</v>
          </cell>
          <cell r="G227">
            <v>0</v>
          </cell>
          <cell r="H227">
            <v>48000000</v>
          </cell>
        </row>
        <row r="228">
          <cell r="B228">
            <v>7351131502250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24000000</v>
          </cell>
        </row>
        <row r="229">
          <cell r="B229">
            <v>7351131502251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19200000</v>
          </cell>
        </row>
        <row r="230">
          <cell r="B230">
            <v>7351131502280</v>
          </cell>
          <cell r="D230">
            <v>141960045</v>
          </cell>
          <cell r="E230">
            <v>0</v>
          </cell>
          <cell r="F230">
            <v>141960045</v>
          </cell>
          <cell r="G230">
            <v>0</v>
          </cell>
          <cell r="H230">
            <v>38400000</v>
          </cell>
        </row>
        <row r="231">
          <cell r="B231">
            <v>7351131502290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9600000</v>
          </cell>
        </row>
        <row r="232">
          <cell r="B232">
            <v>7351210102232</v>
          </cell>
          <cell r="D232">
            <v>1142720123</v>
          </cell>
          <cell r="E232">
            <v>17486015</v>
          </cell>
          <cell r="F232">
            <v>1125234108</v>
          </cell>
          <cell r="G232">
            <v>0</v>
          </cell>
          <cell r="H232">
            <v>1330560000</v>
          </cell>
        </row>
        <row r="233">
          <cell r="B233">
            <v>7351210102240</v>
          </cell>
          <cell r="D233">
            <v>1251241579</v>
          </cell>
          <cell r="E233">
            <v>28842912</v>
          </cell>
          <cell r="F233">
            <v>1222398667</v>
          </cell>
          <cell r="G233">
            <v>0</v>
          </cell>
          <cell r="H233">
            <v>1330560000</v>
          </cell>
        </row>
        <row r="234">
          <cell r="B234">
            <v>7351210102250</v>
          </cell>
          <cell r="D234">
            <v>928600617</v>
          </cell>
          <cell r="E234">
            <v>17666284</v>
          </cell>
          <cell r="F234">
            <v>910934333</v>
          </cell>
          <cell r="G234">
            <v>0</v>
          </cell>
          <cell r="H234">
            <v>950400000</v>
          </cell>
        </row>
        <row r="235">
          <cell r="B235">
            <v>7351210102251</v>
          </cell>
          <cell r="D235">
            <v>711158051</v>
          </cell>
          <cell r="E235">
            <v>11627299</v>
          </cell>
          <cell r="F235">
            <v>699530752</v>
          </cell>
          <cell r="G235">
            <v>0</v>
          </cell>
          <cell r="H235">
            <v>760320000</v>
          </cell>
        </row>
        <row r="236">
          <cell r="B236">
            <v>7351210102280</v>
          </cell>
          <cell r="D236">
            <v>1389867824</v>
          </cell>
          <cell r="E236">
            <v>20820977</v>
          </cell>
          <cell r="F236">
            <v>1369046847</v>
          </cell>
          <cell r="G236">
            <v>0</v>
          </cell>
          <cell r="H236">
            <v>1520640000</v>
          </cell>
        </row>
        <row r="237">
          <cell r="B237">
            <v>7351210102290</v>
          </cell>
          <cell r="D237">
            <v>180334691</v>
          </cell>
          <cell r="E237">
            <v>4388112</v>
          </cell>
          <cell r="F237">
            <v>175946579</v>
          </cell>
          <cell r="G237">
            <v>0</v>
          </cell>
          <cell r="H237">
            <v>190080000</v>
          </cell>
        </row>
        <row r="238">
          <cell r="B238">
            <v>7351240102232</v>
          </cell>
          <cell r="D238">
            <v>241384991</v>
          </cell>
          <cell r="E238">
            <v>5008948</v>
          </cell>
          <cell r="F238">
            <v>236376043</v>
          </cell>
          <cell r="G238">
            <v>0</v>
          </cell>
          <cell r="H238">
            <v>354300527</v>
          </cell>
        </row>
        <row r="239">
          <cell r="B239">
            <v>7351240102240</v>
          </cell>
          <cell r="D239">
            <v>365744889</v>
          </cell>
          <cell r="E239">
            <v>7392300</v>
          </cell>
          <cell r="F239">
            <v>358352589</v>
          </cell>
          <cell r="G239">
            <v>0</v>
          </cell>
          <cell r="H239">
            <v>354519736</v>
          </cell>
        </row>
        <row r="240">
          <cell r="B240">
            <v>7351240102250</v>
          </cell>
          <cell r="D240">
            <v>244820589</v>
          </cell>
          <cell r="E240">
            <v>6124988</v>
          </cell>
          <cell r="F240">
            <v>238695601</v>
          </cell>
          <cell r="G240">
            <v>0</v>
          </cell>
          <cell r="H240">
            <v>232180979</v>
          </cell>
        </row>
        <row r="241">
          <cell r="B241">
            <v>7351240102251</v>
          </cell>
          <cell r="D241">
            <v>132818595</v>
          </cell>
          <cell r="E241">
            <v>2809545</v>
          </cell>
          <cell r="F241">
            <v>130009050</v>
          </cell>
          <cell r="G241">
            <v>0</v>
          </cell>
          <cell r="H241">
            <v>183069916</v>
          </cell>
        </row>
        <row r="242">
          <cell r="B242">
            <v>7351240102280</v>
          </cell>
          <cell r="D242">
            <v>325802207</v>
          </cell>
          <cell r="E242">
            <v>9497498</v>
          </cell>
          <cell r="F242">
            <v>316304709</v>
          </cell>
          <cell r="G242">
            <v>0</v>
          </cell>
          <cell r="H242">
            <v>323611784</v>
          </cell>
        </row>
        <row r="243">
          <cell r="B243">
            <v>7351240102290</v>
          </cell>
          <cell r="D243">
            <v>33641527</v>
          </cell>
          <cell r="E243">
            <v>1013438</v>
          </cell>
          <cell r="F243">
            <v>32628089</v>
          </cell>
          <cell r="G243">
            <v>0</v>
          </cell>
          <cell r="H243">
            <v>29817397</v>
          </cell>
        </row>
        <row r="244">
          <cell r="B244">
            <v>7351310102131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B245">
            <v>7351320102131</v>
          </cell>
          <cell r="D245">
            <v>1316310652</v>
          </cell>
          <cell r="E245">
            <v>0</v>
          </cell>
          <cell r="F245">
            <v>1316310652</v>
          </cell>
          <cell r="G245">
            <v>0</v>
          </cell>
          <cell r="H245">
            <v>1872000000</v>
          </cell>
        </row>
        <row r="246">
          <cell r="B246">
            <v>7351320102132</v>
          </cell>
          <cell r="D246">
            <v>987232988</v>
          </cell>
          <cell r="E246">
            <v>0</v>
          </cell>
          <cell r="F246">
            <v>987232988</v>
          </cell>
          <cell r="G246">
            <v>0</v>
          </cell>
          <cell r="H246">
            <v>1152000000</v>
          </cell>
        </row>
        <row r="247">
          <cell r="B247">
            <v>7351320102133</v>
          </cell>
          <cell r="D247">
            <v>854475192</v>
          </cell>
          <cell r="E247">
            <v>0</v>
          </cell>
          <cell r="F247">
            <v>854475192</v>
          </cell>
          <cell r="G247">
            <v>0</v>
          </cell>
          <cell r="H247">
            <v>1152000000</v>
          </cell>
        </row>
        <row r="248">
          <cell r="B248">
            <v>7351320102232</v>
          </cell>
          <cell r="D248">
            <v>748297321</v>
          </cell>
          <cell r="E248">
            <v>614014</v>
          </cell>
          <cell r="F248">
            <v>747683307</v>
          </cell>
          <cell r="G248">
            <v>0</v>
          </cell>
          <cell r="H248">
            <v>1008000000</v>
          </cell>
        </row>
        <row r="249">
          <cell r="B249">
            <v>7351320102240</v>
          </cell>
          <cell r="D249">
            <v>767847881</v>
          </cell>
          <cell r="E249">
            <v>0</v>
          </cell>
          <cell r="F249">
            <v>767847881</v>
          </cell>
          <cell r="G249">
            <v>0</v>
          </cell>
          <cell r="H249">
            <v>1008000000</v>
          </cell>
        </row>
        <row r="250">
          <cell r="B250">
            <v>7351320102250</v>
          </cell>
          <cell r="D250">
            <v>548462771</v>
          </cell>
          <cell r="E250">
            <v>3684084</v>
          </cell>
          <cell r="F250">
            <v>544778687</v>
          </cell>
          <cell r="G250">
            <v>0</v>
          </cell>
          <cell r="H250">
            <v>720000000</v>
          </cell>
        </row>
        <row r="251">
          <cell r="B251">
            <v>7351320102251</v>
          </cell>
          <cell r="D251">
            <v>438770217</v>
          </cell>
          <cell r="E251">
            <v>614014</v>
          </cell>
          <cell r="F251">
            <v>438156203</v>
          </cell>
          <cell r="G251">
            <v>0</v>
          </cell>
          <cell r="H251">
            <v>576000000</v>
          </cell>
        </row>
        <row r="252">
          <cell r="B252">
            <v>7351320102280</v>
          </cell>
          <cell r="D252">
            <v>877540435</v>
          </cell>
          <cell r="E252">
            <v>11052252</v>
          </cell>
          <cell r="F252">
            <v>866488183</v>
          </cell>
          <cell r="G252">
            <v>0</v>
          </cell>
          <cell r="H252">
            <v>1152000000</v>
          </cell>
        </row>
        <row r="253">
          <cell r="B253">
            <v>7351320102290</v>
          </cell>
          <cell r="D253">
            <v>109692554</v>
          </cell>
          <cell r="E253">
            <v>0</v>
          </cell>
          <cell r="F253">
            <v>109692554</v>
          </cell>
          <cell r="G253">
            <v>0</v>
          </cell>
          <cell r="H253">
            <v>144000000</v>
          </cell>
        </row>
        <row r="254">
          <cell r="B254">
            <v>7351360102131</v>
          </cell>
          <cell r="D254">
            <v>848421944</v>
          </cell>
          <cell r="E254">
            <v>17134560</v>
          </cell>
          <cell r="F254">
            <v>831287384</v>
          </cell>
          <cell r="G254">
            <v>0</v>
          </cell>
          <cell r="H254">
            <v>858000000</v>
          </cell>
        </row>
        <row r="255">
          <cell r="B255">
            <v>7351360102132</v>
          </cell>
          <cell r="D255">
            <v>636316458</v>
          </cell>
          <cell r="E255">
            <v>12850920</v>
          </cell>
          <cell r="F255">
            <v>623465538</v>
          </cell>
          <cell r="G255">
            <v>0</v>
          </cell>
          <cell r="H255">
            <v>528000000</v>
          </cell>
        </row>
        <row r="256">
          <cell r="B256">
            <v>7351360102133</v>
          </cell>
          <cell r="D256">
            <v>552965105</v>
          </cell>
          <cell r="E256">
            <v>11423040</v>
          </cell>
          <cell r="F256">
            <v>541542065</v>
          </cell>
          <cell r="G256">
            <v>0</v>
          </cell>
          <cell r="H256">
            <v>528000000</v>
          </cell>
        </row>
        <row r="257">
          <cell r="B257">
            <v>7351360102232</v>
          </cell>
          <cell r="D257">
            <v>482785272</v>
          </cell>
          <cell r="E257">
            <v>8567280</v>
          </cell>
          <cell r="F257">
            <v>474217992</v>
          </cell>
          <cell r="G257">
            <v>0</v>
          </cell>
          <cell r="H257">
            <v>462000000</v>
          </cell>
        </row>
        <row r="258">
          <cell r="B258">
            <v>7351360102240</v>
          </cell>
          <cell r="D258">
            <v>494912802</v>
          </cell>
          <cell r="E258">
            <v>14278800</v>
          </cell>
          <cell r="F258">
            <v>480634002</v>
          </cell>
          <cell r="G258">
            <v>0</v>
          </cell>
          <cell r="H258">
            <v>462000000</v>
          </cell>
        </row>
        <row r="259">
          <cell r="B259">
            <v>7351360102250</v>
          </cell>
          <cell r="D259">
            <v>353509142</v>
          </cell>
          <cell r="E259">
            <v>8567280</v>
          </cell>
          <cell r="F259">
            <v>344941862</v>
          </cell>
          <cell r="G259">
            <v>0</v>
          </cell>
          <cell r="H259">
            <v>330000000</v>
          </cell>
        </row>
        <row r="260">
          <cell r="B260">
            <v>7351360102251</v>
          </cell>
          <cell r="D260">
            <v>282807315</v>
          </cell>
          <cell r="E260">
            <v>5711520</v>
          </cell>
          <cell r="F260">
            <v>277095795</v>
          </cell>
          <cell r="G260">
            <v>0</v>
          </cell>
          <cell r="H260">
            <v>264000000</v>
          </cell>
        </row>
        <row r="261">
          <cell r="B261">
            <v>7351360102280</v>
          </cell>
          <cell r="D261">
            <v>565614629</v>
          </cell>
          <cell r="E261">
            <v>9995160</v>
          </cell>
          <cell r="F261">
            <v>555619469</v>
          </cell>
          <cell r="G261">
            <v>0</v>
          </cell>
          <cell r="H261">
            <v>528000000</v>
          </cell>
        </row>
        <row r="262">
          <cell r="B262">
            <v>7351360102290</v>
          </cell>
          <cell r="D262">
            <v>70701831</v>
          </cell>
          <cell r="E262">
            <v>2855760</v>
          </cell>
          <cell r="F262">
            <v>67846071</v>
          </cell>
          <cell r="G262">
            <v>0</v>
          </cell>
          <cell r="H262">
            <v>66000000</v>
          </cell>
        </row>
        <row r="263">
          <cell r="B263">
            <v>7353030102132</v>
          </cell>
          <cell r="D263">
            <v>40234786</v>
          </cell>
          <cell r="E263">
            <v>0</v>
          </cell>
          <cell r="F263">
            <v>40234786</v>
          </cell>
          <cell r="G263">
            <v>0</v>
          </cell>
          <cell r="H263">
            <v>0</v>
          </cell>
        </row>
        <row r="264">
          <cell r="B264">
            <v>7353030102240</v>
          </cell>
          <cell r="D264">
            <v>66921740</v>
          </cell>
          <cell r="E264">
            <v>0</v>
          </cell>
          <cell r="F264">
            <v>66921740</v>
          </cell>
          <cell r="G264">
            <v>0</v>
          </cell>
          <cell r="H264">
            <v>0</v>
          </cell>
        </row>
        <row r="265">
          <cell r="B265">
            <v>7353120102131</v>
          </cell>
          <cell r="D265">
            <v>9740000</v>
          </cell>
          <cell r="E265">
            <v>0</v>
          </cell>
          <cell r="F265">
            <v>9740000</v>
          </cell>
          <cell r="G265">
            <v>0</v>
          </cell>
          <cell r="H265">
            <v>0</v>
          </cell>
        </row>
        <row r="266">
          <cell r="B266">
            <v>7353130102131</v>
          </cell>
          <cell r="D266">
            <v>7785779277</v>
          </cell>
          <cell r="E266">
            <v>0</v>
          </cell>
          <cell r="F266">
            <v>7785779277</v>
          </cell>
          <cell r="G266">
            <v>0</v>
          </cell>
          <cell r="H266">
            <v>0</v>
          </cell>
        </row>
        <row r="267">
          <cell r="B267">
            <v>7353130102132</v>
          </cell>
          <cell r="D267">
            <v>104500000</v>
          </cell>
          <cell r="E267">
            <v>0</v>
          </cell>
          <cell r="F267">
            <v>104500000</v>
          </cell>
          <cell r="G267">
            <v>0</v>
          </cell>
          <cell r="H267">
            <v>0</v>
          </cell>
        </row>
        <row r="268">
          <cell r="B268">
            <v>7353130102133</v>
          </cell>
          <cell r="D268">
            <v>355291500</v>
          </cell>
          <cell r="E268">
            <v>0</v>
          </cell>
          <cell r="F268">
            <v>355291500</v>
          </cell>
          <cell r="G268">
            <v>0</v>
          </cell>
          <cell r="H268">
            <v>0</v>
          </cell>
        </row>
        <row r="269">
          <cell r="B269">
            <v>7353130102240</v>
          </cell>
          <cell r="D269">
            <v>209956522</v>
          </cell>
          <cell r="E269">
            <v>0</v>
          </cell>
          <cell r="F269">
            <v>209956522</v>
          </cell>
          <cell r="G269">
            <v>0</v>
          </cell>
          <cell r="H269">
            <v>0</v>
          </cell>
        </row>
        <row r="270">
          <cell r="B270">
            <v>7353130102250</v>
          </cell>
          <cell r="D270">
            <v>313400000</v>
          </cell>
          <cell r="E270">
            <v>0</v>
          </cell>
          <cell r="F270">
            <v>313400000</v>
          </cell>
          <cell r="G270">
            <v>0</v>
          </cell>
          <cell r="H270">
            <v>0</v>
          </cell>
        </row>
        <row r="271">
          <cell r="B271">
            <v>7353130102251</v>
          </cell>
          <cell r="D271">
            <v>137000000</v>
          </cell>
          <cell r="E271">
            <v>0</v>
          </cell>
          <cell r="F271">
            <v>137000000</v>
          </cell>
          <cell r="G271">
            <v>0</v>
          </cell>
          <cell r="H271">
            <v>0</v>
          </cell>
        </row>
        <row r="272">
          <cell r="B272">
            <v>7353130102252</v>
          </cell>
          <cell r="D272">
            <v>40000000</v>
          </cell>
          <cell r="E272">
            <v>0</v>
          </cell>
          <cell r="F272">
            <v>40000000</v>
          </cell>
          <cell r="G272">
            <v>0</v>
          </cell>
          <cell r="H272">
            <v>0</v>
          </cell>
        </row>
        <row r="273">
          <cell r="B273">
            <v>7353130102290</v>
          </cell>
          <cell r="D273">
            <v>8500000</v>
          </cell>
          <cell r="E273">
            <v>0</v>
          </cell>
          <cell r="F273">
            <v>8500000</v>
          </cell>
          <cell r="G273">
            <v>0</v>
          </cell>
          <cell r="H273">
            <v>0</v>
          </cell>
        </row>
        <row r="274">
          <cell r="B274">
            <v>7353130102330</v>
          </cell>
          <cell r="D274">
            <v>144000000</v>
          </cell>
          <cell r="E274">
            <v>0</v>
          </cell>
          <cell r="F274">
            <v>144000000</v>
          </cell>
          <cell r="G274">
            <v>0</v>
          </cell>
          <cell r="H274">
            <v>0</v>
          </cell>
        </row>
        <row r="275">
          <cell r="B275">
            <v>7353160102290</v>
          </cell>
          <cell r="D275">
            <v>404628702</v>
          </cell>
          <cell r="E275">
            <v>0</v>
          </cell>
          <cell r="F275">
            <v>404628702</v>
          </cell>
          <cell r="G275">
            <v>0</v>
          </cell>
          <cell r="H275">
            <v>0</v>
          </cell>
        </row>
        <row r="276">
          <cell r="B276">
            <v>7353230102330</v>
          </cell>
          <cell r="D276">
            <v>840000000</v>
          </cell>
          <cell r="E276">
            <v>0</v>
          </cell>
          <cell r="F276">
            <v>840000000</v>
          </cell>
          <cell r="G276">
            <v>0</v>
          </cell>
          <cell r="H276">
            <v>0</v>
          </cell>
        </row>
        <row r="277">
          <cell r="B277">
            <v>7353290102010</v>
          </cell>
          <cell r="D277">
            <v>6832608</v>
          </cell>
          <cell r="E277">
            <v>0</v>
          </cell>
          <cell r="F277">
            <v>6832608</v>
          </cell>
          <cell r="G277">
            <v>0</v>
          </cell>
          <cell r="H277">
            <v>0</v>
          </cell>
        </row>
        <row r="278">
          <cell r="B278">
            <v>7353310102290</v>
          </cell>
          <cell r="D278">
            <v>1283148635</v>
          </cell>
          <cell r="E278">
            <v>0</v>
          </cell>
          <cell r="F278">
            <v>1283148635</v>
          </cell>
          <cell r="G278">
            <v>0</v>
          </cell>
          <cell r="H278">
            <v>0</v>
          </cell>
        </row>
        <row r="279">
          <cell r="B279">
            <v>7353320102290</v>
          </cell>
          <cell r="D279">
            <v>37713484</v>
          </cell>
          <cell r="E279">
            <v>0</v>
          </cell>
          <cell r="F279">
            <v>37713484</v>
          </cell>
          <cell r="G279">
            <v>0</v>
          </cell>
          <cell r="H279">
            <v>0</v>
          </cell>
        </row>
        <row r="280">
          <cell r="B280">
            <v>7353410102133</v>
          </cell>
          <cell r="D280">
            <v>879933273</v>
          </cell>
          <cell r="E280">
            <v>13500000</v>
          </cell>
          <cell r="F280">
            <v>866433273</v>
          </cell>
          <cell r="G280">
            <v>0</v>
          </cell>
          <cell r="H280">
            <v>0</v>
          </cell>
        </row>
        <row r="281">
          <cell r="B281">
            <v>7353410102240</v>
          </cell>
          <cell r="D281">
            <v>3507287259</v>
          </cell>
          <cell r="E281">
            <v>44000000</v>
          </cell>
          <cell r="F281">
            <v>3463287259</v>
          </cell>
          <cell r="G281">
            <v>0</v>
          </cell>
          <cell r="H281">
            <v>0</v>
          </cell>
        </row>
        <row r="282">
          <cell r="B282">
            <v>7353410102270</v>
          </cell>
          <cell r="D282">
            <v>9593994404</v>
          </cell>
          <cell r="E282">
            <v>155140000</v>
          </cell>
          <cell r="F282">
            <v>9438854404</v>
          </cell>
          <cell r="G282">
            <v>0</v>
          </cell>
          <cell r="H282">
            <v>0</v>
          </cell>
        </row>
        <row r="283">
          <cell r="B283">
            <v>7353410102330</v>
          </cell>
          <cell r="D283">
            <v>1266838884</v>
          </cell>
          <cell r="E283">
            <v>21060000</v>
          </cell>
          <cell r="F283">
            <v>1245778884</v>
          </cell>
          <cell r="G283">
            <v>0</v>
          </cell>
          <cell r="H283">
            <v>0</v>
          </cell>
        </row>
        <row r="284">
          <cell r="B284">
            <v>7353410202270</v>
          </cell>
          <cell r="D284">
            <v>2306935040</v>
          </cell>
          <cell r="E284">
            <v>0</v>
          </cell>
          <cell r="F284">
            <v>2306935040</v>
          </cell>
          <cell r="G284">
            <v>0</v>
          </cell>
          <cell r="H284">
            <v>0</v>
          </cell>
        </row>
        <row r="285">
          <cell r="B285">
            <v>7356220102131</v>
          </cell>
          <cell r="D285">
            <v>234425443</v>
          </cell>
          <cell r="E285">
            <v>4333021</v>
          </cell>
          <cell r="F285">
            <v>230092422</v>
          </cell>
          <cell r="G285">
            <v>0</v>
          </cell>
          <cell r="H285">
            <v>0</v>
          </cell>
        </row>
        <row r="286">
          <cell r="B286">
            <v>7356220102251</v>
          </cell>
          <cell r="D286">
            <v>19210308</v>
          </cell>
          <cell r="E286">
            <v>0</v>
          </cell>
          <cell r="F286">
            <v>19210308</v>
          </cell>
          <cell r="G286">
            <v>0</v>
          </cell>
          <cell r="H286">
            <v>0</v>
          </cell>
        </row>
        <row r="287">
          <cell r="B287">
            <v>7356230102131</v>
          </cell>
          <cell r="D287">
            <v>52739537671</v>
          </cell>
          <cell r="E287">
            <v>911739943</v>
          </cell>
          <cell r="F287">
            <v>51827797728</v>
          </cell>
          <cell r="G287">
            <v>0</v>
          </cell>
          <cell r="H287">
            <v>0</v>
          </cell>
        </row>
        <row r="288">
          <cell r="B288">
            <v>7356230102240</v>
          </cell>
          <cell r="D288">
            <v>9868141</v>
          </cell>
          <cell r="E288">
            <v>0</v>
          </cell>
          <cell r="F288">
            <v>9868141</v>
          </cell>
          <cell r="G288">
            <v>0</v>
          </cell>
          <cell r="H288">
            <v>0</v>
          </cell>
        </row>
        <row r="289">
          <cell r="B289">
            <v>7356230102250</v>
          </cell>
          <cell r="D289">
            <v>6761275</v>
          </cell>
          <cell r="E289">
            <v>0</v>
          </cell>
          <cell r="F289">
            <v>6761275</v>
          </cell>
          <cell r="G289">
            <v>0</v>
          </cell>
          <cell r="H289">
            <v>0</v>
          </cell>
        </row>
        <row r="290">
          <cell r="B290">
            <v>7356230102330</v>
          </cell>
          <cell r="D290">
            <v>235603273</v>
          </cell>
          <cell r="E290">
            <v>0</v>
          </cell>
          <cell r="F290">
            <v>235603273</v>
          </cell>
          <cell r="G290">
            <v>0</v>
          </cell>
          <cell r="H290">
            <v>0</v>
          </cell>
        </row>
        <row r="291">
          <cell r="B291">
            <v>7356240102131</v>
          </cell>
          <cell r="D291">
            <v>2692695622</v>
          </cell>
          <cell r="E291">
            <v>130514600</v>
          </cell>
          <cell r="F291">
            <v>2562181022</v>
          </cell>
          <cell r="G291">
            <v>0</v>
          </cell>
          <cell r="H291">
            <v>0</v>
          </cell>
        </row>
        <row r="292">
          <cell r="B292">
            <v>7356240102133</v>
          </cell>
          <cell r="D292">
            <v>55656000</v>
          </cell>
          <cell r="E292">
            <v>0</v>
          </cell>
          <cell r="F292">
            <v>55656000</v>
          </cell>
          <cell r="G292">
            <v>0</v>
          </cell>
          <cell r="H292">
            <v>0</v>
          </cell>
        </row>
        <row r="293">
          <cell r="B293">
            <v>7356240102251</v>
          </cell>
          <cell r="D293">
            <v>4818232861</v>
          </cell>
          <cell r="E293">
            <v>0</v>
          </cell>
          <cell r="F293">
            <v>4818232861</v>
          </cell>
          <cell r="G293">
            <v>0</v>
          </cell>
          <cell r="H293">
            <v>0</v>
          </cell>
        </row>
        <row r="294">
          <cell r="B294">
            <v>7356250102131</v>
          </cell>
          <cell r="D294">
            <v>1639394648</v>
          </cell>
          <cell r="E294">
            <v>66638577</v>
          </cell>
          <cell r="F294">
            <v>1572756071</v>
          </cell>
          <cell r="G294">
            <v>0</v>
          </cell>
          <cell r="H294">
            <v>0</v>
          </cell>
        </row>
        <row r="295">
          <cell r="B295">
            <v>7356250102232</v>
          </cell>
          <cell r="D295">
            <v>226071012</v>
          </cell>
          <cell r="E295">
            <v>0</v>
          </cell>
          <cell r="F295">
            <v>226071012</v>
          </cell>
          <cell r="G295">
            <v>0</v>
          </cell>
          <cell r="H295">
            <v>0</v>
          </cell>
        </row>
        <row r="296">
          <cell r="B296">
            <v>7356250102240</v>
          </cell>
          <cell r="D296">
            <v>140210136</v>
          </cell>
          <cell r="E296">
            <v>0</v>
          </cell>
          <cell r="F296">
            <v>140210136</v>
          </cell>
          <cell r="G296">
            <v>0</v>
          </cell>
          <cell r="H296">
            <v>0</v>
          </cell>
        </row>
        <row r="297">
          <cell r="B297">
            <v>7356250102250</v>
          </cell>
          <cell r="D297">
            <v>4088703</v>
          </cell>
          <cell r="E297">
            <v>0</v>
          </cell>
          <cell r="F297">
            <v>4088703</v>
          </cell>
          <cell r="G297">
            <v>0</v>
          </cell>
          <cell r="H297">
            <v>0</v>
          </cell>
        </row>
        <row r="298">
          <cell r="B298">
            <v>7356250102251</v>
          </cell>
          <cell r="D298">
            <v>181390085</v>
          </cell>
          <cell r="E298">
            <v>0</v>
          </cell>
          <cell r="F298">
            <v>181390085</v>
          </cell>
          <cell r="G298">
            <v>0</v>
          </cell>
          <cell r="H298">
            <v>0</v>
          </cell>
        </row>
        <row r="299">
          <cell r="B299">
            <v>7356250102260</v>
          </cell>
          <cell r="D299">
            <v>1957077426</v>
          </cell>
          <cell r="E299">
            <v>0</v>
          </cell>
          <cell r="F299">
            <v>1957077426</v>
          </cell>
          <cell r="G299">
            <v>0</v>
          </cell>
          <cell r="H299">
            <v>0</v>
          </cell>
        </row>
        <row r="300">
          <cell r="B300">
            <v>7356270102131</v>
          </cell>
          <cell r="D300">
            <v>1097237195</v>
          </cell>
          <cell r="E300">
            <v>21070052</v>
          </cell>
          <cell r="F300">
            <v>1076167143</v>
          </cell>
          <cell r="G300">
            <v>0</v>
          </cell>
          <cell r="H300">
            <v>0</v>
          </cell>
        </row>
        <row r="301">
          <cell r="B301">
            <v>7356270102251</v>
          </cell>
          <cell r="D301">
            <v>124299076</v>
          </cell>
          <cell r="E301">
            <v>0</v>
          </cell>
          <cell r="F301">
            <v>124299076</v>
          </cell>
          <cell r="G301">
            <v>0</v>
          </cell>
          <cell r="H301">
            <v>0</v>
          </cell>
        </row>
        <row r="302">
          <cell r="B302">
            <v>736984010171</v>
          </cell>
          <cell r="D302">
            <v>0</v>
          </cell>
          <cell r="E302">
            <v>213926020454</v>
          </cell>
          <cell r="F302">
            <v>0</v>
          </cell>
          <cell r="G302">
            <v>213926020454</v>
          </cell>
          <cell r="H302">
            <v>0</v>
          </cell>
        </row>
        <row r="303">
          <cell r="B303">
            <v>7702012102000</v>
          </cell>
          <cell r="D303">
            <v>13920000000</v>
          </cell>
          <cell r="E303">
            <v>0</v>
          </cell>
          <cell r="F303">
            <v>13920000000</v>
          </cell>
          <cell r="G303">
            <v>0</v>
          </cell>
          <cell r="H303">
            <v>13920000000</v>
          </cell>
        </row>
        <row r="304">
          <cell r="B304">
            <v>7702012102010</v>
          </cell>
          <cell r="D304">
            <v>15780000000</v>
          </cell>
          <cell r="E304">
            <v>0</v>
          </cell>
          <cell r="F304">
            <v>15780000000</v>
          </cell>
          <cell r="G304">
            <v>0</v>
          </cell>
          <cell r="H304">
            <v>15780000000</v>
          </cell>
        </row>
        <row r="305">
          <cell r="B305">
            <v>7702012102011</v>
          </cell>
          <cell r="D305">
            <v>15296666667</v>
          </cell>
          <cell r="E305">
            <v>0</v>
          </cell>
          <cell r="F305">
            <v>15296666667</v>
          </cell>
          <cell r="G305">
            <v>0</v>
          </cell>
          <cell r="H305">
            <v>15390000000</v>
          </cell>
        </row>
        <row r="306">
          <cell r="B306">
            <v>7702012102012</v>
          </cell>
          <cell r="D306">
            <v>12244333333</v>
          </cell>
          <cell r="E306">
            <v>0</v>
          </cell>
          <cell r="F306">
            <v>12244333333</v>
          </cell>
          <cell r="G306">
            <v>0</v>
          </cell>
          <cell r="H306">
            <v>12330000000</v>
          </cell>
        </row>
        <row r="307">
          <cell r="B307">
            <v>7702012102014</v>
          </cell>
          <cell r="D307">
            <v>9260833333</v>
          </cell>
          <cell r="E307">
            <v>0</v>
          </cell>
          <cell r="F307">
            <v>9260833333</v>
          </cell>
          <cell r="G307">
            <v>0</v>
          </cell>
          <cell r="H307">
            <v>9270000000</v>
          </cell>
        </row>
        <row r="308">
          <cell r="B308">
            <v>7702012102040</v>
          </cell>
          <cell r="D308">
            <v>9300000000</v>
          </cell>
          <cell r="E308">
            <v>0</v>
          </cell>
          <cell r="F308">
            <v>9300000000</v>
          </cell>
          <cell r="G308">
            <v>0</v>
          </cell>
          <cell r="H308">
            <v>9300000000</v>
          </cell>
        </row>
        <row r="309">
          <cell r="B309">
            <v>7702012102050</v>
          </cell>
          <cell r="D309">
            <v>17130000000</v>
          </cell>
          <cell r="E309">
            <v>0</v>
          </cell>
          <cell r="F309">
            <v>17130000000</v>
          </cell>
          <cell r="G309">
            <v>0</v>
          </cell>
          <cell r="H309">
            <v>17130000024</v>
          </cell>
        </row>
        <row r="310">
          <cell r="B310">
            <v>7702020202000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>
            <v>7702020202010</v>
          </cell>
          <cell r="D311">
            <v>1025666665</v>
          </cell>
          <cell r="E311">
            <v>0</v>
          </cell>
          <cell r="F311">
            <v>1025666665</v>
          </cell>
          <cell r="G311">
            <v>0</v>
          </cell>
          <cell r="H311">
            <v>0</v>
          </cell>
        </row>
        <row r="312">
          <cell r="B312">
            <v>7702020202014</v>
          </cell>
          <cell r="D312">
            <v>221127778</v>
          </cell>
          <cell r="E312">
            <v>0</v>
          </cell>
          <cell r="F312">
            <v>221127778</v>
          </cell>
          <cell r="G312">
            <v>0</v>
          </cell>
          <cell r="H312">
            <v>0</v>
          </cell>
        </row>
        <row r="313">
          <cell r="B313">
            <v>7702020202050</v>
          </cell>
          <cell r="D313">
            <v>392133333</v>
          </cell>
          <cell r="E313">
            <v>0</v>
          </cell>
          <cell r="F313">
            <v>392133333</v>
          </cell>
          <cell r="G313">
            <v>0</v>
          </cell>
          <cell r="H313">
            <v>0</v>
          </cell>
        </row>
        <row r="314">
          <cell r="B314">
            <v>7702042102000</v>
          </cell>
          <cell r="D314">
            <v>4639999999</v>
          </cell>
          <cell r="E314">
            <v>0</v>
          </cell>
          <cell r="F314">
            <v>4639999999</v>
          </cell>
          <cell r="G314">
            <v>0</v>
          </cell>
          <cell r="H314">
            <v>4639999998</v>
          </cell>
        </row>
        <row r="315">
          <cell r="B315">
            <v>7702042102010</v>
          </cell>
          <cell r="D315">
            <v>5260000001</v>
          </cell>
          <cell r="E315">
            <v>0</v>
          </cell>
          <cell r="F315">
            <v>5260000001</v>
          </cell>
          <cell r="G315">
            <v>0</v>
          </cell>
          <cell r="H315">
            <v>5259999996</v>
          </cell>
        </row>
        <row r="316">
          <cell r="B316">
            <v>7702042102011</v>
          </cell>
          <cell r="D316">
            <v>5130000000</v>
          </cell>
          <cell r="E316">
            <v>0</v>
          </cell>
          <cell r="F316">
            <v>5130000000</v>
          </cell>
          <cell r="G316">
            <v>0</v>
          </cell>
          <cell r="H316">
            <v>5130000000</v>
          </cell>
        </row>
        <row r="317">
          <cell r="B317">
            <v>7702042102012</v>
          </cell>
          <cell r="D317">
            <v>4110000000</v>
          </cell>
          <cell r="E317">
            <v>0</v>
          </cell>
          <cell r="F317">
            <v>4110000000</v>
          </cell>
          <cell r="G317">
            <v>0</v>
          </cell>
          <cell r="H317">
            <v>4110000000</v>
          </cell>
        </row>
        <row r="318">
          <cell r="B318">
            <v>7702042102014</v>
          </cell>
          <cell r="D318">
            <v>2906666666</v>
          </cell>
          <cell r="E318">
            <v>0</v>
          </cell>
          <cell r="F318">
            <v>2906666666</v>
          </cell>
          <cell r="G318">
            <v>0</v>
          </cell>
          <cell r="H318">
            <v>3090000000</v>
          </cell>
        </row>
        <row r="319">
          <cell r="B319">
            <v>7702042102040</v>
          </cell>
          <cell r="D319">
            <v>3100000001</v>
          </cell>
          <cell r="E319">
            <v>0</v>
          </cell>
          <cell r="F319">
            <v>3100000001</v>
          </cell>
          <cell r="G319">
            <v>0</v>
          </cell>
          <cell r="H319">
            <v>3099999996</v>
          </cell>
        </row>
        <row r="320">
          <cell r="B320">
            <v>7702042102050</v>
          </cell>
          <cell r="D320">
            <v>5710000001</v>
          </cell>
          <cell r="E320">
            <v>0</v>
          </cell>
          <cell r="F320">
            <v>5710000001</v>
          </cell>
          <cell r="G320">
            <v>0</v>
          </cell>
          <cell r="H320">
            <v>5710000008</v>
          </cell>
        </row>
        <row r="321">
          <cell r="B321">
            <v>7702050102131</v>
          </cell>
          <cell r="D321">
            <v>240788112</v>
          </cell>
          <cell r="E321">
            <v>0</v>
          </cell>
          <cell r="F321">
            <v>240788112</v>
          </cell>
          <cell r="G321">
            <v>0</v>
          </cell>
          <cell r="H321">
            <v>173129556</v>
          </cell>
        </row>
        <row r="322">
          <cell r="B322">
            <v>7702050102132</v>
          </cell>
          <cell r="D322">
            <v>437624352</v>
          </cell>
          <cell r="E322">
            <v>0</v>
          </cell>
          <cell r="F322">
            <v>437624352</v>
          </cell>
          <cell r="G322">
            <v>0</v>
          </cell>
          <cell r="H322">
            <v>463820742</v>
          </cell>
        </row>
        <row r="323">
          <cell r="B323">
            <v>7702050102133</v>
          </cell>
          <cell r="D323">
            <v>321679068</v>
          </cell>
          <cell r="E323">
            <v>0</v>
          </cell>
          <cell r="F323">
            <v>321679068</v>
          </cell>
          <cell r="G323">
            <v>0</v>
          </cell>
          <cell r="H323">
            <v>342839922</v>
          </cell>
        </row>
        <row r="324">
          <cell r="B324">
            <v>7702050102240</v>
          </cell>
          <cell r="D324">
            <v>192630486</v>
          </cell>
          <cell r="E324">
            <v>0</v>
          </cell>
          <cell r="F324">
            <v>192630486</v>
          </cell>
          <cell r="G324">
            <v>0</v>
          </cell>
          <cell r="H324">
            <v>199764870</v>
          </cell>
        </row>
        <row r="325">
          <cell r="B325">
            <v>7702050102250</v>
          </cell>
          <cell r="D325">
            <v>192630486</v>
          </cell>
          <cell r="E325">
            <v>0</v>
          </cell>
          <cell r="F325">
            <v>192630486</v>
          </cell>
          <cell r="G325">
            <v>0</v>
          </cell>
          <cell r="H325">
            <v>199764870</v>
          </cell>
        </row>
        <row r="326">
          <cell r="B326">
            <v>7702050102251</v>
          </cell>
          <cell r="D326">
            <v>192630486</v>
          </cell>
          <cell r="E326">
            <v>0</v>
          </cell>
          <cell r="F326">
            <v>192630486</v>
          </cell>
          <cell r="G326">
            <v>0</v>
          </cell>
          <cell r="H326">
            <v>199764870</v>
          </cell>
        </row>
        <row r="327">
          <cell r="B327">
            <v>7702050102280</v>
          </cell>
          <cell r="D327">
            <v>107250612</v>
          </cell>
          <cell r="E327">
            <v>0</v>
          </cell>
          <cell r="F327">
            <v>107250612</v>
          </cell>
          <cell r="G327">
            <v>0</v>
          </cell>
          <cell r="H327">
            <v>115671774</v>
          </cell>
        </row>
        <row r="328">
          <cell r="B328">
            <v>7702050102290</v>
          </cell>
          <cell r="D328">
            <v>280612182</v>
          </cell>
          <cell r="E328">
            <v>0</v>
          </cell>
          <cell r="F328">
            <v>280612182</v>
          </cell>
          <cell r="G328">
            <v>0</v>
          </cell>
          <cell r="H328">
            <v>362208822</v>
          </cell>
        </row>
        <row r="329">
          <cell r="B329">
            <v>7702050202011</v>
          </cell>
          <cell r="D329">
            <v>349999998</v>
          </cell>
          <cell r="E329">
            <v>0</v>
          </cell>
          <cell r="F329">
            <v>349999998</v>
          </cell>
          <cell r="G329">
            <v>0</v>
          </cell>
          <cell r="H329">
            <v>350000004</v>
          </cell>
        </row>
        <row r="330">
          <cell r="B330">
            <v>7702050202050</v>
          </cell>
          <cell r="D330">
            <v>784999998</v>
          </cell>
          <cell r="E330">
            <v>0</v>
          </cell>
          <cell r="F330">
            <v>784999998</v>
          </cell>
          <cell r="G330">
            <v>0</v>
          </cell>
          <cell r="H330">
            <v>785000004</v>
          </cell>
        </row>
        <row r="331">
          <cell r="B331">
            <v>7702110102240</v>
          </cell>
          <cell r="D331">
            <v>15596951151</v>
          </cell>
          <cell r="E331">
            <v>0</v>
          </cell>
          <cell r="F331">
            <v>15596951151</v>
          </cell>
          <cell r="G331">
            <v>0</v>
          </cell>
          <cell r="H331">
            <v>0</v>
          </cell>
        </row>
        <row r="332">
          <cell r="B332">
            <v>7702110102290</v>
          </cell>
          <cell r="D332">
            <v>3998485073</v>
          </cell>
          <cell r="E332">
            <v>0</v>
          </cell>
          <cell r="F332">
            <v>3998485073</v>
          </cell>
          <cell r="G332">
            <v>0</v>
          </cell>
          <cell r="H332">
            <v>0</v>
          </cell>
        </row>
        <row r="333">
          <cell r="B333">
            <v>7702110202014</v>
          </cell>
          <cell r="D333">
            <v>3162305695</v>
          </cell>
          <cell r="E333">
            <v>0</v>
          </cell>
          <cell r="F333">
            <v>3162305695</v>
          </cell>
          <cell r="G333">
            <v>0</v>
          </cell>
          <cell r="H333">
            <v>0</v>
          </cell>
        </row>
        <row r="334">
          <cell r="B334">
            <v>7702120202014</v>
          </cell>
          <cell r="D334">
            <v>685262711</v>
          </cell>
          <cell r="E334">
            <v>0</v>
          </cell>
          <cell r="F334">
            <v>685262711</v>
          </cell>
          <cell r="G334">
            <v>0</v>
          </cell>
          <cell r="H334">
            <v>0</v>
          </cell>
        </row>
        <row r="335">
          <cell r="B335">
            <v>7702131502011</v>
          </cell>
          <cell r="D335">
            <v>93333333</v>
          </cell>
          <cell r="E335">
            <v>0</v>
          </cell>
          <cell r="F335">
            <v>93333333</v>
          </cell>
          <cell r="G335">
            <v>0</v>
          </cell>
          <cell r="H335">
            <v>0</v>
          </cell>
        </row>
        <row r="336">
          <cell r="B336">
            <v>7702131502012</v>
          </cell>
          <cell r="D336">
            <v>85666667</v>
          </cell>
          <cell r="E336">
            <v>0</v>
          </cell>
          <cell r="F336">
            <v>85666667</v>
          </cell>
          <cell r="G336">
            <v>0</v>
          </cell>
          <cell r="H336">
            <v>0</v>
          </cell>
        </row>
        <row r="337">
          <cell r="B337">
            <v>7702190202000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357300000</v>
          </cell>
        </row>
        <row r="338">
          <cell r="B338">
            <v>7702190202010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142900000</v>
          </cell>
        </row>
        <row r="339">
          <cell r="B339">
            <v>7702190202011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2144000000</v>
          </cell>
        </row>
        <row r="340">
          <cell r="B340">
            <v>7702190202012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1036200000</v>
          </cell>
        </row>
        <row r="341">
          <cell r="B341">
            <v>7702190202014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71500000</v>
          </cell>
        </row>
        <row r="342">
          <cell r="B342">
            <v>7702190202050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428900000</v>
          </cell>
        </row>
        <row r="343">
          <cell r="B343">
            <v>7702192202000</v>
          </cell>
          <cell r="D343">
            <v>568633580</v>
          </cell>
          <cell r="E343">
            <v>0</v>
          </cell>
          <cell r="F343">
            <v>568633580</v>
          </cell>
          <cell r="G343">
            <v>0</v>
          </cell>
          <cell r="H343">
            <v>0</v>
          </cell>
        </row>
        <row r="344">
          <cell r="B344">
            <v>7702192202010</v>
          </cell>
          <cell r="D344">
            <v>550709052</v>
          </cell>
          <cell r="E344">
            <v>0</v>
          </cell>
          <cell r="F344">
            <v>550709052</v>
          </cell>
          <cell r="G344">
            <v>0</v>
          </cell>
          <cell r="H344">
            <v>0</v>
          </cell>
        </row>
        <row r="345">
          <cell r="B345">
            <v>7702192202011</v>
          </cell>
          <cell r="D345">
            <v>809293256</v>
          </cell>
          <cell r="E345">
            <v>0</v>
          </cell>
          <cell r="F345">
            <v>809293256</v>
          </cell>
          <cell r="G345">
            <v>0</v>
          </cell>
          <cell r="H345">
            <v>0</v>
          </cell>
        </row>
        <row r="346">
          <cell r="B346">
            <v>7702192202012</v>
          </cell>
          <cell r="D346">
            <v>1225219997</v>
          </cell>
          <cell r="E346">
            <v>0</v>
          </cell>
          <cell r="F346">
            <v>1225219997</v>
          </cell>
          <cell r="G346">
            <v>0</v>
          </cell>
          <cell r="H346">
            <v>0</v>
          </cell>
        </row>
        <row r="347">
          <cell r="B347">
            <v>7702192202014</v>
          </cell>
          <cell r="D347">
            <v>43747041</v>
          </cell>
          <cell r="E347">
            <v>0</v>
          </cell>
          <cell r="F347">
            <v>43747041</v>
          </cell>
          <cell r="G347">
            <v>0</v>
          </cell>
          <cell r="H347">
            <v>0</v>
          </cell>
        </row>
        <row r="348">
          <cell r="B348">
            <v>7702192202040</v>
          </cell>
          <cell r="D348">
            <v>550709052</v>
          </cell>
          <cell r="E348">
            <v>0</v>
          </cell>
          <cell r="F348">
            <v>550709052</v>
          </cell>
          <cell r="G348">
            <v>0</v>
          </cell>
          <cell r="H348">
            <v>0</v>
          </cell>
        </row>
        <row r="349">
          <cell r="B349">
            <v>7702192202050</v>
          </cell>
          <cell r="D349">
            <v>60902745</v>
          </cell>
          <cell r="E349">
            <v>0</v>
          </cell>
          <cell r="F349">
            <v>60902745</v>
          </cell>
          <cell r="G349">
            <v>0</v>
          </cell>
          <cell r="H349">
            <v>0</v>
          </cell>
        </row>
        <row r="350">
          <cell r="B350">
            <v>7702192302050</v>
          </cell>
          <cell r="D350">
            <v>450000</v>
          </cell>
          <cell r="E350">
            <v>0</v>
          </cell>
          <cell r="F350">
            <v>450000</v>
          </cell>
          <cell r="G350">
            <v>0</v>
          </cell>
          <cell r="H350">
            <v>0</v>
          </cell>
        </row>
        <row r="351">
          <cell r="B351">
            <v>7702210202000</v>
          </cell>
          <cell r="D351">
            <v>355277190</v>
          </cell>
          <cell r="E351">
            <v>0</v>
          </cell>
          <cell r="F351">
            <v>355277190</v>
          </cell>
          <cell r="G351">
            <v>0</v>
          </cell>
          <cell r="H351">
            <v>380160000</v>
          </cell>
        </row>
        <row r="352">
          <cell r="B352">
            <v>7702210202010</v>
          </cell>
          <cell r="D352">
            <v>890885446</v>
          </cell>
          <cell r="E352">
            <v>0</v>
          </cell>
          <cell r="F352">
            <v>890885446</v>
          </cell>
          <cell r="G352">
            <v>0</v>
          </cell>
          <cell r="H352">
            <v>950400000</v>
          </cell>
        </row>
        <row r="353">
          <cell r="B353">
            <v>7702210202011</v>
          </cell>
          <cell r="D353">
            <v>715098914</v>
          </cell>
          <cell r="E353">
            <v>0</v>
          </cell>
          <cell r="F353">
            <v>715098914</v>
          </cell>
          <cell r="G353">
            <v>0</v>
          </cell>
          <cell r="H353">
            <v>760320000</v>
          </cell>
        </row>
        <row r="354">
          <cell r="B354">
            <v>7702210202012</v>
          </cell>
          <cell r="D354">
            <v>533819208</v>
          </cell>
          <cell r="E354">
            <v>0</v>
          </cell>
          <cell r="F354">
            <v>533819208</v>
          </cell>
          <cell r="G354">
            <v>0</v>
          </cell>
          <cell r="H354">
            <v>570240000</v>
          </cell>
        </row>
        <row r="355">
          <cell r="B355">
            <v>7702210202014</v>
          </cell>
          <cell r="D355">
            <v>680712492</v>
          </cell>
          <cell r="E355">
            <v>0</v>
          </cell>
          <cell r="F355">
            <v>680712492</v>
          </cell>
          <cell r="G355">
            <v>0</v>
          </cell>
          <cell r="H355">
            <v>760320000</v>
          </cell>
        </row>
        <row r="356">
          <cell r="B356">
            <v>7702210202040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190080000</v>
          </cell>
        </row>
        <row r="357">
          <cell r="B357">
            <v>7702210202050</v>
          </cell>
          <cell r="D357">
            <v>1062311771</v>
          </cell>
          <cell r="E357">
            <v>0</v>
          </cell>
          <cell r="F357">
            <v>1062311771</v>
          </cell>
          <cell r="G357">
            <v>0</v>
          </cell>
          <cell r="H357">
            <v>1140480000</v>
          </cell>
        </row>
        <row r="358">
          <cell r="B358">
            <v>7702230202040</v>
          </cell>
          <cell r="D358">
            <v>162241380</v>
          </cell>
          <cell r="E358">
            <v>0</v>
          </cell>
          <cell r="F358">
            <v>162241380</v>
          </cell>
          <cell r="G358">
            <v>0</v>
          </cell>
          <cell r="H358">
            <v>0</v>
          </cell>
        </row>
        <row r="359">
          <cell r="B359">
            <v>7702240202000</v>
          </cell>
          <cell r="D359">
            <v>417600000</v>
          </cell>
          <cell r="E359">
            <v>0</v>
          </cell>
          <cell r="F359">
            <v>417600000</v>
          </cell>
          <cell r="G359">
            <v>0</v>
          </cell>
          <cell r="H359">
            <v>417600000</v>
          </cell>
        </row>
        <row r="360">
          <cell r="B360">
            <v>7702240202010</v>
          </cell>
          <cell r="D360">
            <v>419977495</v>
          </cell>
          <cell r="E360">
            <v>0</v>
          </cell>
          <cell r="F360">
            <v>419977495</v>
          </cell>
          <cell r="G360">
            <v>0</v>
          </cell>
          <cell r="H360">
            <v>473400000</v>
          </cell>
        </row>
        <row r="361">
          <cell r="B361">
            <v>7702240202011</v>
          </cell>
          <cell r="D361">
            <v>461700000</v>
          </cell>
          <cell r="E361">
            <v>0</v>
          </cell>
          <cell r="F361">
            <v>461700000</v>
          </cell>
          <cell r="G361">
            <v>0</v>
          </cell>
          <cell r="H361">
            <v>461700000</v>
          </cell>
        </row>
        <row r="362">
          <cell r="B362">
            <v>7702240202012</v>
          </cell>
          <cell r="D362">
            <v>369900000</v>
          </cell>
          <cell r="E362">
            <v>0</v>
          </cell>
          <cell r="F362">
            <v>369900000</v>
          </cell>
          <cell r="G362">
            <v>0</v>
          </cell>
          <cell r="H362">
            <v>369900000</v>
          </cell>
        </row>
        <row r="363">
          <cell r="B363">
            <v>7702240202014</v>
          </cell>
          <cell r="D363">
            <v>276483831</v>
          </cell>
          <cell r="E363">
            <v>0</v>
          </cell>
          <cell r="F363">
            <v>276483831</v>
          </cell>
          <cell r="G363">
            <v>0</v>
          </cell>
          <cell r="H363">
            <v>278100000</v>
          </cell>
        </row>
        <row r="364">
          <cell r="B364">
            <v>7702240202040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279000000</v>
          </cell>
        </row>
        <row r="365">
          <cell r="B365">
            <v>7702240202050</v>
          </cell>
          <cell r="D365">
            <v>525663997</v>
          </cell>
          <cell r="E365">
            <v>0</v>
          </cell>
          <cell r="F365">
            <v>525663997</v>
          </cell>
          <cell r="G365">
            <v>0</v>
          </cell>
          <cell r="H365">
            <v>513900000</v>
          </cell>
        </row>
        <row r="366">
          <cell r="B366">
            <v>7702310102000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30000000</v>
          </cell>
        </row>
        <row r="367">
          <cell r="B367">
            <v>7702310102010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75000000</v>
          </cell>
        </row>
        <row r="368">
          <cell r="B368">
            <v>7702310102011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60000000</v>
          </cell>
        </row>
        <row r="369">
          <cell r="B369">
            <v>7702310102012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45000000</v>
          </cell>
        </row>
        <row r="370">
          <cell r="B370">
            <v>7702310102014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60000000</v>
          </cell>
        </row>
        <row r="371">
          <cell r="B371">
            <v>7702310102040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15000000</v>
          </cell>
        </row>
        <row r="372">
          <cell r="B372">
            <v>7702310102050</v>
          </cell>
          <cell r="D372">
            <v>546358260</v>
          </cell>
          <cell r="E372">
            <v>0</v>
          </cell>
          <cell r="F372">
            <v>546358260</v>
          </cell>
          <cell r="G372">
            <v>0</v>
          </cell>
          <cell r="H372">
            <v>90000000</v>
          </cell>
        </row>
        <row r="373">
          <cell r="B373">
            <v>7702310102131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195000000</v>
          </cell>
        </row>
        <row r="374">
          <cell r="B374">
            <v>7702310102132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120000000</v>
          </cell>
        </row>
        <row r="375">
          <cell r="B375">
            <v>7702310102133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120000000</v>
          </cell>
        </row>
        <row r="376">
          <cell r="B376">
            <v>7702310102232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105000000</v>
          </cell>
        </row>
        <row r="377">
          <cell r="B377">
            <v>7702310102240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105000000</v>
          </cell>
        </row>
        <row r="378">
          <cell r="B378">
            <v>7702310102250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75000000</v>
          </cell>
        </row>
        <row r="379">
          <cell r="B379">
            <v>7702310102251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60000000</v>
          </cell>
        </row>
        <row r="380">
          <cell r="B380">
            <v>7702310102280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120000000</v>
          </cell>
        </row>
        <row r="381">
          <cell r="B381">
            <v>7702310102290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15000000</v>
          </cell>
        </row>
        <row r="382">
          <cell r="B382">
            <v>7702320102000</v>
          </cell>
          <cell r="D382">
            <v>219385105</v>
          </cell>
          <cell r="E382">
            <v>0</v>
          </cell>
          <cell r="F382">
            <v>219385105</v>
          </cell>
          <cell r="G382">
            <v>0</v>
          </cell>
          <cell r="H382">
            <v>288000000</v>
          </cell>
        </row>
        <row r="383">
          <cell r="B383">
            <v>7702320102010</v>
          </cell>
          <cell r="D383">
            <v>548462771</v>
          </cell>
          <cell r="E383">
            <v>0</v>
          </cell>
          <cell r="F383">
            <v>548462771</v>
          </cell>
          <cell r="G383">
            <v>0</v>
          </cell>
          <cell r="H383">
            <v>720000000</v>
          </cell>
        </row>
        <row r="384">
          <cell r="B384">
            <v>7702320102011</v>
          </cell>
          <cell r="D384">
            <v>439223753</v>
          </cell>
          <cell r="E384">
            <v>0</v>
          </cell>
          <cell r="F384">
            <v>439223753</v>
          </cell>
          <cell r="G384">
            <v>0</v>
          </cell>
          <cell r="H384">
            <v>576000000</v>
          </cell>
        </row>
        <row r="385">
          <cell r="B385">
            <v>7702320102012</v>
          </cell>
          <cell r="D385">
            <v>329077663</v>
          </cell>
          <cell r="E385">
            <v>0</v>
          </cell>
          <cell r="F385">
            <v>329077663</v>
          </cell>
          <cell r="G385">
            <v>0</v>
          </cell>
          <cell r="H385">
            <v>432000000</v>
          </cell>
        </row>
        <row r="386">
          <cell r="B386">
            <v>7702320102014</v>
          </cell>
          <cell r="D386">
            <v>416456069</v>
          </cell>
          <cell r="E386">
            <v>0</v>
          </cell>
          <cell r="F386">
            <v>416456069</v>
          </cell>
          <cell r="G386">
            <v>0</v>
          </cell>
          <cell r="H386">
            <v>576000000</v>
          </cell>
        </row>
        <row r="387">
          <cell r="B387">
            <v>7702320102040</v>
          </cell>
          <cell r="D387">
            <v>110146089</v>
          </cell>
          <cell r="E387">
            <v>0</v>
          </cell>
          <cell r="F387">
            <v>110146089</v>
          </cell>
          <cell r="G387">
            <v>0</v>
          </cell>
          <cell r="H387">
            <v>144000000</v>
          </cell>
        </row>
        <row r="388">
          <cell r="B388">
            <v>7702320102050</v>
          </cell>
          <cell r="D388">
            <v>1630648259</v>
          </cell>
          <cell r="E388">
            <v>0</v>
          </cell>
          <cell r="F388">
            <v>1630648259</v>
          </cell>
          <cell r="G388">
            <v>0</v>
          </cell>
          <cell r="H388">
            <v>864000000</v>
          </cell>
        </row>
        <row r="389">
          <cell r="B389">
            <v>7702330102050</v>
          </cell>
          <cell r="D389">
            <v>729978565</v>
          </cell>
          <cell r="E389">
            <v>0</v>
          </cell>
          <cell r="F389">
            <v>729978565</v>
          </cell>
          <cell r="G389">
            <v>0</v>
          </cell>
          <cell r="H389">
            <v>0</v>
          </cell>
        </row>
        <row r="390">
          <cell r="B390">
            <v>7702350102000</v>
          </cell>
          <cell r="D390">
            <v>194727241</v>
          </cell>
          <cell r="E390">
            <v>0</v>
          </cell>
          <cell r="F390">
            <v>194727241</v>
          </cell>
          <cell r="G390">
            <v>0</v>
          </cell>
          <cell r="H390">
            <v>120000000</v>
          </cell>
        </row>
        <row r="391">
          <cell r="B391">
            <v>7702350102010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300000000</v>
          </cell>
        </row>
        <row r="392">
          <cell r="B392">
            <v>7702350102011</v>
          </cell>
          <cell r="D392">
            <v>224916602</v>
          </cell>
          <cell r="E392">
            <v>0</v>
          </cell>
          <cell r="F392">
            <v>224916602</v>
          </cell>
          <cell r="G392">
            <v>0</v>
          </cell>
          <cell r="H392">
            <v>240000000</v>
          </cell>
        </row>
        <row r="393">
          <cell r="B393">
            <v>7702350102012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180000000</v>
          </cell>
        </row>
        <row r="394">
          <cell r="B394">
            <v>7702350102014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240000000</v>
          </cell>
        </row>
        <row r="395">
          <cell r="B395">
            <v>7702350102040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60000000</v>
          </cell>
        </row>
        <row r="396">
          <cell r="B396">
            <v>7702350102050</v>
          </cell>
          <cell r="D396">
            <v>801049500</v>
          </cell>
          <cell r="E396">
            <v>0</v>
          </cell>
          <cell r="F396">
            <v>801049500</v>
          </cell>
          <cell r="G396">
            <v>0</v>
          </cell>
          <cell r="H396">
            <v>360000000</v>
          </cell>
        </row>
        <row r="397">
          <cell r="B397">
            <v>7702350102131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780000000</v>
          </cell>
        </row>
        <row r="398">
          <cell r="B398">
            <v>7702350102132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480000000</v>
          </cell>
        </row>
        <row r="399">
          <cell r="B399">
            <v>7702350102133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480000000</v>
          </cell>
        </row>
        <row r="400">
          <cell r="B400">
            <v>7702350102232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420000000</v>
          </cell>
        </row>
        <row r="401">
          <cell r="B401">
            <v>7702350102240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420000000</v>
          </cell>
        </row>
        <row r="402">
          <cell r="B402">
            <v>7702350102250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300000000</v>
          </cell>
        </row>
        <row r="403">
          <cell r="B403">
            <v>7702350102251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240000000</v>
          </cell>
        </row>
        <row r="404">
          <cell r="B404">
            <v>7702350102280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480000000</v>
          </cell>
        </row>
        <row r="405">
          <cell r="B405">
            <v>7702350102290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60000000</v>
          </cell>
        </row>
        <row r="406">
          <cell r="B406">
            <v>7702360102000</v>
          </cell>
          <cell r="D406">
            <v>141403657</v>
          </cell>
          <cell r="E406">
            <v>0</v>
          </cell>
          <cell r="F406">
            <v>141403657</v>
          </cell>
          <cell r="G406">
            <v>0</v>
          </cell>
          <cell r="H406">
            <v>132000000</v>
          </cell>
        </row>
        <row r="407">
          <cell r="B407">
            <v>7702360102010</v>
          </cell>
          <cell r="D407">
            <v>353509142</v>
          </cell>
          <cell r="E407">
            <v>0</v>
          </cell>
          <cell r="F407">
            <v>353509142</v>
          </cell>
          <cell r="G407">
            <v>0</v>
          </cell>
          <cell r="H407">
            <v>330000000</v>
          </cell>
        </row>
        <row r="408">
          <cell r="B408">
            <v>7702360102011</v>
          </cell>
          <cell r="D408">
            <v>429426233</v>
          </cell>
          <cell r="E408">
            <v>0</v>
          </cell>
          <cell r="F408">
            <v>429426233</v>
          </cell>
          <cell r="G408">
            <v>0</v>
          </cell>
          <cell r="H408">
            <v>264000000</v>
          </cell>
        </row>
        <row r="409">
          <cell r="B409">
            <v>7702360102012</v>
          </cell>
          <cell r="D409">
            <v>212105486</v>
          </cell>
          <cell r="E409">
            <v>0</v>
          </cell>
          <cell r="F409">
            <v>212105486</v>
          </cell>
          <cell r="G409">
            <v>0</v>
          </cell>
          <cell r="H409">
            <v>198000000</v>
          </cell>
        </row>
        <row r="410">
          <cell r="B410">
            <v>7702360102014</v>
          </cell>
          <cell r="D410">
            <v>270424437</v>
          </cell>
          <cell r="E410">
            <v>0</v>
          </cell>
          <cell r="F410">
            <v>270424437</v>
          </cell>
          <cell r="G410">
            <v>0</v>
          </cell>
          <cell r="H410">
            <v>264000000</v>
          </cell>
        </row>
        <row r="411">
          <cell r="B411">
            <v>7702360102040</v>
          </cell>
          <cell r="D411">
            <v>217320747</v>
          </cell>
          <cell r="E411">
            <v>0</v>
          </cell>
          <cell r="F411">
            <v>217320747</v>
          </cell>
          <cell r="G411">
            <v>0</v>
          </cell>
          <cell r="H411">
            <v>66000000</v>
          </cell>
        </row>
        <row r="412">
          <cell r="B412">
            <v>7702360102050</v>
          </cell>
          <cell r="D412">
            <v>424210972</v>
          </cell>
          <cell r="E412">
            <v>0</v>
          </cell>
          <cell r="F412">
            <v>424210972</v>
          </cell>
          <cell r="G412">
            <v>0</v>
          </cell>
          <cell r="H412">
            <v>396000000</v>
          </cell>
        </row>
        <row r="413">
          <cell r="B413">
            <v>7702490102010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>
            <v>7702490102050</v>
          </cell>
          <cell r="D414">
            <v>3315471100</v>
          </cell>
          <cell r="E414">
            <v>0</v>
          </cell>
          <cell r="F414">
            <v>3315471100</v>
          </cell>
          <cell r="G414">
            <v>0</v>
          </cell>
          <cell r="H414">
            <v>0</v>
          </cell>
        </row>
        <row r="415">
          <cell r="B415">
            <v>7703020102050</v>
          </cell>
          <cell r="D415">
            <v>3268590152</v>
          </cell>
          <cell r="E415">
            <v>0</v>
          </cell>
          <cell r="F415">
            <v>3268590152</v>
          </cell>
          <cell r="G415">
            <v>0</v>
          </cell>
          <cell r="H415">
            <v>4645200000</v>
          </cell>
        </row>
        <row r="416">
          <cell r="B416">
            <v>7703030102050</v>
          </cell>
          <cell r="D416">
            <v>151440000</v>
          </cell>
          <cell r="E416">
            <v>0</v>
          </cell>
          <cell r="F416">
            <v>151440000</v>
          </cell>
          <cell r="G416">
            <v>0</v>
          </cell>
          <cell r="H416">
            <v>0</v>
          </cell>
        </row>
        <row r="417">
          <cell r="B417">
            <v>7703030102232</v>
          </cell>
          <cell r="D417">
            <v>869565</v>
          </cell>
          <cell r="E417">
            <v>0</v>
          </cell>
          <cell r="F417">
            <v>869565</v>
          </cell>
          <cell r="G417">
            <v>0</v>
          </cell>
          <cell r="H417">
            <v>0</v>
          </cell>
        </row>
        <row r="418">
          <cell r="B418">
            <v>7703040102050</v>
          </cell>
          <cell r="D418">
            <v>723235686</v>
          </cell>
          <cell r="E418">
            <v>0</v>
          </cell>
          <cell r="F418">
            <v>723235686</v>
          </cell>
          <cell r="G418">
            <v>0</v>
          </cell>
          <cell r="H418">
            <v>714700000</v>
          </cell>
        </row>
        <row r="419">
          <cell r="B419">
            <v>7703110102050</v>
          </cell>
          <cell r="D419">
            <v>373643234</v>
          </cell>
          <cell r="E419">
            <v>0</v>
          </cell>
          <cell r="F419">
            <v>373643234</v>
          </cell>
          <cell r="G419">
            <v>0</v>
          </cell>
          <cell r="H419">
            <v>1429300000</v>
          </cell>
        </row>
        <row r="420">
          <cell r="B420">
            <v>7703110102270</v>
          </cell>
          <cell r="D420">
            <v>10578788760</v>
          </cell>
          <cell r="E420">
            <v>0</v>
          </cell>
          <cell r="F420">
            <v>10578788760</v>
          </cell>
          <cell r="G420">
            <v>0</v>
          </cell>
          <cell r="H420">
            <v>0</v>
          </cell>
        </row>
        <row r="421">
          <cell r="B421">
            <v>7703120102050</v>
          </cell>
          <cell r="D421">
            <v>505125910</v>
          </cell>
          <cell r="E421">
            <v>0</v>
          </cell>
          <cell r="F421">
            <v>505125910</v>
          </cell>
          <cell r="G421">
            <v>0</v>
          </cell>
          <cell r="H421">
            <v>4287900000</v>
          </cell>
        </row>
        <row r="422">
          <cell r="B422">
            <v>7703130102014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35900000</v>
          </cell>
        </row>
        <row r="423">
          <cell r="B423">
            <v>7703130102050</v>
          </cell>
          <cell r="D423">
            <v>15000000</v>
          </cell>
          <cell r="E423">
            <v>0</v>
          </cell>
          <cell r="F423">
            <v>15000000</v>
          </cell>
          <cell r="G423">
            <v>0</v>
          </cell>
          <cell r="H423">
            <v>643100000</v>
          </cell>
        </row>
        <row r="424">
          <cell r="B424">
            <v>7703160102050</v>
          </cell>
          <cell r="D424">
            <v>288982680</v>
          </cell>
          <cell r="E424">
            <v>0</v>
          </cell>
          <cell r="F424">
            <v>288982680</v>
          </cell>
          <cell r="G424">
            <v>0</v>
          </cell>
          <cell r="H424">
            <v>214400000</v>
          </cell>
        </row>
        <row r="425">
          <cell r="B425">
            <v>7703180102014</v>
          </cell>
          <cell r="D425">
            <v>4347826</v>
          </cell>
          <cell r="E425">
            <v>0</v>
          </cell>
          <cell r="F425">
            <v>4347826</v>
          </cell>
          <cell r="G425">
            <v>0</v>
          </cell>
          <cell r="H425">
            <v>21400000</v>
          </cell>
        </row>
        <row r="426">
          <cell r="B426">
            <v>7703180102050</v>
          </cell>
          <cell r="D426">
            <v>231939200</v>
          </cell>
          <cell r="E426">
            <v>0</v>
          </cell>
          <cell r="F426">
            <v>231939200</v>
          </cell>
          <cell r="G426">
            <v>0</v>
          </cell>
          <cell r="H426">
            <v>214400000</v>
          </cell>
        </row>
        <row r="427">
          <cell r="B427">
            <v>7703190102050</v>
          </cell>
          <cell r="D427">
            <v>196251304</v>
          </cell>
          <cell r="E427">
            <v>0</v>
          </cell>
          <cell r="F427">
            <v>196251304</v>
          </cell>
          <cell r="G427">
            <v>0</v>
          </cell>
          <cell r="H427">
            <v>714700000</v>
          </cell>
        </row>
        <row r="428">
          <cell r="B428">
            <v>7703210102050</v>
          </cell>
          <cell r="D428">
            <v>360927800</v>
          </cell>
          <cell r="E428">
            <v>0</v>
          </cell>
          <cell r="F428">
            <v>360927800</v>
          </cell>
          <cell r="G428">
            <v>0</v>
          </cell>
          <cell r="H428">
            <v>13239400000</v>
          </cell>
        </row>
        <row r="429">
          <cell r="B429">
            <v>7703210112000</v>
          </cell>
          <cell r="D429">
            <v>2214053642</v>
          </cell>
          <cell r="E429">
            <v>0</v>
          </cell>
          <cell r="F429">
            <v>2214053642</v>
          </cell>
          <cell r="G429">
            <v>0</v>
          </cell>
          <cell r="H429">
            <v>0</v>
          </cell>
        </row>
        <row r="430">
          <cell r="B430">
            <v>7703210112014</v>
          </cell>
          <cell r="D430">
            <v>6642160939</v>
          </cell>
          <cell r="E430">
            <v>0</v>
          </cell>
          <cell r="F430">
            <v>6642160939</v>
          </cell>
          <cell r="G430">
            <v>0</v>
          </cell>
          <cell r="H430">
            <v>0</v>
          </cell>
        </row>
        <row r="431">
          <cell r="B431">
            <v>7703210112050</v>
          </cell>
          <cell r="D431">
            <v>6642160939</v>
          </cell>
          <cell r="E431">
            <v>0</v>
          </cell>
          <cell r="F431">
            <v>6642160939</v>
          </cell>
          <cell r="G431">
            <v>0</v>
          </cell>
          <cell r="H431">
            <v>0</v>
          </cell>
        </row>
        <row r="432">
          <cell r="B432">
            <v>7703230102050</v>
          </cell>
          <cell r="D432">
            <v>468000000</v>
          </cell>
          <cell r="E432">
            <v>468000000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>
            <v>7703230202050</v>
          </cell>
          <cell r="D433">
            <v>1404000000</v>
          </cell>
          <cell r="E433">
            <v>0</v>
          </cell>
          <cell r="F433">
            <v>1404000000</v>
          </cell>
          <cell r="G433">
            <v>0</v>
          </cell>
          <cell r="H433">
            <v>1500000000</v>
          </cell>
        </row>
        <row r="434">
          <cell r="B434">
            <v>7703290102050</v>
          </cell>
          <cell r="D434">
            <v>153700000</v>
          </cell>
          <cell r="E434">
            <v>0</v>
          </cell>
          <cell r="F434">
            <v>153700000</v>
          </cell>
          <cell r="G434">
            <v>0</v>
          </cell>
          <cell r="H434">
            <v>0</v>
          </cell>
        </row>
        <row r="435">
          <cell r="B435">
            <v>7703310102014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71500000</v>
          </cell>
        </row>
        <row r="436">
          <cell r="B436">
            <v>7703310102050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357300000</v>
          </cell>
        </row>
        <row r="437">
          <cell r="B437">
            <v>7703330102000</v>
          </cell>
          <cell r="D437">
            <v>365840000</v>
          </cell>
          <cell r="E437">
            <v>0</v>
          </cell>
          <cell r="F437">
            <v>365840000</v>
          </cell>
          <cell r="G437">
            <v>0</v>
          </cell>
          <cell r="H437">
            <v>0</v>
          </cell>
        </row>
        <row r="438">
          <cell r="B438">
            <v>7704010102010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>
            <v>7704010102012</v>
          </cell>
          <cell r="D439">
            <v>1500000</v>
          </cell>
          <cell r="E439">
            <v>0</v>
          </cell>
          <cell r="F439">
            <v>1500000</v>
          </cell>
          <cell r="G439">
            <v>0</v>
          </cell>
          <cell r="H439">
            <v>7200000</v>
          </cell>
        </row>
        <row r="440">
          <cell r="B440">
            <v>7704010102040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135800000</v>
          </cell>
        </row>
        <row r="441">
          <cell r="B441">
            <v>7704010102050</v>
          </cell>
          <cell r="D441">
            <v>20065221</v>
          </cell>
          <cell r="E441">
            <v>0</v>
          </cell>
          <cell r="F441">
            <v>20065221</v>
          </cell>
          <cell r="G441">
            <v>0</v>
          </cell>
          <cell r="H441">
            <v>71500000</v>
          </cell>
        </row>
        <row r="442">
          <cell r="B442">
            <v>7704020102000</v>
          </cell>
          <cell r="D442">
            <v>335376099</v>
          </cell>
          <cell r="E442">
            <v>0</v>
          </cell>
          <cell r="F442">
            <v>335376099</v>
          </cell>
          <cell r="G442">
            <v>0</v>
          </cell>
          <cell r="H442">
            <v>357300000</v>
          </cell>
        </row>
        <row r="443">
          <cell r="B443">
            <v>7704020102010</v>
          </cell>
          <cell r="D443">
            <v>87415217</v>
          </cell>
          <cell r="E443">
            <v>0</v>
          </cell>
          <cell r="F443">
            <v>87415217</v>
          </cell>
          <cell r="G443">
            <v>0</v>
          </cell>
          <cell r="H443">
            <v>114400000</v>
          </cell>
        </row>
        <row r="444">
          <cell r="B444">
            <v>7704020102011</v>
          </cell>
          <cell r="D444">
            <v>255680152</v>
          </cell>
          <cell r="E444">
            <v>0</v>
          </cell>
          <cell r="F444">
            <v>255680152</v>
          </cell>
          <cell r="G444">
            <v>0</v>
          </cell>
          <cell r="H444">
            <v>357300000</v>
          </cell>
        </row>
        <row r="445">
          <cell r="B445">
            <v>7704020102012</v>
          </cell>
          <cell r="D445">
            <v>71804352</v>
          </cell>
          <cell r="E445">
            <v>0</v>
          </cell>
          <cell r="F445">
            <v>71804352</v>
          </cell>
          <cell r="G445">
            <v>0</v>
          </cell>
          <cell r="H445">
            <v>321700000</v>
          </cell>
        </row>
        <row r="446">
          <cell r="B446">
            <v>7704020102014</v>
          </cell>
          <cell r="D446">
            <v>22169565</v>
          </cell>
          <cell r="E446">
            <v>0</v>
          </cell>
          <cell r="F446">
            <v>22169565</v>
          </cell>
          <cell r="G446">
            <v>0</v>
          </cell>
          <cell r="H446">
            <v>178700000</v>
          </cell>
        </row>
        <row r="447">
          <cell r="B447">
            <v>7704020102040</v>
          </cell>
          <cell r="D447">
            <v>332030432</v>
          </cell>
          <cell r="E447">
            <v>0</v>
          </cell>
          <cell r="F447">
            <v>332030432</v>
          </cell>
          <cell r="G447">
            <v>0</v>
          </cell>
          <cell r="H447">
            <v>357300000</v>
          </cell>
        </row>
        <row r="448">
          <cell r="B448">
            <v>7704020102050</v>
          </cell>
          <cell r="D448">
            <v>46559944</v>
          </cell>
          <cell r="E448">
            <v>0</v>
          </cell>
          <cell r="F448">
            <v>46559944</v>
          </cell>
          <cell r="G448">
            <v>0</v>
          </cell>
          <cell r="H448">
            <v>178700000</v>
          </cell>
        </row>
        <row r="449">
          <cell r="B449">
            <v>7704020202000</v>
          </cell>
          <cell r="D449">
            <v>95343123</v>
          </cell>
          <cell r="E449">
            <v>0</v>
          </cell>
          <cell r="F449">
            <v>95343123</v>
          </cell>
          <cell r="G449">
            <v>0</v>
          </cell>
          <cell r="H449">
            <v>142900000</v>
          </cell>
        </row>
        <row r="450">
          <cell r="B450">
            <v>7704020202010</v>
          </cell>
          <cell r="D450">
            <v>7826087</v>
          </cell>
          <cell r="E450">
            <v>0</v>
          </cell>
          <cell r="F450">
            <v>7826087</v>
          </cell>
          <cell r="G450">
            <v>0</v>
          </cell>
          <cell r="H450">
            <v>142900000</v>
          </cell>
        </row>
        <row r="451">
          <cell r="B451">
            <v>7704020202011</v>
          </cell>
          <cell r="D451">
            <v>196395596</v>
          </cell>
          <cell r="E451">
            <v>0</v>
          </cell>
          <cell r="F451">
            <v>196395596</v>
          </cell>
          <cell r="G451">
            <v>0</v>
          </cell>
          <cell r="H451">
            <v>428900000</v>
          </cell>
        </row>
        <row r="452">
          <cell r="B452">
            <v>7704020202012</v>
          </cell>
          <cell r="D452">
            <v>33413045</v>
          </cell>
          <cell r="E452">
            <v>0</v>
          </cell>
          <cell r="F452">
            <v>33413045</v>
          </cell>
          <cell r="G452">
            <v>0</v>
          </cell>
          <cell r="H452">
            <v>71500000</v>
          </cell>
        </row>
        <row r="453">
          <cell r="B453">
            <v>7704020202040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35900000</v>
          </cell>
        </row>
        <row r="454">
          <cell r="B454">
            <v>7704020202050</v>
          </cell>
          <cell r="D454">
            <v>24347826</v>
          </cell>
          <cell r="E454">
            <v>0</v>
          </cell>
          <cell r="F454">
            <v>24347826</v>
          </cell>
          <cell r="G454">
            <v>0</v>
          </cell>
          <cell r="H454">
            <v>178700000</v>
          </cell>
        </row>
        <row r="455">
          <cell r="B455">
            <v>7704020202131</v>
          </cell>
          <cell r="D455">
            <v>13919565</v>
          </cell>
          <cell r="E455">
            <v>0</v>
          </cell>
          <cell r="F455">
            <v>13919565</v>
          </cell>
          <cell r="G455">
            <v>0</v>
          </cell>
          <cell r="H455">
            <v>0</v>
          </cell>
        </row>
        <row r="456">
          <cell r="B456">
            <v>7704030102000</v>
          </cell>
          <cell r="D456">
            <v>1471952744</v>
          </cell>
          <cell r="E456">
            <v>485760000</v>
          </cell>
          <cell r="F456">
            <v>986192744</v>
          </cell>
          <cell r="G456">
            <v>0</v>
          </cell>
          <cell r="H456">
            <v>357300000</v>
          </cell>
        </row>
        <row r="457">
          <cell r="B457">
            <v>7704030102010</v>
          </cell>
          <cell r="D457">
            <v>852483286</v>
          </cell>
          <cell r="E457">
            <v>607200000</v>
          </cell>
          <cell r="F457">
            <v>245283286</v>
          </cell>
          <cell r="G457">
            <v>0</v>
          </cell>
          <cell r="H457">
            <v>0</v>
          </cell>
        </row>
        <row r="458">
          <cell r="B458">
            <v>7704030102011</v>
          </cell>
          <cell r="D458">
            <v>191500000</v>
          </cell>
          <cell r="E458">
            <v>0</v>
          </cell>
          <cell r="F458">
            <v>191500000</v>
          </cell>
          <cell r="G458">
            <v>0</v>
          </cell>
          <cell r="H458">
            <v>321700000</v>
          </cell>
        </row>
        <row r="459">
          <cell r="B459">
            <v>7704030102012</v>
          </cell>
          <cell r="D459">
            <v>2007542198</v>
          </cell>
          <cell r="E459">
            <v>1578720000</v>
          </cell>
          <cell r="F459">
            <v>428822198</v>
          </cell>
          <cell r="G459">
            <v>0</v>
          </cell>
          <cell r="H459">
            <v>71500000</v>
          </cell>
        </row>
        <row r="460">
          <cell r="B460">
            <v>7704030102040</v>
          </cell>
          <cell r="D460">
            <v>815655026</v>
          </cell>
          <cell r="E460">
            <v>607200000</v>
          </cell>
          <cell r="F460">
            <v>208455026</v>
          </cell>
          <cell r="G460">
            <v>0</v>
          </cell>
          <cell r="H460">
            <v>0</v>
          </cell>
        </row>
        <row r="461">
          <cell r="B461">
            <v>7704110102050</v>
          </cell>
          <cell r="D461">
            <v>16900000</v>
          </cell>
          <cell r="E461">
            <v>0</v>
          </cell>
          <cell r="F461">
            <v>16900000</v>
          </cell>
          <cell r="G461">
            <v>0</v>
          </cell>
          <cell r="H461">
            <v>35900000</v>
          </cell>
        </row>
        <row r="462">
          <cell r="B462">
            <v>7704130102050</v>
          </cell>
          <cell r="D462">
            <v>1974460872</v>
          </cell>
          <cell r="E462">
            <v>0</v>
          </cell>
          <cell r="F462">
            <v>1974460872</v>
          </cell>
          <cell r="G462">
            <v>0</v>
          </cell>
          <cell r="H462">
            <v>2144000000</v>
          </cell>
        </row>
        <row r="463">
          <cell r="B463">
            <v>7704130202050</v>
          </cell>
          <cell r="D463">
            <v>95337953</v>
          </cell>
          <cell r="E463">
            <v>0</v>
          </cell>
          <cell r="F463">
            <v>95337953</v>
          </cell>
          <cell r="G463">
            <v>0</v>
          </cell>
          <cell r="H463">
            <v>0</v>
          </cell>
        </row>
        <row r="464">
          <cell r="B464">
            <v>7704140102050</v>
          </cell>
          <cell r="D464">
            <v>420276908</v>
          </cell>
          <cell r="E464">
            <v>0</v>
          </cell>
          <cell r="F464">
            <v>420276908</v>
          </cell>
          <cell r="G464">
            <v>0</v>
          </cell>
          <cell r="H464">
            <v>500200000</v>
          </cell>
        </row>
        <row r="465">
          <cell r="B465">
            <v>7704190102050</v>
          </cell>
          <cell r="D465">
            <v>26750000</v>
          </cell>
          <cell r="E465">
            <v>0</v>
          </cell>
          <cell r="F465">
            <v>26750000</v>
          </cell>
          <cell r="G465">
            <v>0</v>
          </cell>
          <cell r="H465">
            <v>0</v>
          </cell>
        </row>
        <row r="466">
          <cell r="B466">
            <v>7704280102040</v>
          </cell>
          <cell r="D466">
            <v>13913044</v>
          </cell>
          <cell r="E466">
            <v>0</v>
          </cell>
          <cell r="F466">
            <v>13913044</v>
          </cell>
          <cell r="G466">
            <v>0</v>
          </cell>
          <cell r="H466">
            <v>0</v>
          </cell>
        </row>
        <row r="467">
          <cell r="B467">
            <v>7704310112050</v>
          </cell>
          <cell r="D467">
            <v>9450487774</v>
          </cell>
          <cell r="E467">
            <v>3533428495</v>
          </cell>
          <cell r="F467">
            <v>5917059279</v>
          </cell>
          <cell r="G467">
            <v>0</v>
          </cell>
          <cell r="H467">
            <v>0</v>
          </cell>
        </row>
        <row r="468">
          <cell r="B468">
            <v>7704320102050</v>
          </cell>
          <cell r="D468">
            <v>1274978188</v>
          </cell>
          <cell r="E468">
            <v>0</v>
          </cell>
          <cell r="F468">
            <v>1274978188</v>
          </cell>
          <cell r="G468">
            <v>0</v>
          </cell>
          <cell r="H468">
            <v>81000000</v>
          </cell>
        </row>
        <row r="469">
          <cell r="B469">
            <v>7704320112000</v>
          </cell>
          <cell r="D469">
            <v>121785000</v>
          </cell>
          <cell r="E469">
            <v>0</v>
          </cell>
          <cell r="F469">
            <v>121785000</v>
          </cell>
          <cell r="G469">
            <v>0</v>
          </cell>
          <cell r="H469">
            <v>0</v>
          </cell>
        </row>
        <row r="470">
          <cell r="B470">
            <v>7704330102050</v>
          </cell>
          <cell r="D470">
            <v>540284467</v>
          </cell>
          <cell r="E470">
            <v>0</v>
          </cell>
          <cell r="F470">
            <v>540284467</v>
          </cell>
          <cell r="G470">
            <v>0</v>
          </cell>
          <cell r="H470">
            <v>0</v>
          </cell>
        </row>
        <row r="471">
          <cell r="B471">
            <v>7704330112050</v>
          </cell>
          <cell r="D471">
            <v>25200000</v>
          </cell>
          <cell r="E471">
            <v>0</v>
          </cell>
          <cell r="F471">
            <v>25200000</v>
          </cell>
          <cell r="G471">
            <v>0</v>
          </cell>
          <cell r="H471">
            <v>0</v>
          </cell>
        </row>
        <row r="472">
          <cell r="B472">
            <v>7704330202050</v>
          </cell>
          <cell r="D472">
            <v>175152995</v>
          </cell>
          <cell r="E472">
            <v>0</v>
          </cell>
          <cell r="F472">
            <v>175152995</v>
          </cell>
          <cell r="G472">
            <v>0</v>
          </cell>
          <cell r="H472">
            <v>138300000</v>
          </cell>
        </row>
        <row r="473">
          <cell r="B473">
            <v>7704340102050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9097600000</v>
          </cell>
        </row>
        <row r="474">
          <cell r="B474">
            <v>7704340112050</v>
          </cell>
          <cell r="D474">
            <v>2425914005</v>
          </cell>
          <cell r="E474">
            <v>0</v>
          </cell>
          <cell r="F474">
            <v>2425914005</v>
          </cell>
          <cell r="G474">
            <v>0</v>
          </cell>
          <cell r="H474">
            <v>0</v>
          </cell>
        </row>
        <row r="475">
          <cell r="B475">
            <v>7704390102050</v>
          </cell>
          <cell r="D475">
            <v>31288000</v>
          </cell>
          <cell r="E475">
            <v>0</v>
          </cell>
          <cell r="F475">
            <v>31288000</v>
          </cell>
          <cell r="G475">
            <v>0</v>
          </cell>
          <cell r="H475">
            <v>0</v>
          </cell>
        </row>
        <row r="476">
          <cell r="B476">
            <v>7704390112050</v>
          </cell>
          <cell r="D476">
            <v>926924383</v>
          </cell>
          <cell r="E476">
            <v>926924383</v>
          </cell>
          <cell r="F476">
            <v>0</v>
          </cell>
          <cell r="G476">
            <v>0</v>
          </cell>
          <cell r="H476">
            <v>0</v>
          </cell>
        </row>
        <row r="477">
          <cell r="B477">
            <v>7704490102050</v>
          </cell>
          <cell r="D477">
            <v>365217392</v>
          </cell>
          <cell r="E477">
            <v>0</v>
          </cell>
          <cell r="F477">
            <v>365217392</v>
          </cell>
          <cell r="G477">
            <v>0</v>
          </cell>
          <cell r="H477">
            <v>0</v>
          </cell>
        </row>
        <row r="478">
          <cell r="B478">
            <v>7704490202050</v>
          </cell>
          <cell r="D478">
            <v>3000000</v>
          </cell>
          <cell r="E478">
            <v>0</v>
          </cell>
          <cell r="F478">
            <v>3000000</v>
          </cell>
          <cell r="G478">
            <v>0</v>
          </cell>
          <cell r="H478">
            <v>0</v>
          </cell>
        </row>
        <row r="479">
          <cell r="B479">
            <v>7704510102000</v>
          </cell>
          <cell r="D479">
            <v>303571950</v>
          </cell>
          <cell r="E479">
            <v>0</v>
          </cell>
          <cell r="F479">
            <v>303571950</v>
          </cell>
          <cell r="G479">
            <v>0</v>
          </cell>
          <cell r="H479">
            <v>178700000</v>
          </cell>
        </row>
        <row r="480">
          <cell r="B480">
            <v>7704510102010</v>
          </cell>
          <cell r="D480">
            <v>80304348</v>
          </cell>
          <cell r="E480">
            <v>0</v>
          </cell>
          <cell r="F480">
            <v>80304348</v>
          </cell>
          <cell r="G480">
            <v>0</v>
          </cell>
          <cell r="H480">
            <v>500200000</v>
          </cell>
        </row>
        <row r="481">
          <cell r="B481">
            <v>7704510102011</v>
          </cell>
          <cell r="D481">
            <v>385795110</v>
          </cell>
          <cell r="E481">
            <v>0</v>
          </cell>
          <cell r="F481">
            <v>385795110</v>
          </cell>
          <cell r="G481">
            <v>0</v>
          </cell>
          <cell r="H481">
            <v>571800000</v>
          </cell>
        </row>
        <row r="482">
          <cell r="B482">
            <v>7704510102012</v>
          </cell>
          <cell r="D482">
            <v>31325000</v>
          </cell>
          <cell r="E482">
            <v>0</v>
          </cell>
          <cell r="F482">
            <v>31325000</v>
          </cell>
          <cell r="G482">
            <v>0</v>
          </cell>
          <cell r="H482">
            <v>71500000</v>
          </cell>
        </row>
        <row r="483">
          <cell r="B483">
            <v>7704510102014</v>
          </cell>
          <cell r="D483">
            <v>111250000</v>
          </cell>
          <cell r="E483">
            <v>0</v>
          </cell>
          <cell r="F483">
            <v>111250000</v>
          </cell>
          <cell r="G483">
            <v>0</v>
          </cell>
          <cell r="H483">
            <v>250200000</v>
          </cell>
        </row>
        <row r="484">
          <cell r="B484">
            <v>7704510102040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14300000</v>
          </cell>
        </row>
        <row r="485">
          <cell r="B485">
            <v>7704510102050</v>
          </cell>
          <cell r="D485">
            <v>217400000</v>
          </cell>
          <cell r="E485">
            <v>0</v>
          </cell>
          <cell r="F485">
            <v>217400000</v>
          </cell>
          <cell r="G485">
            <v>0</v>
          </cell>
          <cell r="H485">
            <v>357300000</v>
          </cell>
        </row>
        <row r="486">
          <cell r="B486">
            <v>7704520102000</v>
          </cell>
          <cell r="D486">
            <v>178827128</v>
          </cell>
          <cell r="E486">
            <v>0</v>
          </cell>
          <cell r="F486">
            <v>178827128</v>
          </cell>
          <cell r="G486">
            <v>0</v>
          </cell>
          <cell r="H486">
            <v>178700000</v>
          </cell>
        </row>
        <row r="487">
          <cell r="B487">
            <v>7704520102011</v>
          </cell>
          <cell r="D487">
            <v>1000000</v>
          </cell>
          <cell r="E487">
            <v>0</v>
          </cell>
          <cell r="F487">
            <v>1000000</v>
          </cell>
          <cell r="G487">
            <v>0</v>
          </cell>
          <cell r="H487">
            <v>0</v>
          </cell>
        </row>
        <row r="488">
          <cell r="B488">
            <v>7704520102012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7200000</v>
          </cell>
        </row>
        <row r="489">
          <cell r="B489">
            <v>7704520102040</v>
          </cell>
          <cell r="D489">
            <v>45851099</v>
          </cell>
          <cell r="E489">
            <v>0</v>
          </cell>
          <cell r="F489">
            <v>45851099</v>
          </cell>
          <cell r="G489">
            <v>0</v>
          </cell>
          <cell r="H489">
            <v>42900000</v>
          </cell>
        </row>
        <row r="490">
          <cell r="B490">
            <v>7704520102050</v>
          </cell>
          <cell r="D490">
            <v>125336139</v>
          </cell>
          <cell r="E490">
            <v>0</v>
          </cell>
          <cell r="F490">
            <v>125336139</v>
          </cell>
          <cell r="G490">
            <v>0</v>
          </cell>
          <cell r="H490">
            <v>70880000</v>
          </cell>
        </row>
        <row r="491">
          <cell r="B491">
            <v>7704540102050</v>
          </cell>
          <cell r="D491">
            <v>924071312</v>
          </cell>
          <cell r="E491">
            <v>0</v>
          </cell>
          <cell r="F491">
            <v>924071312</v>
          </cell>
          <cell r="G491">
            <v>0</v>
          </cell>
          <cell r="H491">
            <v>714700000</v>
          </cell>
        </row>
        <row r="492">
          <cell r="B492">
            <v>7704610102000</v>
          </cell>
          <cell r="D492">
            <v>221173916</v>
          </cell>
          <cell r="E492">
            <v>0</v>
          </cell>
          <cell r="F492">
            <v>221173916</v>
          </cell>
          <cell r="G492">
            <v>0</v>
          </cell>
          <cell r="H492">
            <v>178700000</v>
          </cell>
        </row>
        <row r="493">
          <cell r="B493">
            <v>7704610102040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35900000</v>
          </cell>
        </row>
        <row r="494">
          <cell r="B494">
            <v>7704610102050</v>
          </cell>
          <cell r="D494">
            <v>259231765</v>
          </cell>
          <cell r="E494">
            <v>0</v>
          </cell>
          <cell r="F494">
            <v>259231765</v>
          </cell>
          <cell r="G494">
            <v>0</v>
          </cell>
          <cell r="H494">
            <v>357300000</v>
          </cell>
        </row>
        <row r="495">
          <cell r="B495">
            <v>7704990202000</v>
          </cell>
          <cell r="D495">
            <v>508826078</v>
          </cell>
          <cell r="E495">
            <v>0</v>
          </cell>
          <cell r="F495">
            <v>508826078</v>
          </cell>
          <cell r="G495">
            <v>0</v>
          </cell>
          <cell r="H495">
            <v>357300000</v>
          </cell>
        </row>
        <row r="496">
          <cell r="B496">
            <v>7704990202010</v>
          </cell>
          <cell r="D496">
            <v>14782608</v>
          </cell>
          <cell r="E496">
            <v>0</v>
          </cell>
          <cell r="F496">
            <v>14782608</v>
          </cell>
          <cell r="G496">
            <v>0</v>
          </cell>
          <cell r="H496">
            <v>0</v>
          </cell>
        </row>
        <row r="497">
          <cell r="B497">
            <v>7704990202012</v>
          </cell>
          <cell r="D497">
            <v>28608695</v>
          </cell>
          <cell r="E497">
            <v>0</v>
          </cell>
          <cell r="F497">
            <v>28608695</v>
          </cell>
          <cell r="G497">
            <v>0</v>
          </cell>
          <cell r="H497">
            <v>71500000</v>
          </cell>
        </row>
        <row r="498">
          <cell r="B498">
            <v>7704990202040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17700000</v>
          </cell>
        </row>
        <row r="499">
          <cell r="B499">
            <v>7704990202050</v>
          </cell>
          <cell r="D499">
            <v>61782607</v>
          </cell>
          <cell r="E499">
            <v>0</v>
          </cell>
          <cell r="F499">
            <v>61782607</v>
          </cell>
          <cell r="G499">
            <v>0</v>
          </cell>
          <cell r="H499">
            <v>285800000</v>
          </cell>
        </row>
        <row r="500">
          <cell r="B500">
            <v>7704999902000</v>
          </cell>
          <cell r="D500">
            <v>2682927</v>
          </cell>
          <cell r="E500">
            <v>0</v>
          </cell>
          <cell r="F500">
            <v>2682927</v>
          </cell>
          <cell r="G500">
            <v>0</v>
          </cell>
          <cell r="H500">
            <v>0</v>
          </cell>
        </row>
        <row r="501">
          <cell r="B501">
            <v>7704999902010</v>
          </cell>
          <cell r="D501">
            <v>6739130</v>
          </cell>
          <cell r="E501">
            <v>0</v>
          </cell>
          <cell r="F501">
            <v>6739130</v>
          </cell>
          <cell r="G501">
            <v>0</v>
          </cell>
          <cell r="H501">
            <v>0</v>
          </cell>
        </row>
        <row r="502">
          <cell r="B502">
            <v>7704999902011</v>
          </cell>
          <cell r="D502">
            <v>71361822</v>
          </cell>
          <cell r="E502">
            <v>0</v>
          </cell>
          <cell r="F502">
            <v>71361822</v>
          </cell>
          <cell r="G502">
            <v>0</v>
          </cell>
          <cell r="H502">
            <v>0</v>
          </cell>
        </row>
        <row r="503">
          <cell r="B503">
            <v>7704999902012</v>
          </cell>
          <cell r="D503">
            <v>109695653</v>
          </cell>
          <cell r="E503">
            <v>0</v>
          </cell>
          <cell r="F503">
            <v>109695653</v>
          </cell>
          <cell r="G503">
            <v>0</v>
          </cell>
          <cell r="H503">
            <v>0</v>
          </cell>
        </row>
        <row r="504">
          <cell r="B504">
            <v>7704999902050</v>
          </cell>
          <cell r="D504">
            <v>3393550518</v>
          </cell>
          <cell r="E504">
            <v>0</v>
          </cell>
          <cell r="F504">
            <v>3393550518</v>
          </cell>
          <cell r="G504">
            <v>0</v>
          </cell>
          <cell r="H504">
            <v>1429300000</v>
          </cell>
        </row>
        <row r="505">
          <cell r="B505">
            <v>7705440102050</v>
          </cell>
          <cell r="D505">
            <v>10565000</v>
          </cell>
          <cell r="E505">
            <v>0</v>
          </cell>
          <cell r="F505">
            <v>10565000</v>
          </cell>
          <cell r="G505">
            <v>0</v>
          </cell>
          <cell r="H505">
            <v>35900000</v>
          </cell>
        </row>
        <row r="506">
          <cell r="B506">
            <v>7705470102050</v>
          </cell>
          <cell r="D506">
            <v>4683000</v>
          </cell>
          <cell r="E506">
            <v>0</v>
          </cell>
          <cell r="F506">
            <v>4683000</v>
          </cell>
          <cell r="G506">
            <v>0</v>
          </cell>
          <cell r="H506">
            <v>35900000</v>
          </cell>
        </row>
        <row r="507">
          <cell r="B507">
            <v>7705520202050</v>
          </cell>
          <cell r="D507">
            <v>47390000</v>
          </cell>
          <cell r="E507">
            <v>0</v>
          </cell>
          <cell r="F507">
            <v>47390000</v>
          </cell>
          <cell r="G507">
            <v>0</v>
          </cell>
          <cell r="H507">
            <v>0</v>
          </cell>
        </row>
        <row r="508">
          <cell r="B508">
            <v>7705520302012</v>
          </cell>
          <cell r="D508">
            <v>43478000</v>
          </cell>
          <cell r="E508">
            <v>0</v>
          </cell>
          <cell r="F508">
            <v>43478000</v>
          </cell>
          <cell r="G508">
            <v>0</v>
          </cell>
          <cell r="H508">
            <v>0</v>
          </cell>
        </row>
        <row r="509">
          <cell r="B509">
            <v>7706210102050</v>
          </cell>
          <cell r="D509">
            <v>1622415745</v>
          </cell>
          <cell r="E509">
            <v>0</v>
          </cell>
          <cell r="F509">
            <v>1622415745</v>
          </cell>
          <cell r="G509">
            <v>0</v>
          </cell>
          <cell r="H509">
            <v>0</v>
          </cell>
        </row>
        <row r="510">
          <cell r="B510">
            <v>7706220102050</v>
          </cell>
          <cell r="D510">
            <v>457185397</v>
          </cell>
          <cell r="E510">
            <v>0</v>
          </cell>
          <cell r="F510">
            <v>457185397</v>
          </cell>
          <cell r="G510">
            <v>0</v>
          </cell>
          <cell r="H510">
            <v>0</v>
          </cell>
        </row>
        <row r="511">
          <cell r="B511">
            <v>7706230102050</v>
          </cell>
          <cell r="D511">
            <v>4687326560</v>
          </cell>
          <cell r="E511">
            <v>0</v>
          </cell>
          <cell r="F511">
            <v>4687326560</v>
          </cell>
          <cell r="G511">
            <v>0</v>
          </cell>
          <cell r="H511">
            <v>0</v>
          </cell>
        </row>
        <row r="512">
          <cell r="B512">
            <v>7706280102050</v>
          </cell>
          <cell r="D512">
            <v>7335742407</v>
          </cell>
          <cell r="E512">
            <v>0</v>
          </cell>
          <cell r="F512">
            <v>7335742407</v>
          </cell>
          <cell r="G512">
            <v>0</v>
          </cell>
          <cell r="H512">
            <v>8819700000</v>
          </cell>
        </row>
        <row r="513">
          <cell r="B513">
            <v>7706360102050</v>
          </cell>
          <cell r="D513">
            <v>26784000</v>
          </cell>
          <cell r="E513">
            <v>0</v>
          </cell>
          <cell r="F513">
            <v>26784000</v>
          </cell>
          <cell r="G513">
            <v>0</v>
          </cell>
          <cell r="H513">
            <v>0</v>
          </cell>
        </row>
        <row r="514">
          <cell r="B514">
            <v>7707310102050</v>
          </cell>
          <cell r="D514">
            <v>160000000</v>
          </cell>
          <cell r="E514">
            <v>0</v>
          </cell>
          <cell r="F514">
            <v>160000000</v>
          </cell>
          <cell r="G514">
            <v>0</v>
          </cell>
          <cell r="H514">
            <v>0</v>
          </cell>
        </row>
        <row r="515">
          <cell r="B515">
            <v>7707310112050</v>
          </cell>
          <cell r="D515">
            <v>88847370</v>
          </cell>
          <cell r="E515">
            <v>0</v>
          </cell>
          <cell r="F515">
            <v>88847370</v>
          </cell>
          <cell r="G515">
            <v>0</v>
          </cell>
          <cell r="H515">
            <v>0</v>
          </cell>
        </row>
        <row r="516">
          <cell r="B516">
            <v>771994010171</v>
          </cell>
          <cell r="D516">
            <v>0</v>
          </cell>
          <cell r="E516">
            <v>247106176787</v>
          </cell>
          <cell r="F516">
            <v>0</v>
          </cell>
          <cell r="G516">
            <v>247106176787</v>
          </cell>
          <cell r="H516">
            <v>0</v>
          </cell>
        </row>
        <row r="517">
          <cell r="B517">
            <v>7807330102050</v>
          </cell>
          <cell r="D517">
            <v>6905358783</v>
          </cell>
          <cell r="E517">
            <v>24858288</v>
          </cell>
          <cell r="F517">
            <v>6880500495</v>
          </cell>
          <cell r="G517">
            <v>0</v>
          </cell>
          <cell r="H517">
            <v>0</v>
          </cell>
        </row>
        <row r="518">
          <cell r="B518">
            <v>781995010171</v>
          </cell>
          <cell r="D518">
            <v>0</v>
          </cell>
          <cell r="E518">
            <v>6880500495</v>
          </cell>
          <cell r="F518">
            <v>0</v>
          </cell>
          <cell r="G518">
            <v>6880500495</v>
          </cell>
          <cell r="H518">
            <v>0</v>
          </cell>
        </row>
      </sheetData>
      <sheetData sheetId="24" refreshError="1">
        <row r="6">
          <cell r="B6">
            <v>600801010172</v>
          </cell>
          <cell r="D6">
            <v>325000000</v>
          </cell>
          <cell r="E6">
            <v>1317220650535</v>
          </cell>
          <cell r="F6">
            <v>0</v>
          </cell>
          <cell r="G6">
            <v>1316895650535</v>
          </cell>
          <cell r="H6">
            <v>0</v>
          </cell>
        </row>
        <row r="7">
          <cell r="B7">
            <v>600801011172</v>
          </cell>
          <cell r="D7">
            <v>0</v>
          </cell>
          <cell r="E7">
            <v>182989424835</v>
          </cell>
          <cell r="F7">
            <v>0</v>
          </cell>
          <cell r="G7">
            <v>182989424835</v>
          </cell>
          <cell r="H7">
            <v>0</v>
          </cell>
        </row>
        <row r="8">
          <cell r="B8">
            <v>600801020172</v>
          </cell>
          <cell r="D8">
            <v>0</v>
          </cell>
          <cell r="E8">
            <v>14909510475</v>
          </cell>
          <cell r="F8">
            <v>0</v>
          </cell>
          <cell r="G8">
            <v>14909510475</v>
          </cell>
          <cell r="H8">
            <v>0</v>
          </cell>
        </row>
        <row r="9">
          <cell r="B9">
            <v>600801021172</v>
          </cell>
          <cell r="D9">
            <v>0</v>
          </cell>
          <cell r="E9">
            <v>43165725840</v>
          </cell>
          <cell r="F9">
            <v>0</v>
          </cell>
          <cell r="G9">
            <v>43165725840</v>
          </cell>
          <cell r="H9">
            <v>0</v>
          </cell>
        </row>
        <row r="10">
          <cell r="B10">
            <v>600801030172</v>
          </cell>
          <cell r="D10">
            <v>2809584650</v>
          </cell>
          <cell r="E10">
            <v>13033551900</v>
          </cell>
          <cell r="F10">
            <v>0</v>
          </cell>
          <cell r="G10">
            <v>10223967250</v>
          </cell>
          <cell r="H10">
            <v>0</v>
          </cell>
        </row>
        <row r="11">
          <cell r="B11">
            <v>600801031172</v>
          </cell>
          <cell r="D11">
            <v>0</v>
          </cell>
          <cell r="E11">
            <v>2296042500</v>
          </cell>
          <cell r="F11">
            <v>0</v>
          </cell>
          <cell r="G11">
            <v>2296042500</v>
          </cell>
          <cell r="H11">
            <v>0</v>
          </cell>
        </row>
        <row r="12">
          <cell r="B12">
            <v>600801040172</v>
          </cell>
          <cell r="D12">
            <v>0</v>
          </cell>
          <cell r="E12">
            <v>60403145937</v>
          </cell>
          <cell r="F12">
            <v>0</v>
          </cell>
          <cell r="G12">
            <v>60403145937</v>
          </cell>
          <cell r="H12">
            <v>0</v>
          </cell>
        </row>
        <row r="13">
          <cell r="B13">
            <v>600801041172</v>
          </cell>
          <cell r="D13">
            <v>0</v>
          </cell>
          <cell r="E13">
            <v>11067687590</v>
          </cell>
          <cell r="F13">
            <v>0</v>
          </cell>
          <cell r="G13">
            <v>11067687590</v>
          </cell>
          <cell r="H13">
            <v>0</v>
          </cell>
        </row>
        <row r="14">
          <cell r="B14">
            <v>600801050172</v>
          </cell>
          <cell r="D14">
            <v>0</v>
          </cell>
          <cell r="E14">
            <v>1732850453021</v>
          </cell>
          <cell r="F14">
            <v>0</v>
          </cell>
          <cell r="G14">
            <v>1732850453021</v>
          </cell>
          <cell r="H14">
            <v>0</v>
          </cell>
        </row>
        <row r="15">
          <cell r="B15">
            <v>600801051172</v>
          </cell>
          <cell r="D15">
            <v>0</v>
          </cell>
          <cell r="E15">
            <v>257151869542</v>
          </cell>
          <cell r="F15">
            <v>0</v>
          </cell>
          <cell r="G15">
            <v>257151869542</v>
          </cell>
          <cell r="H15">
            <v>0</v>
          </cell>
        </row>
        <row r="16">
          <cell r="B16">
            <v>600801100172</v>
          </cell>
          <cell r="D16">
            <v>0</v>
          </cell>
          <cell r="E16">
            <v>126425674557</v>
          </cell>
          <cell r="F16">
            <v>0</v>
          </cell>
          <cell r="G16">
            <v>126425674557</v>
          </cell>
          <cell r="H16">
            <v>0</v>
          </cell>
        </row>
        <row r="17">
          <cell r="B17">
            <v>600801101172</v>
          </cell>
          <cell r="D17">
            <v>0</v>
          </cell>
          <cell r="E17">
            <v>14425023025</v>
          </cell>
          <cell r="F17">
            <v>0</v>
          </cell>
          <cell r="G17">
            <v>14425023025</v>
          </cell>
          <cell r="H17">
            <v>0</v>
          </cell>
        </row>
        <row r="18">
          <cell r="B18">
            <v>600801110172</v>
          </cell>
          <cell r="D18">
            <v>0</v>
          </cell>
          <cell r="E18">
            <v>2269000000</v>
          </cell>
          <cell r="F18">
            <v>0</v>
          </cell>
          <cell r="G18">
            <v>2269000000</v>
          </cell>
          <cell r="H18">
            <v>0</v>
          </cell>
        </row>
        <row r="19">
          <cell r="B19">
            <v>600801120172</v>
          </cell>
          <cell r="D19">
            <v>0</v>
          </cell>
          <cell r="E19">
            <v>2713462250</v>
          </cell>
          <cell r="F19">
            <v>0</v>
          </cell>
          <cell r="G19">
            <v>2713462250</v>
          </cell>
          <cell r="H19">
            <v>0</v>
          </cell>
        </row>
        <row r="20">
          <cell r="B20">
            <v>600801121172</v>
          </cell>
          <cell r="D20">
            <v>0</v>
          </cell>
          <cell r="E20">
            <v>13098768250</v>
          </cell>
          <cell r="F20">
            <v>0</v>
          </cell>
          <cell r="G20">
            <v>13098768250</v>
          </cell>
          <cell r="H20">
            <v>0</v>
          </cell>
        </row>
        <row r="21">
          <cell r="B21">
            <v>600801130172</v>
          </cell>
          <cell r="D21">
            <v>0</v>
          </cell>
          <cell r="E21">
            <v>2849950000</v>
          </cell>
          <cell r="F21">
            <v>0</v>
          </cell>
          <cell r="G21">
            <v>2849950000</v>
          </cell>
          <cell r="H21">
            <v>0</v>
          </cell>
        </row>
        <row r="22">
          <cell r="B22">
            <v>600801131172</v>
          </cell>
          <cell r="D22">
            <v>0</v>
          </cell>
          <cell r="E22">
            <v>4258043650</v>
          </cell>
          <cell r="F22">
            <v>0</v>
          </cell>
          <cell r="G22">
            <v>4258043650</v>
          </cell>
          <cell r="H22">
            <v>0</v>
          </cell>
        </row>
        <row r="23">
          <cell r="B23">
            <v>600801140172</v>
          </cell>
          <cell r="D23">
            <v>0</v>
          </cell>
          <cell r="E23">
            <v>658165000</v>
          </cell>
          <cell r="F23">
            <v>0</v>
          </cell>
          <cell r="G23">
            <v>658165000</v>
          </cell>
          <cell r="H23">
            <v>0</v>
          </cell>
        </row>
        <row r="24">
          <cell r="B24">
            <v>600801141172</v>
          </cell>
          <cell r="D24">
            <v>0</v>
          </cell>
          <cell r="E24">
            <v>4623786850</v>
          </cell>
          <cell r="F24">
            <v>0</v>
          </cell>
          <cell r="G24">
            <v>4623786850</v>
          </cell>
          <cell r="H24">
            <v>0</v>
          </cell>
        </row>
        <row r="25">
          <cell r="B25">
            <v>600801190172</v>
          </cell>
          <cell r="D25">
            <v>0</v>
          </cell>
          <cell r="E25">
            <v>49587401257</v>
          </cell>
          <cell r="F25">
            <v>0</v>
          </cell>
          <cell r="G25">
            <v>49587401257</v>
          </cell>
          <cell r="H25">
            <v>0</v>
          </cell>
        </row>
        <row r="26">
          <cell r="B26">
            <v>600801191172</v>
          </cell>
          <cell r="D26">
            <v>0</v>
          </cell>
          <cell r="E26">
            <v>11292639870</v>
          </cell>
          <cell r="F26">
            <v>0</v>
          </cell>
          <cell r="G26">
            <v>11292639870</v>
          </cell>
          <cell r="H26">
            <v>0</v>
          </cell>
        </row>
        <row r="27">
          <cell r="B27">
            <v>600808030172</v>
          </cell>
          <cell r="D27">
            <v>0</v>
          </cell>
          <cell r="E27">
            <v>2809584650</v>
          </cell>
          <cell r="F27">
            <v>0</v>
          </cell>
          <cell r="G27">
            <v>2809584650</v>
          </cell>
          <cell r="H27">
            <v>0</v>
          </cell>
        </row>
        <row r="28">
          <cell r="B28">
            <v>600808040172</v>
          </cell>
          <cell r="D28">
            <v>338499000</v>
          </cell>
          <cell r="E28">
            <v>338499000</v>
          </cell>
          <cell r="F28">
            <v>0</v>
          </cell>
          <cell r="G28">
            <v>0</v>
          </cell>
          <cell r="H28">
            <v>0</v>
          </cell>
        </row>
        <row r="29">
          <cell r="B29">
            <v>601801010172</v>
          </cell>
          <cell r="D29">
            <v>11728841874</v>
          </cell>
          <cell r="E29">
            <v>133662644280</v>
          </cell>
          <cell r="F29">
            <v>0</v>
          </cell>
          <cell r="G29">
            <v>121933802406</v>
          </cell>
          <cell r="H29">
            <v>0</v>
          </cell>
        </row>
        <row r="30">
          <cell r="B30">
            <v>601801020172</v>
          </cell>
          <cell r="D30">
            <v>0</v>
          </cell>
          <cell r="E30">
            <v>40094448900</v>
          </cell>
          <cell r="F30">
            <v>0</v>
          </cell>
          <cell r="G30">
            <v>40094448900</v>
          </cell>
          <cell r="H30">
            <v>0</v>
          </cell>
        </row>
        <row r="31">
          <cell r="B31">
            <v>601801040172</v>
          </cell>
          <cell r="D31">
            <v>0</v>
          </cell>
          <cell r="E31">
            <v>14526464939</v>
          </cell>
          <cell r="F31">
            <v>0</v>
          </cell>
          <cell r="G31">
            <v>14526464939</v>
          </cell>
          <cell r="H31">
            <v>0</v>
          </cell>
        </row>
        <row r="32">
          <cell r="B32">
            <v>601801050172</v>
          </cell>
          <cell r="D32">
            <v>0</v>
          </cell>
          <cell r="E32">
            <v>177487448831</v>
          </cell>
          <cell r="F32">
            <v>0</v>
          </cell>
          <cell r="G32">
            <v>177487448831</v>
          </cell>
          <cell r="H32">
            <v>0</v>
          </cell>
        </row>
        <row r="33">
          <cell r="B33">
            <v>601801120172</v>
          </cell>
          <cell r="D33">
            <v>0</v>
          </cell>
          <cell r="E33">
            <v>4188114224</v>
          </cell>
          <cell r="F33">
            <v>0</v>
          </cell>
          <cell r="G33">
            <v>4188114224</v>
          </cell>
          <cell r="H33">
            <v>0</v>
          </cell>
        </row>
        <row r="34">
          <cell r="B34">
            <v>610816010172</v>
          </cell>
          <cell r="D34">
            <v>3079011510</v>
          </cell>
          <cell r="E34">
            <v>0</v>
          </cell>
          <cell r="F34">
            <v>3079011510</v>
          </cell>
          <cell r="G34">
            <v>0</v>
          </cell>
          <cell r="H34">
            <v>0</v>
          </cell>
        </row>
        <row r="35">
          <cell r="B35">
            <v>610816040172</v>
          </cell>
          <cell r="D35">
            <v>509290000</v>
          </cell>
          <cell r="E35">
            <v>0</v>
          </cell>
          <cell r="F35">
            <v>509290000</v>
          </cell>
          <cell r="G35">
            <v>0</v>
          </cell>
          <cell r="H35">
            <v>0</v>
          </cell>
        </row>
        <row r="36">
          <cell r="B36">
            <v>610816050172</v>
          </cell>
          <cell r="D36">
            <v>4588181000</v>
          </cell>
          <cell r="E36">
            <v>0</v>
          </cell>
          <cell r="F36">
            <v>4588181000</v>
          </cell>
          <cell r="G36">
            <v>0</v>
          </cell>
          <cell r="H36">
            <v>0</v>
          </cell>
        </row>
        <row r="37">
          <cell r="B37">
            <v>610816100172</v>
          </cell>
          <cell r="D37">
            <v>108212500</v>
          </cell>
          <cell r="E37">
            <v>0</v>
          </cell>
          <cell r="F37">
            <v>108212500</v>
          </cell>
          <cell r="G37">
            <v>0</v>
          </cell>
          <cell r="H37">
            <v>0</v>
          </cell>
        </row>
        <row r="38">
          <cell r="B38">
            <v>610816130172</v>
          </cell>
          <cell r="D38">
            <v>249750000</v>
          </cell>
          <cell r="E38">
            <v>0</v>
          </cell>
          <cell r="F38">
            <v>249750000</v>
          </cell>
          <cell r="G38">
            <v>0</v>
          </cell>
          <cell r="H38">
            <v>0</v>
          </cell>
        </row>
        <row r="39">
          <cell r="B39">
            <v>610816190172</v>
          </cell>
          <cell r="D39">
            <v>293912500</v>
          </cell>
          <cell r="E39">
            <v>0</v>
          </cell>
          <cell r="F39">
            <v>293912500</v>
          </cell>
          <cell r="G39">
            <v>0</v>
          </cell>
          <cell r="H39">
            <v>0</v>
          </cell>
        </row>
        <row r="40">
          <cell r="B40">
            <v>611816010172</v>
          </cell>
          <cell r="D40">
            <v>8119591480</v>
          </cell>
          <cell r="E40">
            <v>0</v>
          </cell>
          <cell r="F40">
            <v>8119591480</v>
          </cell>
          <cell r="G40">
            <v>0</v>
          </cell>
          <cell r="H40">
            <v>0</v>
          </cell>
        </row>
        <row r="41">
          <cell r="B41">
            <v>611816020172</v>
          </cell>
          <cell r="D41">
            <v>5043000</v>
          </cell>
          <cell r="E41">
            <v>0</v>
          </cell>
          <cell r="F41">
            <v>5043000</v>
          </cell>
          <cell r="G41">
            <v>0</v>
          </cell>
          <cell r="H41">
            <v>0</v>
          </cell>
        </row>
        <row r="42">
          <cell r="B42">
            <v>611816050172</v>
          </cell>
          <cell r="D42">
            <v>734662001</v>
          </cell>
          <cell r="E42">
            <v>0</v>
          </cell>
          <cell r="F42">
            <v>734662001</v>
          </cell>
          <cell r="G42">
            <v>0</v>
          </cell>
          <cell r="H42">
            <v>0</v>
          </cell>
        </row>
        <row r="43">
          <cell r="B43">
            <v>611816100172</v>
          </cell>
          <cell r="D43">
            <v>105540840</v>
          </cell>
          <cell r="E43">
            <v>0</v>
          </cell>
          <cell r="F43">
            <v>105540840</v>
          </cell>
          <cell r="G43">
            <v>0</v>
          </cell>
          <cell r="H43">
            <v>0</v>
          </cell>
        </row>
        <row r="44">
          <cell r="B44">
            <v>611816130172</v>
          </cell>
          <cell r="D44">
            <v>11441130</v>
          </cell>
          <cell r="E44">
            <v>0</v>
          </cell>
          <cell r="F44">
            <v>11441130</v>
          </cell>
          <cell r="G44">
            <v>0</v>
          </cell>
          <cell r="H44">
            <v>0</v>
          </cell>
        </row>
        <row r="45">
          <cell r="B45">
            <v>620852010172</v>
          </cell>
          <cell r="D45">
            <v>2619826444155</v>
          </cell>
          <cell r="E45">
            <v>6856925455</v>
          </cell>
          <cell r="F45">
            <v>2612969518700</v>
          </cell>
          <cell r="G45">
            <v>0</v>
          </cell>
          <cell r="H45">
            <v>0</v>
          </cell>
        </row>
        <row r="46">
          <cell r="B46">
            <v>620852040172</v>
          </cell>
          <cell r="D46">
            <v>91765935278</v>
          </cell>
          <cell r="E46">
            <v>446273942</v>
          </cell>
          <cell r="F46">
            <v>91319661336</v>
          </cell>
          <cell r="G46">
            <v>0</v>
          </cell>
          <cell r="H46">
            <v>0</v>
          </cell>
        </row>
        <row r="47">
          <cell r="B47">
            <v>621859040172</v>
          </cell>
          <cell r="D47">
            <v>2580650000</v>
          </cell>
          <cell r="E47">
            <v>0</v>
          </cell>
          <cell r="F47">
            <v>2580650000</v>
          </cell>
          <cell r="G47">
            <v>0</v>
          </cell>
          <cell r="H47">
            <v>0</v>
          </cell>
        </row>
        <row r="48">
          <cell r="B48">
            <v>631993010172</v>
          </cell>
          <cell r="D48">
            <v>329332250454</v>
          </cell>
          <cell r="E48">
            <v>0</v>
          </cell>
          <cell r="F48">
            <v>329332250454</v>
          </cell>
          <cell r="G48">
            <v>0</v>
          </cell>
          <cell r="H48">
            <v>0</v>
          </cell>
        </row>
        <row r="49">
          <cell r="B49">
            <v>6324780103120</v>
          </cell>
          <cell r="D49">
            <v>8257442775</v>
          </cell>
          <cell r="E49">
            <v>0</v>
          </cell>
          <cell r="F49">
            <v>8257442775</v>
          </cell>
          <cell r="G49">
            <v>0</v>
          </cell>
          <cell r="H49">
            <v>7442042634</v>
          </cell>
        </row>
        <row r="50">
          <cell r="B50">
            <v>6324780103131</v>
          </cell>
          <cell r="D50">
            <v>7328240725</v>
          </cell>
          <cell r="E50">
            <v>0</v>
          </cell>
          <cell r="F50">
            <v>7328240725</v>
          </cell>
          <cell r="G50">
            <v>0</v>
          </cell>
          <cell r="H50">
            <v>7334203044</v>
          </cell>
        </row>
        <row r="51">
          <cell r="B51">
            <v>6324780103132</v>
          </cell>
          <cell r="D51">
            <v>5978202360</v>
          </cell>
          <cell r="E51">
            <v>0</v>
          </cell>
          <cell r="F51">
            <v>5978202360</v>
          </cell>
          <cell r="G51">
            <v>0</v>
          </cell>
          <cell r="H51">
            <v>5987311800</v>
          </cell>
        </row>
        <row r="52">
          <cell r="B52">
            <v>6324780103133</v>
          </cell>
          <cell r="D52">
            <v>4565700067</v>
          </cell>
          <cell r="E52">
            <v>0</v>
          </cell>
          <cell r="F52">
            <v>4565700067</v>
          </cell>
          <cell r="G52">
            <v>0</v>
          </cell>
          <cell r="H52">
            <v>4574663460</v>
          </cell>
        </row>
        <row r="53">
          <cell r="B53">
            <v>6324780103134</v>
          </cell>
          <cell r="D53">
            <v>1737986358</v>
          </cell>
          <cell r="E53">
            <v>0</v>
          </cell>
          <cell r="F53">
            <v>1737986358</v>
          </cell>
          <cell r="G53">
            <v>0</v>
          </cell>
          <cell r="H53">
            <v>2808612672</v>
          </cell>
        </row>
        <row r="54">
          <cell r="B54">
            <v>6324780103135</v>
          </cell>
          <cell r="D54">
            <v>1168918321</v>
          </cell>
          <cell r="E54">
            <v>0</v>
          </cell>
          <cell r="F54">
            <v>1168918321</v>
          </cell>
          <cell r="G54">
            <v>0</v>
          </cell>
          <cell r="H54">
            <v>1168918320</v>
          </cell>
        </row>
        <row r="55">
          <cell r="B55">
            <v>6324780103136</v>
          </cell>
          <cell r="D55">
            <v>2611777870</v>
          </cell>
          <cell r="E55">
            <v>0</v>
          </cell>
          <cell r="F55">
            <v>2611777870</v>
          </cell>
          <cell r="G55">
            <v>0</v>
          </cell>
          <cell r="H55">
            <v>2624989656</v>
          </cell>
        </row>
        <row r="56">
          <cell r="B56">
            <v>6324780103141</v>
          </cell>
          <cell r="D56">
            <v>5034786586</v>
          </cell>
          <cell r="E56">
            <v>0</v>
          </cell>
          <cell r="F56">
            <v>5034786586</v>
          </cell>
          <cell r="G56">
            <v>0</v>
          </cell>
          <cell r="H56">
            <v>5079052164</v>
          </cell>
        </row>
        <row r="57">
          <cell r="B57">
            <v>6324780103142</v>
          </cell>
          <cell r="D57">
            <v>3089537002</v>
          </cell>
          <cell r="E57">
            <v>0</v>
          </cell>
          <cell r="F57">
            <v>3089537002</v>
          </cell>
          <cell r="G57">
            <v>0</v>
          </cell>
          <cell r="H57">
            <v>3099383460</v>
          </cell>
        </row>
        <row r="58">
          <cell r="B58">
            <v>6324780103143</v>
          </cell>
          <cell r="D58">
            <v>2295738200</v>
          </cell>
          <cell r="E58">
            <v>0</v>
          </cell>
          <cell r="F58">
            <v>2295738200</v>
          </cell>
          <cell r="G58">
            <v>0</v>
          </cell>
          <cell r="H58">
            <v>2309246568</v>
          </cell>
        </row>
        <row r="59">
          <cell r="B59">
            <v>6324780103220</v>
          </cell>
          <cell r="D59">
            <v>2108718329</v>
          </cell>
          <cell r="E59">
            <v>0</v>
          </cell>
          <cell r="F59">
            <v>2108718329</v>
          </cell>
          <cell r="G59">
            <v>0</v>
          </cell>
          <cell r="H59">
            <v>2551184040</v>
          </cell>
        </row>
        <row r="60">
          <cell r="B60">
            <v>6324780103230</v>
          </cell>
          <cell r="D60">
            <v>2370012827</v>
          </cell>
          <cell r="E60">
            <v>0</v>
          </cell>
          <cell r="F60">
            <v>2370012827</v>
          </cell>
          <cell r="G60">
            <v>0</v>
          </cell>
          <cell r="H60">
            <v>2414955660</v>
          </cell>
        </row>
        <row r="61">
          <cell r="B61">
            <v>6324780103250</v>
          </cell>
          <cell r="D61">
            <v>588035474</v>
          </cell>
          <cell r="E61">
            <v>0</v>
          </cell>
          <cell r="F61">
            <v>588035474</v>
          </cell>
          <cell r="G61">
            <v>0</v>
          </cell>
          <cell r="H61">
            <v>1970371368</v>
          </cell>
        </row>
        <row r="62">
          <cell r="B62">
            <v>6324780103260</v>
          </cell>
          <cell r="D62">
            <v>4984729347</v>
          </cell>
          <cell r="E62">
            <v>0</v>
          </cell>
          <cell r="F62">
            <v>4984729347</v>
          </cell>
          <cell r="G62">
            <v>0</v>
          </cell>
          <cell r="H62">
            <v>8608982562</v>
          </cell>
        </row>
        <row r="63">
          <cell r="B63">
            <v>6324780103270</v>
          </cell>
          <cell r="D63">
            <v>1508166659</v>
          </cell>
          <cell r="E63">
            <v>0</v>
          </cell>
          <cell r="F63">
            <v>1508166659</v>
          </cell>
          <cell r="G63">
            <v>0</v>
          </cell>
          <cell r="H63">
            <v>1526611002</v>
          </cell>
        </row>
        <row r="64">
          <cell r="B64">
            <v>6324780103280</v>
          </cell>
          <cell r="D64">
            <v>786506166</v>
          </cell>
          <cell r="E64">
            <v>0</v>
          </cell>
          <cell r="F64">
            <v>786506166</v>
          </cell>
          <cell r="G64">
            <v>0</v>
          </cell>
          <cell r="H64">
            <v>786506160</v>
          </cell>
        </row>
        <row r="65">
          <cell r="B65">
            <v>6324780103290</v>
          </cell>
          <cell r="D65">
            <v>5351823164</v>
          </cell>
          <cell r="E65">
            <v>0</v>
          </cell>
          <cell r="F65">
            <v>5351823164</v>
          </cell>
          <cell r="G65">
            <v>0</v>
          </cell>
          <cell r="H65">
            <v>5433091056</v>
          </cell>
        </row>
        <row r="66">
          <cell r="B66">
            <v>6324780203000</v>
          </cell>
          <cell r="D66">
            <v>5682282924</v>
          </cell>
          <cell r="E66">
            <v>0</v>
          </cell>
          <cell r="F66">
            <v>5682282924</v>
          </cell>
          <cell r="G66">
            <v>0</v>
          </cell>
          <cell r="H66">
            <v>363437502</v>
          </cell>
        </row>
        <row r="67">
          <cell r="B67">
            <v>6324780203010</v>
          </cell>
          <cell r="D67">
            <v>1978354025</v>
          </cell>
          <cell r="E67">
            <v>0</v>
          </cell>
          <cell r="F67">
            <v>1978354025</v>
          </cell>
          <cell r="G67">
            <v>0</v>
          </cell>
          <cell r="H67">
            <v>2374024830</v>
          </cell>
        </row>
        <row r="68">
          <cell r="B68">
            <v>6324780203011</v>
          </cell>
          <cell r="D68">
            <v>1232032390</v>
          </cell>
          <cell r="E68">
            <v>0</v>
          </cell>
          <cell r="F68">
            <v>1232032390</v>
          </cell>
          <cell r="G68">
            <v>0</v>
          </cell>
          <cell r="H68">
            <v>1480334760</v>
          </cell>
        </row>
        <row r="69">
          <cell r="B69">
            <v>6324780203012</v>
          </cell>
          <cell r="D69">
            <v>726330480</v>
          </cell>
          <cell r="E69">
            <v>0</v>
          </cell>
          <cell r="F69">
            <v>726330480</v>
          </cell>
          <cell r="G69">
            <v>0</v>
          </cell>
          <cell r="H69">
            <v>871596576</v>
          </cell>
        </row>
        <row r="70">
          <cell r="B70">
            <v>6324780203013</v>
          </cell>
          <cell r="D70">
            <v>1943550515</v>
          </cell>
          <cell r="E70">
            <v>0</v>
          </cell>
          <cell r="F70">
            <v>1943550515</v>
          </cell>
          <cell r="G70">
            <v>0</v>
          </cell>
          <cell r="H70">
            <v>2332260618</v>
          </cell>
        </row>
        <row r="71">
          <cell r="B71">
            <v>6324780203014</v>
          </cell>
          <cell r="D71">
            <v>3046382135</v>
          </cell>
          <cell r="E71">
            <v>0</v>
          </cell>
          <cell r="F71">
            <v>3046382135</v>
          </cell>
          <cell r="G71">
            <v>0</v>
          </cell>
          <cell r="H71">
            <v>3655658562</v>
          </cell>
        </row>
        <row r="72">
          <cell r="B72">
            <v>6324780203015</v>
          </cell>
          <cell r="D72">
            <v>5026096035</v>
          </cell>
          <cell r="E72">
            <v>0</v>
          </cell>
          <cell r="F72">
            <v>5026096035</v>
          </cell>
          <cell r="G72">
            <v>0</v>
          </cell>
          <cell r="H72">
            <v>6031315236</v>
          </cell>
        </row>
        <row r="73">
          <cell r="B73">
            <v>6324780203020</v>
          </cell>
          <cell r="D73">
            <v>6023322929</v>
          </cell>
          <cell r="E73">
            <v>0</v>
          </cell>
          <cell r="F73">
            <v>6023322929</v>
          </cell>
          <cell r="G73">
            <v>0</v>
          </cell>
          <cell r="H73">
            <v>6233096400</v>
          </cell>
        </row>
        <row r="74">
          <cell r="B74">
            <v>6324780203021</v>
          </cell>
          <cell r="D74">
            <v>328607876</v>
          </cell>
          <cell r="E74">
            <v>0</v>
          </cell>
          <cell r="F74">
            <v>328607876</v>
          </cell>
          <cell r="G74">
            <v>0</v>
          </cell>
          <cell r="H74">
            <v>346454280</v>
          </cell>
        </row>
        <row r="75">
          <cell r="B75">
            <v>6324780203030</v>
          </cell>
          <cell r="D75">
            <v>1977615582</v>
          </cell>
          <cell r="E75">
            <v>0</v>
          </cell>
          <cell r="F75">
            <v>1977615582</v>
          </cell>
          <cell r="G75">
            <v>0</v>
          </cell>
          <cell r="H75">
            <v>1256883900</v>
          </cell>
        </row>
        <row r="76">
          <cell r="B76">
            <v>6324780203032</v>
          </cell>
          <cell r="D76">
            <v>1142563356</v>
          </cell>
          <cell r="E76">
            <v>0</v>
          </cell>
          <cell r="F76">
            <v>1142563356</v>
          </cell>
          <cell r="G76">
            <v>0</v>
          </cell>
          <cell r="H76">
            <v>2066897772</v>
          </cell>
        </row>
        <row r="77">
          <cell r="B77">
            <v>6324780203050</v>
          </cell>
          <cell r="D77">
            <v>5759821208</v>
          </cell>
          <cell r="E77">
            <v>0</v>
          </cell>
          <cell r="F77">
            <v>5759821208</v>
          </cell>
          <cell r="G77">
            <v>0</v>
          </cell>
          <cell r="H77">
            <v>7291004454</v>
          </cell>
        </row>
        <row r="78">
          <cell r="B78">
            <v>632994010172</v>
          </cell>
          <cell r="D78">
            <v>335091779240</v>
          </cell>
          <cell r="E78">
            <v>0</v>
          </cell>
          <cell r="F78">
            <v>335091779240</v>
          </cell>
          <cell r="G78">
            <v>0</v>
          </cell>
          <cell r="H78">
            <v>0</v>
          </cell>
        </row>
        <row r="79">
          <cell r="B79">
            <v>642915010172</v>
          </cell>
          <cell r="D79">
            <v>17070517770</v>
          </cell>
          <cell r="E79">
            <v>72311204171</v>
          </cell>
          <cell r="F79">
            <v>0</v>
          </cell>
          <cell r="G79">
            <v>55240686401</v>
          </cell>
          <cell r="H79">
            <v>0</v>
          </cell>
        </row>
        <row r="80">
          <cell r="B80">
            <v>644947010172</v>
          </cell>
          <cell r="D80">
            <v>0</v>
          </cell>
          <cell r="E80">
            <v>2937653802</v>
          </cell>
          <cell r="F80">
            <v>0</v>
          </cell>
          <cell r="G80">
            <v>2937653802</v>
          </cell>
          <cell r="H80">
            <v>0</v>
          </cell>
        </row>
        <row r="81">
          <cell r="B81">
            <v>6449470103050</v>
          </cell>
          <cell r="D81">
            <v>0</v>
          </cell>
          <cell r="E81">
            <v>471414036</v>
          </cell>
          <cell r="F81">
            <v>0</v>
          </cell>
          <cell r="G81">
            <v>471414036</v>
          </cell>
          <cell r="H81">
            <v>0</v>
          </cell>
        </row>
        <row r="82">
          <cell r="B82">
            <v>644947020</v>
          </cell>
          <cell r="D82">
            <v>0</v>
          </cell>
          <cell r="E82">
            <v>37195516199</v>
          </cell>
          <cell r="F82">
            <v>0</v>
          </cell>
          <cell r="G82">
            <v>37195516199</v>
          </cell>
          <cell r="H82">
            <v>0</v>
          </cell>
        </row>
        <row r="83">
          <cell r="B83">
            <v>646935010172</v>
          </cell>
          <cell r="D83">
            <v>0</v>
          </cell>
          <cell r="E83">
            <v>19401831987</v>
          </cell>
          <cell r="F83">
            <v>0</v>
          </cell>
          <cell r="G83">
            <v>19401831987</v>
          </cell>
          <cell r="H83">
            <v>0</v>
          </cell>
        </row>
        <row r="84">
          <cell r="B84">
            <v>647916010</v>
          </cell>
          <cell r="D84">
            <v>0</v>
          </cell>
          <cell r="E84">
            <v>6840665823</v>
          </cell>
          <cell r="F84">
            <v>0</v>
          </cell>
          <cell r="G84">
            <v>6840665823</v>
          </cell>
          <cell r="H84">
            <v>0</v>
          </cell>
        </row>
        <row r="85">
          <cell r="B85">
            <v>649811010172</v>
          </cell>
          <cell r="D85">
            <v>0</v>
          </cell>
          <cell r="E85">
            <v>1279096936</v>
          </cell>
          <cell r="F85">
            <v>0</v>
          </cell>
          <cell r="G85">
            <v>1279096936</v>
          </cell>
          <cell r="H85">
            <v>0</v>
          </cell>
        </row>
        <row r="86">
          <cell r="B86">
            <v>649889030172</v>
          </cell>
          <cell r="D86">
            <v>46250000</v>
          </cell>
          <cell r="E86">
            <v>4935854749</v>
          </cell>
          <cell r="F86">
            <v>0</v>
          </cell>
          <cell r="G86">
            <v>4889604749</v>
          </cell>
          <cell r="H86">
            <v>0</v>
          </cell>
        </row>
        <row r="87">
          <cell r="B87">
            <v>649949010172</v>
          </cell>
          <cell r="D87">
            <v>3</v>
          </cell>
          <cell r="E87">
            <v>6001</v>
          </cell>
          <cell r="F87">
            <v>0</v>
          </cell>
          <cell r="G87">
            <v>5998</v>
          </cell>
          <cell r="H87">
            <v>0</v>
          </cell>
        </row>
        <row r="88">
          <cell r="B88">
            <v>6544960103050</v>
          </cell>
          <cell r="D88">
            <v>5211331002</v>
          </cell>
          <cell r="E88">
            <v>0</v>
          </cell>
          <cell r="F88">
            <v>5211331002</v>
          </cell>
          <cell r="G88">
            <v>0</v>
          </cell>
          <cell r="H88">
            <v>0</v>
          </cell>
        </row>
        <row r="89">
          <cell r="B89">
            <v>656733010172</v>
          </cell>
          <cell r="D89">
            <v>279045138</v>
          </cell>
          <cell r="E89">
            <v>0</v>
          </cell>
          <cell r="F89">
            <v>279045138</v>
          </cell>
          <cell r="G89">
            <v>0</v>
          </cell>
          <cell r="H89">
            <v>0</v>
          </cell>
        </row>
        <row r="90">
          <cell r="B90">
            <v>657736010172</v>
          </cell>
          <cell r="D90">
            <v>1651087596</v>
          </cell>
          <cell r="E90">
            <v>0</v>
          </cell>
          <cell r="F90">
            <v>1651087596</v>
          </cell>
          <cell r="G90">
            <v>0</v>
          </cell>
          <cell r="H90">
            <v>0</v>
          </cell>
        </row>
        <row r="91">
          <cell r="B91">
            <v>657736020</v>
          </cell>
          <cell r="D91">
            <v>8027119599</v>
          </cell>
          <cell r="E91">
            <v>0</v>
          </cell>
          <cell r="F91">
            <v>8027119599</v>
          </cell>
          <cell r="G91">
            <v>0</v>
          </cell>
          <cell r="H91">
            <v>0</v>
          </cell>
        </row>
        <row r="92">
          <cell r="B92">
            <v>6594770103020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>
            <v>6594770103021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>
            <v>6594770103050</v>
          </cell>
          <cell r="D94">
            <v>229500000</v>
          </cell>
          <cell r="E94">
            <v>0</v>
          </cell>
          <cell r="F94">
            <v>229500000</v>
          </cell>
          <cell r="G94">
            <v>0</v>
          </cell>
          <cell r="H94">
            <v>0</v>
          </cell>
        </row>
        <row r="95">
          <cell r="B95">
            <v>6594770303000</v>
          </cell>
          <cell r="D95">
            <v>50365000</v>
          </cell>
          <cell r="E95">
            <v>50365000</v>
          </cell>
          <cell r="F95">
            <v>0</v>
          </cell>
          <cell r="G95">
            <v>0</v>
          </cell>
          <cell r="H95">
            <v>0</v>
          </cell>
        </row>
        <row r="96">
          <cell r="B96">
            <v>6594770403000</v>
          </cell>
          <cell r="D96">
            <v>64008000</v>
          </cell>
          <cell r="E96">
            <v>64008000</v>
          </cell>
          <cell r="F96">
            <v>0</v>
          </cell>
          <cell r="G96">
            <v>0</v>
          </cell>
          <cell r="H96">
            <v>214400000</v>
          </cell>
        </row>
        <row r="97">
          <cell r="B97">
            <v>6594770403005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>
            <v>6594770503050</v>
          </cell>
          <cell r="D98">
            <v>10560000</v>
          </cell>
          <cell r="E98">
            <v>0</v>
          </cell>
          <cell r="F98">
            <v>10560000</v>
          </cell>
          <cell r="G98">
            <v>0</v>
          </cell>
          <cell r="H98">
            <v>0</v>
          </cell>
        </row>
        <row r="99">
          <cell r="B99">
            <v>6594779903050</v>
          </cell>
          <cell r="D99">
            <v>1098028335</v>
          </cell>
          <cell r="E99">
            <v>0</v>
          </cell>
          <cell r="F99">
            <v>1098028335</v>
          </cell>
          <cell r="G99">
            <v>0</v>
          </cell>
          <cell r="H99">
            <v>0</v>
          </cell>
        </row>
        <row r="100">
          <cell r="B100">
            <v>6595430103050</v>
          </cell>
          <cell r="D100">
            <v>2010081000</v>
          </cell>
          <cell r="E100">
            <v>0</v>
          </cell>
          <cell r="F100">
            <v>2010081000</v>
          </cell>
          <cell r="G100">
            <v>0</v>
          </cell>
          <cell r="H100">
            <v>0</v>
          </cell>
        </row>
        <row r="101">
          <cell r="B101">
            <v>6595450103050</v>
          </cell>
          <cell r="D101">
            <v>1035920000</v>
          </cell>
          <cell r="E101">
            <v>0</v>
          </cell>
          <cell r="F101">
            <v>1035920000</v>
          </cell>
          <cell r="G101">
            <v>0</v>
          </cell>
          <cell r="H101">
            <v>0</v>
          </cell>
        </row>
        <row r="102">
          <cell r="B102">
            <v>6595490103050</v>
          </cell>
          <cell r="D102">
            <v>146784000</v>
          </cell>
          <cell r="E102">
            <v>0</v>
          </cell>
          <cell r="F102">
            <v>146784000</v>
          </cell>
          <cell r="G102">
            <v>0</v>
          </cell>
          <cell r="H102">
            <v>0</v>
          </cell>
        </row>
        <row r="103">
          <cell r="B103">
            <v>659735010172</v>
          </cell>
          <cell r="D103">
            <v>29161484972</v>
          </cell>
          <cell r="E103">
            <v>0</v>
          </cell>
          <cell r="F103">
            <v>29161484972</v>
          </cell>
          <cell r="G103">
            <v>0</v>
          </cell>
          <cell r="H103">
            <v>0</v>
          </cell>
        </row>
        <row r="104">
          <cell r="B104">
            <v>661995010172</v>
          </cell>
          <cell r="D104">
            <v>68288487646</v>
          </cell>
          <cell r="E104">
            <v>0</v>
          </cell>
          <cell r="F104">
            <v>68288487646</v>
          </cell>
          <cell r="G104">
            <v>0</v>
          </cell>
          <cell r="H104">
            <v>0</v>
          </cell>
        </row>
        <row r="105">
          <cell r="B105">
            <v>679885010172</v>
          </cell>
          <cell r="D105">
            <v>1321782178</v>
          </cell>
          <cell r="E105">
            <v>1321782178</v>
          </cell>
          <cell r="F105">
            <v>0</v>
          </cell>
          <cell r="G105">
            <v>0</v>
          </cell>
          <cell r="H105">
            <v>0</v>
          </cell>
        </row>
        <row r="106">
          <cell r="B106">
            <v>679939010172</v>
          </cell>
          <cell r="D106">
            <v>0</v>
          </cell>
          <cell r="E106">
            <v>261788742</v>
          </cell>
          <cell r="F106">
            <v>0</v>
          </cell>
          <cell r="G106">
            <v>261788742</v>
          </cell>
          <cell r="H106">
            <v>0</v>
          </cell>
        </row>
        <row r="107">
          <cell r="B107">
            <v>6799460103050</v>
          </cell>
          <cell r="D107">
            <v>0</v>
          </cell>
          <cell r="E107">
            <v>3697298225</v>
          </cell>
          <cell r="F107">
            <v>0</v>
          </cell>
          <cell r="G107">
            <v>3697298225</v>
          </cell>
          <cell r="H107">
            <v>0</v>
          </cell>
        </row>
        <row r="108">
          <cell r="B108">
            <v>6799499903021</v>
          </cell>
          <cell r="D108">
            <v>0</v>
          </cell>
          <cell r="E108">
            <v>10000</v>
          </cell>
          <cell r="F108">
            <v>0</v>
          </cell>
          <cell r="G108">
            <v>10000</v>
          </cell>
          <cell r="H108">
            <v>0</v>
          </cell>
        </row>
        <row r="109">
          <cell r="B109">
            <v>6799499903050</v>
          </cell>
          <cell r="D109">
            <v>0</v>
          </cell>
          <cell r="E109">
            <v>750</v>
          </cell>
          <cell r="F109">
            <v>0</v>
          </cell>
          <cell r="G109">
            <v>750</v>
          </cell>
          <cell r="H109">
            <v>0</v>
          </cell>
        </row>
        <row r="110">
          <cell r="B110">
            <v>681497010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>
            <v>6814970103050</v>
          </cell>
          <cell r="D111">
            <v>6302003175</v>
          </cell>
          <cell r="E111">
            <v>0</v>
          </cell>
          <cell r="F111">
            <v>6302003175</v>
          </cell>
          <cell r="G111">
            <v>0</v>
          </cell>
          <cell r="H111">
            <v>0</v>
          </cell>
        </row>
        <row r="112">
          <cell r="B112">
            <v>6894760103020</v>
          </cell>
          <cell r="D112">
            <v>153000000</v>
          </cell>
          <cell r="E112">
            <v>0</v>
          </cell>
          <cell r="F112">
            <v>153000000</v>
          </cell>
          <cell r="G112">
            <v>0</v>
          </cell>
          <cell r="H112">
            <v>0</v>
          </cell>
        </row>
        <row r="113">
          <cell r="B113">
            <v>6894870103050</v>
          </cell>
          <cell r="D113">
            <v>2318521294</v>
          </cell>
          <cell r="E113">
            <v>0</v>
          </cell>
          <cell r="F113">
            <v>2318521294</v>
          </cell>
          <cell r="G113">
            <v>0</v>
          </cell>
          <cell r="H113">
            <v>0</v>
          </cell>
        </row>
        <row r="114">
          <cell r="B114">
            <v>689494010172</v>
          </cell>
          <cell r="D114">
            <v>980061</v>
          </cell>
          <cell r="E114">
            <v>0</v>
          </cell>
          <cell r="F114">
            <v>980061</v>
          </cell>
          <cell r="G114">
            <v>0</v>
          </cell>
          <cell r="H114">
            <v>0</v>
          </cell>
        </row>
        <row r="115">
          <cell r="B115">
            <v>6894990103050</v>
          </cell>
          <cell r="D115">
            <v>101</v>
          </cell>
          <cell r="E115">
            <v>0</v>
          </cell>
          <cell r="F115">
            <v>101</v>
          </cell>
          <cell r="G115">
            <v>0</v>
          </cell>
          <cell r="H115">
            <v>0</v>
          </cell>
        </row>
        <row r="116">
          <cell r="B116">
            <v>689895010172</v>
          </cell>
          <cell r="D116">
            <v>1059993436</v>
          </cell>
          <cell r="E116">
            <v>1059993436</v>
          </cell>
          <cell r="F116">
            <v>0</v>
          </cell>
          <cell r="G116">
            <v>0</v>
          </cell>
          <cell r="H116">
            <v>0</v>
          </cell>
        </row>
        <row r="117">
          <cell r="B117">
            <v>7100010103120</v>
          </cell>
          <cell r="D117">
            <v>642386656</v>
          </cell>
          <cell r="E117">
            <v>63382996</v>
          </cell>
          <cell r="F117">
            <v>579003660</v>
          </cell>
          <cell r="G117">
            <v>0</v>
          </cell>
          <cell r="H117">
            <v>0</v>
          </cell>
        </row>
        <row r="118">
          <cell r="B118">
            <v>7100010103220</v>
          </cell>
          <cell r="D118">
            <v>17912637569</v>
          </cell>
          <cell r="E118">
            <v>0</v>
          </cell>
          <cell r="F118">
            <v>17912637569</v>
          </cell>
          <cell r="G118">
            <v>0</v>
          </cell>
          <cell r="H118">
            <v>0</v>
          </cell>
        </row>
        <row r="119">
          <cell r="B119">
            <v>7100010203120</v>
          </cell>
          <cell r="D119">
            <v>142817705443</v>
          </cell>
          <cell r="E119">
            <v>0</v>
          </cell>
          <cell r="F119">
            <v>142817705443</v>
          </cell>
          <cell r="G119">
            <v>0</v>
          </cell>
          <cell r="H119">
            <v>0</v>
          </cell>
        </row>
        <row r="120">
          <cell r="B120">
            <v>7100010303120</v>
          </cell>
          <cell r="D120">
            <v>32037049634</v>
          </cell>
          <cell r="E120">
            <v>0</v>
          </cell>
          <cell r="F120">
            <v>32037049634</v>
          </cell>
          <cell r="G120">
            <v>0</v>
          </cell>
          <cell r="H120">
            <v>0</v>
          </cell>
        </row>
        <row r="121">
          <cell r="B121">
            <v>7100010303220</v>
          </cell>
          <cell r="D121">
            <v>3504766114</v>
          </cell>
          <cell r="E121">
            <v>0</v>
          </cell>
          <cell r="F121">
            <v>3504766114</v>
          </cell>
          <cell r="G121">
            <v>0</v>
          </cell>
          <cell r="H121">
            <v>0</v>
          </cell>
        </row>
        <row r="122">
          <cell r="B122">
            <v>7100010403220</v>
          </cell>
          <cell r="D122">
            <v>54946553786</v>
          </cell>
          <cell r="E122">
            <v>0</v>
          </cell>
          <cell r="F122">
            <v>54946553786</v>
          </cell>
          <cell r="G122">
            <v>0</v>
          </cell>
          <cell r="H122">
            <v>0</v>
          </cell>
        </row>
        <row r="123">
          <cell r="B123">
            <v>7100010503120</v>
          </cell>
          <cell r="D123">
            <v>245685453551</v>
          </cell>
          <cell r="E123">
            <v>0</v>
          </cell>
          <cell r="F123">
            <v>245685453551</v>
          </cell>
          <cell r="G123">
            <v>0</v>
          </cell>
          <cell r="H123">
            <v>0</v>
          </cell>
        </row>
        <row r="124">
          <cell r="B124">
            <v>7100010603120</v>
          </cell>
          <cell r="D124">
            <v>17508140817</v>
          </cell>
          <cell r="E124">
            <v>0</v>
          </cell>
          <cell r="F124">
            <v>17508140817</v>
          </cell>
          <cell r="G124">
            <v>0</v>
          </cell>
          <cell r="H124">
            <v>0</v>
          </cell>
        </row>
        <row r="125">
          <cell r="B125">
            <v>7100011603120</v>
          </cell>
          <cell r="D125">
            <v>2153549440</v>
          </cell>
          <cell r="E125">
            <v>0</v>
          </cell>
          <cell r="F125">
            <v>2153549440</v>
          </cell>
          <cell r="G125">
            <v>0</v>
          </cell>
          <cell r="H125">
            <v>0</v>
          </cell>
        </row>
        <row r="126">
          <cell r="B126">
            <v>7100011603220</v>
          </cell>
          <cell r="D126">
            <v>74287224483</v>
          </cell>
          <cell r="E126">
            <v>0</v>
          </cell>
          <cell r="F126">
            <v>74287224483</v>
          </cell>
          <cell r="G126">
            <v>0</v>
          </cell>
          <cell r="H126">
            <v>0</v>
          </cell>
        </row>
        <row r="127">
          <cell r="B127">
            <v>7100011703120</v>
          </cell>
          <cell r="D127">
            <v>8124453801</v>
          </cell>
          <cell r="E127">
            <v>0</v>
          </cell>
          <cell r="F127">
            <v>8124453801</v>
          </cell>
          <cell r="G127">
            <v>0</v>
          </cell>
          <cell r="H127">
            <v>0</v>
          </cell>
        </row>
        <row r="128">
          <cell r="B128">
            <v>7100011803120</v>
          </cell>
          <cell r="D128">
            <v>13708180702</v>
          </cell>
          <cell r="E128">
            <v>0</v>
          </cell>
          <cell r="F128">
            <v>13708180702</v>
          </cell>
          <cell r="G128">
            <v>0</v>
          </cell>
          <cell r="H128">
            <v>0</v>
          </cell>
        </row>
        <row r="129">
          <cell r="B129">
            <v>7100011803220</v>
          </cell>
          <cell r="D129">
            <v>165096764505</v>
          </cell>
          <cell r="E129">
            <v>0</v>
          </cell>
          <cell r="F129">
            <v>165096764505</v>
          </cell>
          <cell r="G129">
            <v>0</v>
          </cell>
          <cell r="H129">
            <v>0</v>
          </cell>
        </row>
        <row r="130">
          <cell r="B130">
            <v>7100012003220</v>
          </cell>
          <cell r="D130">
            <v>104247661782</v>
          </cell>
          <cell r="E130">
            <v>0</v>
          </cell>
          <cell r="F130">
            <v>104247661782</v>
          </cell>
          <cell r="G130">
            <v>0</v>
          </cell>
          <cell r="H130">
            <v>0</v>
          </cell>
        </row>
        <row r="131">
          <cell r="B131">
            <v>7100012903120</v>
          </cell>
          <cell r="D131">
            <v>4224079974</v>
          </cell>
          <cell r="E131">
            <v>0</v>
          </cell>
          <cell r="F131">
            <v>4224079974</v>
          </cell>
          <cell r="G131">
            <v>0</v>
          </cell>
          <cell r="H131">
            <v>0</v>
          </cell>
        </row>
        <row r="132">
          <cell r="B132">
            <v>7100013103220</v>
          </cell>
          <cell r="D132">
            <v>51195117433</v>
          </cell>
          <cell r="E132">
            <v>0</v>
          </cell>
          <cell r="F132">
            <v>51195117433</v>
          </cell>
          <cell r="G132">
            <v>0</v>
          </cell>
          <cell r="H132">
            <v>0</v>
          </cell>
        </row>
        <row r="133">
          <cell r="B133">
            <v>7100013303220</v>
          </cell>
          <cell r="D133">
            <v>1357657606</v>
          </cell>
          <cell r="E133">
            <v>0</v>
          </cell>
          <cell r="F133">
            <v>1357657606</v>
          </cell>
          <cell r="G133">
            <v>0</v>
          </cell>
          <cell r="H133">
            <v>0</v>
          </cell>
        </row>
        <row r="134">
          <cell r="B134">
            <v>7100013403220</v>
          </cell>
          <cell r="D134">
            <v>364535907</v>
          </cell>
          <cell r="E134">
            <v>0</v>
          </cell>
          <cell r="F134">
            <v>364535907</v>
          </cell>
          <cell r="G134">
            <v>0</v>
          </cell>
          <cell r="H134">
            <v>0</v>
          </cell>
        </row>
        <row r="135">
          <cell r="B135">
            <v>7100013603220</v>
          </cell>
          <cell r="D135">
            <v>172421058</v>
          </cell>
          <cell r="E135">
            <v>0</v>
          </cell>
          <cell r="F135">
            <v>172421058</v>
          </cell>
          <cell r="G135">
            <v>0</v>
          </cell>
          <cell r="H135">
            <v>0</v>
          </cell>
        </row>
        <row r="136">
          <cell r="B136">
            <v>7100014003120</v>
          </cell>
          <cell r="D136">
            <v>100682727362</v>
          </cell>
          <cell r="E136">
            <v>0</v>
          </cell>
          <cell r="F136">
            <v>100682727362</v>
          </cell>
          <cell r="G136">
            <v>0</v>
          </cell>
          <cell r="H136">
            <v>0</v>
          </cell>
        </row>
        <row r="137">
          <cell r="B137">
            <v>7100014103120</v>
          </cell>
          <cell r="D137">
            <v>8846052565</v>
          </cell>
          <cell r="E137">
            <v>0</v>
          </cell>
          <cell r="F137">
            <v>8846052565</v>
          </cell>
          <cell r="G137">
            <v>0</v>
          </cell>
          <cell r="H137">
            <v>0</v>
          </cell>
        </row>
        <row r="138">
          <cell r="B138">
            <v>7100014203120</v>
          </cell>
          <cell r="D138">
            <v>17017368777</v>
          </cell>
          <cell r="E138">
            <v>0</v>
          </cell>
          <cell r="F138">
            <v>17017368777</v>
          </cell>
          <cell r="G138">
            <v>0</v>
          </cell>
          <cell r="H138">
            <v>0</v>
          </cell>
        </row>
        <row r="139">
          <cell r="B139">
            <v>7100014603220</v>
          </cell>
          <cell r="D139">
            <v>72080899691</v>
          </cell>
          <cell r="E139">
            <v>0</v>
          </cell>
          <cell r="F139">
            <v>72080899691</v>
          </cell>
          <cell r="G139">
            <v>0</v>
          </cell>
          <cell r="H139">
            <v>0</v>
          </cell>
        </row>
        <row r="140">
          <cell r="B140">
            <v>7100014703120</v>
          </cell>
          <cell r="D140">
            <v>7506761668</v>
          </cell>
          <cell r="E140">
            <v>0</v>
          </cell>
          <cell r="F140">
            <v>7506761668</v>
          </cell>
          <cell r="G140">
            <v>0</v>
          </cell>
          <cell r="H140">
            <v>0</v>
          </cell>
        </row>
        <row r="141">
          <cell r="B141">
            <v>7100014703220</v>
          </cell>
          <cell r="D141">
            <v>41368154852</v>
          </cell>
          <cell r="E141">
            <v>0</v>
          </cell>
          <cell r="F141">
            <v>41368154852</v>
          </cell>
          <cell r="G141">
            <v>0</v>
          </cell>
          <cell r="H141">
            <v>0</v>
          </cell>
        </row>
        <row r="142">
          <cell r="B142">
            <v>7100014903120</v>
          </cell>
          <cell r="D142">
            <v>80019859722</v>
          </cell>
          <cell r="E142">
            <v>0</v>
          </cell>
          <cell r="F142">
            <v>80019859722</v>
          </cell>
          <cell r="G142">
            <v>0</v>
          </cell>
          <cell r="H142">
            <v>0</v>
          </cell>
        </row>
        <row r="143">
          <cell r="B143">
            <v>7100014903220</v>
          </cell>
          <cell r="D143">
            <v>260927537763</v>
          </cell>
          <cell r="E143">
            <v>7533550</v>
          </cell>
          <cell r="F143">
            <v>260920004213</v>
          </cell>
          <cell r="G143">
            <v>0</v>
          </cell>
          <cell r="H143">
            <v>0</v>
          </cell>
        </row>
        <row r="144">
          <cell r="B144">
            <v>7100015103220</v>
          </cell>
          <cell r="D144">
            <v>84029349689</v>
          </cell>
          <cell r="E144">
            <v>0</v>
          </cell>
          <cell r="F144">
            <v>84029349689</v>
          </cell>
          <cell r="G144">
            <v>0</v>
          </cell>
          <cell r="H144">
            <v>0</v>
          </cell>
        </row>
        <row r="145">
          <cell r="B145">
            <v>7100015603120</v>
          </cell>
          <cell r="D145">
            <v>1467727943</v>
          </cell>
          <cell r="E145">
            <v>77562862</v>
          </cell>
          <cell r="F145">
            <v>1390165081</v>
          </cell>
          <cell r="G145">
            <v>0</v>
          </cell>
          <cell r="H145">
            <v>0</v>
          </cell>
        </row>
        <row r="146">
          <cell r="B146">
            <v>7100015903120</v>
          </cell>
          <cell r="D146">
            <v>3372731486</v>
          </cell>
          <cell r="E146">
            <v>0</v>
          </cell>
          <cell r="F146">
            <v>3372731486</v>
          </cell>
          <cell r="G146">
            <v>0</v>
          </cell>
          <cell r="H146">
            <v>0</v>
          </cell>
        </row>
        <row r="147">
          <cell r="B147">
            <v>7100016603120</v>
          </cell>
          <cell r="D147">
            <v>23545297762</v>
          </cell>
          <cell r="E147">
            <v>0</v>
          </cell>
          <cell r="F147">
            <v>23545297762</v>
          </cell>
          <cell r="G147">
            <v>0</v>
          </cell>
          <cell r="H147">
            <v>0</v>
          </cell>
        </row>
        <row r="148">
          <cell r="B148">
            <v>7100016803120</v>
          </cell>
          <cell r="D148">
            <v>5498437128</v>
          </cell>
          <cell r="E148">
            <v>0</v>
          </cell>
          <cell r="F148">
            <v>5498437128</v>
          </cell>
          <cell r="G148">
            <v>0</v>
          </cell>
          <cell r="H148">
            <v>0</v>
          </cell>
        </row>
        <row r="149">
          <cell r="B149">
            <v>7100017303120</v>
          </cell>
          <cell r="D149">
            <v>11412041939</v>
          </cell>
          <cell r="E149">
            <v>0</v>
          </cell>
          <cell r="F149">
            <v>11412041939</v>
          </cell>
          <cell r="G149">
            <v>0</v>
          </cell>
          <cell r="H149">
            <v>0</v>
          </cell>
        </row>
        <row r="150">
          <cell r="B150">
            <v>7100017403120</v>
          </cell>
          <cell r="D150">
            <v>2866623819</v>
          </cell>
          <cell r="E150">
            <v>0</v>
          </cell>
          <cell r="F150">
            <v>2866623819</v>
          </cell>
          <cell r="G150">
            <v>0</v>
          </cell>
          <cell r="H150">
            <v>0</v>
          </cell>
        </row>
        <row r="151">
          <cell r="B151">
            <v>7100017503120</v>
          </cell>
          <cell r="D151">
            <v>34662089255</v>
          </cell>
          <cell r="E151">
            <v>0</v>
          </cell>
          <cell r="F151">
            <v>34662089255</v>
          </cell>
          <cell r="G151">
            <v>0</v>
          </cell>
          <cell r="H151">
            <v>0</v>
          </cell>
        </row>
        <row r="152">
          <cell r="B152">
            <v>7100017603220</v>
          </cell>
          <cell r="D152">
            <v>3255072108</v>
          </cell>
          <cell r="E152">
            <v>0</v>
          </cell>
          <cell r="F152">
            <v>3255072108</v>
          </cell>
          <cell r="G152">
            <v>0</v>
          </cell>
          <cell r="H152">
            <v>0</v>
          </cell>
        </row>
        <row r="153">
          <cell r="B153">
            <v>7100017703220</v>
          </cell>
          <cell r="D153">
            <v>476757925</v>
          </cell>
          <cell r="E153">
            <v>0</v>
          </cell>
          <cell r="F153">
            <v>476757925</v>
          </cell>
          <cell r="G153">
            <v>0</v>
          </cell>
          <cell r="H153">
            <v>0</v>
          </cell>
        </row>
        <row r="154">
          <cell r="B154">
            <v>7100017903220</v>
          </cell>
          <cell r="D154">
            <v>14889487479</v>
          </cell>
          <cell r="E154">
            <v>0</v>
          </cell>
          <cell r="F154">
            <v>14889487479</v>
          </cell>
          <cell r="G154">
            <v>0</v>
          </cell>
          <cell r="H154">
            <v>0</v>
          </cell>
        </row>
        <row r="155">
          <cell r="B155">
            <v>7100018203120</v>
          </cell>
          <cell r="D155">
            <v>12647741036</v>
          </cell>
          <cell r="E155">
            <v>0</v>
          </cell>
          <cell r="F155">
            <v>12647741036</v>
          </cell>
          <cell r="G155">
            <v>0</v>
          </cell>
          <cell r="H155">
            <v>0</v>
          </cell>
        </row>
        <row r="156">
          <cell r="B156">
            <v>7100018203220</v>
          </cell>
          <cell r="D156">
            <v>26520366368</v>
          </cell>
          <cell r="E156">
            <v>0</v>
          </cell>
          <cell r="F156">
            <v>26520366368</v>
          </cell>
          <cell r="G156">
            <v>0</v>
          </cell>
          <cell r="H156">
            <v>0</v>
          </cell>
        </row>
        <row r="157">
          <cell r="B157">
            <v>7100018303220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B158">
            <v>7100018403120</v>
          </cell>
          <cell r="D158">
            <v>2750550123</v>
          </cell>
          <cell r="E158">
            <v>0</v>
          </cell>
          <cell r="F158">
            <v>2750550123</v>
          </cell>
          <cell r="G158">
            <v>0</v>
          </cell>
          <cell r="H158">
            <v>0</v>
          </cell>
        </row>
        <row r="159">
          <cell r="B159">
            <v>7100018503120</v>
          </cell>
          <cell r="D159">
            <v>3431708183</v>
          </cell>
          <cell r="E159">
            <v>0</v>
          </cell>
          <cell r="F159">
            <v>3431708183</v>
          </cell>
          <cell r="G159">
            <v>0</v>
          </cell>
          <cell r="H159">
            <v>0</v>
          </cell>
        </row>
        <row r="160">
          <cell r="B160">
            <v>7100018603220</v>
          </cell>
          <cell r="D160">
            <v>9610017478</v>
          </cell>
          <cell r="E160">
            <v>0</v>
          </cell>
          <cell r="F160">
            <v>9610017478</v>
          </cell>
          <cell r="G160">
            <v>0</v>
          </cell>
          <cell r="H160">
            <v>0</v>
          </cell>
        </row>
        <row r="161">
          <cell r="B161">
            <v>7100018903220</v>
          </cell>
          <cell r="D161">
            <v>6909840191</v>
          </cell>
          <cell r="E161">
            <v>0</v>
          </cell>
          <cell r="F161">
            <v>6909840191</v>
          </cell>
          <cell r="G161">
            <v>0</v>
          </cell>
          <cell r="H161">
            <v>0</v>
          </cell>
        </row>
        <row r="162">
          <cell r="B162">
            <v>7100019403120</v>
          </cell>
          <cell r="D162">
            <v>17569295659</v>
          </cell>
          <cell r="E162">
            <v>0</v>
          </cell>
          <cell r="F162">
            <v>17569295659</v>
          </cell>
          <cell r="G162">
            <v>0</v>
          </cell>
          <cell r="H162">
            <v>0</v>
          </cell>
        </row>
        <row r="163">
          <cell r="B163">
            <v>7100019503120</v>
          </cell>
          <cell r="D163">
            <v>87050502924</v>
          </cell>
          <cell r="E163">
            <v>0</v>
          </cell>
          <cell r="F163">
            <v>87050502924</v>
          </cell>
          <cell r="G163">
            <v>0</v>
          </cell>
          <cell r="H163">
            <v>0</v>
          </cell>
        </row>
        <row r="164">
          <cell r="B164">
            <v>7100019603120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>
            <v>7100019703120</v>
          </cell>
          <cell r="D165">
            <v>60525807025</v>
          </cell>
          <cell r="E165">
            <v>0</v>
          </cell>
          <cell r="F165">
            <v>60525807025</v>
          </cell>
          <cell r="G165">
            <v>0</v>
          </cell>
          <cell r="H165">
            <v>0</v>
          </cell>
        </row>
        <row r="166">
          <cell r="B166">
            <v>7100019703220</v>
          </cell>
          <cell r="D166">
            <v>7452091230</v>
          </cell>
          <cell r="E166">
            <v>0</v>
          </cell>
          <cell r="F166">
            <v>7452091230</v>
          </cell>
          <cell r="G166">
            <v>0</v>
          </cell>
          <cell r="H166">
            <v>0</v>
          </cell>
        </row>
        <row r="167">
          <cell r="B167">
            <v>7100019803120</v>
          </cell>
          <cell r="D167">
            <v>65277185734</v>
          </cell>
          <cell r="E167">
            <v>0</v>
          </cell>
          <cell r="F167">
            <v>65277185734</v>
          </cell>
          <cell r="G167">
            <v>0</v>
          </cell>
          <cell r="H167">
            <v>0</v>
          </cell>
        </row>
        <row r="168">
          <cell r="B168">
            <v>7100019803220</v>
          </cell>
          <cell r="D168">
            <v>4700325</v>
          </cell>
          <cell r="E168">
            <v>0</v>
          </cell>
          <cell r="F168">
            <v>4700325</v>
          </cell>
          <cell r="G168">
            <v>0</v>
          </cell>
          <cell r="H168">
            <v>0</v>
          </cell>
        </row>
        <row r="169">
          <cell r="B169">
            <v>7100019903120</v>
          </cell>
          <cell r="D169">
            <v>1211565977</v>
          </cell>
          <cell r="E169">
            <v>0</v>
          </cell>
          <cell r="F169">
            <v>1211565977</v>
          </cell>
          <cell r="G169">
            <v>0</v>
          </cell>
          <cell r="H169">
            <v>0</v>
          </cell>
        </row>
        <row r="170">
          <cell r="B170">
            <v>7100019903210</v>
          </cell>
          <cell r="D170">
            <v>3794976138</v>
          </cell>
          <cell r="E170">
            <v>0</v>
          </cell>
          <cell r="F170">
            <v>3794976138</v>
          </cell>
          <cell r="G170">
            <v>0</v>
          </cell>
          <cell r="H170">
            <v>0</v>
          </cell>
        </row>
        <row r="171">
          <cell r="B171">
            <v>7100019903220</v>
          </cell>
          <cell r="D171">
            <v>19998405125</v>
          </cell>
          <cell r="E171">
            <v>0</v>
          </cell>
          <cell r="F171">
            <v>19998405125</v>
          </cell>
          <cell r="G171">
            <v>0</v>
          </cell>
          <cell r="H171">
            <v>0</v>
          </cell>
        </row>
        <row r="172">
          <cell r="B172">
            <v>7100050103120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>
            <v>7100050103131</v>
          </cell>
          <cell r="D173">
            <v>5657756678</v>
          </cell>
          <cell r="E173">
            <v>0</v>
          </cell>
          <cell r="F173">
            <v>5657756678</v>
          </cell>
          <cell r="G173">
            <v>0</v>
          </cell>
          <cell r="H173">
            <v>0</v>
          </cell>
        </row>
        <row r="174">
          <cell r="B174">
            <v>7100050103132</v>
          </cell>
          <cell r="D174">
            <v>7537301311</v>
          </cell>
          <cell r="E174">
            <v>0</v>
          </cell>
          <cell r="F174">
            <v>7537301311</v>
          </cell>
          <cell r="G174">
            <v>0</v>
          </cell>
          <cell r="H174">
            <v>0</v>
          </cell>
        </row>
        <row r="175">
          <cell r="B175">
            <v>7100050103133</v>
          </cell>
          <cell r="D175">
            <v>4394777610</v>
          </cell>
          <cell r="E175">
            <v>32786000</v>
          </cell>
          <cell r="F175">
            <v>4361991610</v>
          </cell>
          <cell r="G175">
            <v>0</v>
          </cell>
          <cell r="H175">
            <v>0</v>
          </cell>
        </row>
        <row r="176">
          <cell r="B176">
            <v>7100050103134</v>
          </cell>
          <cell r="D176">
            <v>1914174369</v>
          </cell>
          <cell r="E176">
            <v>0</v>
          </cell>
          <cell r="F176">
            <v>1914174369</v>
          </cell>
          <cell r="G176">
            <v>0</v>
          </cell>
          <cell r="H176">
            <v>0</v>
          </cell>
        </row>
        <row r="177">
          <cell r="B177">
            <v>7100050103136</v>
          </cell>
          <cell r="D177">
            <v>5882995454</v>
          </cell>
          <cell r="E177">
            <v>0</v>
          </cell>
          <cell r="F177">
            <v>5882995454</v>
          </cell>
          <cell r="G177">
            <v>0</v>
          </cell>
          <cell r="H177">
            <v>0</v>
          </cell>
        </row>
        <row r="178">
          <cell r="B178">
            <v>7100050103141</v>
          </cell>
          <cell r="D178">
            <v>1720584054</v>
          </cell>
          <cell r="E178">
            <v>0</v>
          </cell>
          <cell r="F178">
            <v>1720584054</v>
          </cell>
          <cell r="G178">
            <v>0</v>
          </cell>
          <cell r="H178">
            <v>0</v>
          </cell>
        </row>
        <row r="179">
          <cell r="B179">
            <v>7100050103142</v>
          </cell>
          <cell r="D179">
            <v>753333280</v>
          </cell>
          <cell r="E179">
            <v>0</v>
          </cell>
          <cell r="F179">
            <v>753333280</v>
          </cell>
          <cell r="G179">
            <v>0</v>
          </cell>
          <cell r="H179">
            <v>0</v>
          </cell>
        </row>
        <row r="180">
          <cell r="B180">
            <v>7100050103143</v>
          </cell>
          <cell r="D180">
            <v>2216333875</v>
          </cell>
          <cell r="E180">
            <v>0</v>
          </cell>
          <cell r="F180">
            <v>2216333875</v>
          </cell>
          <cell r="G180">
            <v>0</v>
          </cell>
          <cell r="H180">
            <v>0</v>
          </cell>
        </row>
        <row r="181">
          <cell r="B181">
            <v>7100050203120</v>
          </cell>
          <cell r="D181">
            <v>1007112380</v>
          </cell>
          <cell r="E181">
            <v>0</v>
          </cell>
          <cell r="F181">
            <v>1007112380</v>
          </cell>
          <cell r="G181">
            <v>0</v>
          </cell>
          <cell r="H181">
            <v>0</v>
          </cell>
        </row>
        <row r="182">
          <cell r="B182">
            <v>7100050303120</v>
          </cell>
          <cell r="D182">
            <v>82973800000</v>
          </cell>
          <cell r="E182">
            <v>3013000000</v>
          </cell>
          <cell r="F182">
            <v>79960800000</v>
          </cell>
          <cell r="G182">
            <v>0</v>
          </cell>
          <cell r="H182">
            <v>0</v>
          </cell>
        </row>
        <row r="183">
          <cell r="B183">
            <v>7100050403120</v>
          </cell>
          <cell r="D183">
            <v>948250529</v>
          </cell>
          <cell r="E183">
            <v>0</v>
          </cell>
          <cell r="F183">
            <v>948250529</v>
          </cell>
          <cell r="G183">
            <v>0</v>
          </cell>
          <cell r="H183">
            <v>0</v>
          </cell>
        </row>
        <row r="184">
          <cell r="B184">
            <v>7100050403131</v>
          </cell>
          <cell r="D184">
            <v>536144445</v>
          </cell>
          <cell r="E184">
            <v>0</v>
          </cell>
          <cell r="F184">
            <v>536144445</v>
          </cell>
          <cell r="G184">
            <v>0</v>
          </cell>
          <cell r="H184">
            <v>0</v>
          </cell>
        </row>
        <row r="185">
          <cell r="B185">
            <v>7100050403132</v>
          </cell>
          <cell r="D185">
            <v>559037020</v>
          </cell>
          <cell r="E185">
            <v>0</v>
          </cell>
          <cell r="F185">
            <v>559037020</v>
          </cell>
          <cell r="G185">
            <v>0</v>
          </cell>
          <cell r="H185">
            <v>0</v>
          </cell>
        </row>
        <row r="186">
          <cell r="B186">
            <v>7100050403133</v>
          </cell>
          <cell r="D186">
            <v>497566667</v>
          </cell>
          <cell r="E186">
            <v>0</v>
          </cell>
          <cell r="F186">
            <v>497566667</v>
          </cell>
          <cell r="G186">
            <v>0</v>
          </cell>
          <cell r="H186">
            <v>0</v>
          </cell>
        </row>
        <row r="187">
          <cell r="B187">
            <v>7100050403142</v>
          </cell>
          <cell r="D187">
            <v>332166667</v>
          </cell>
          <cell r="E187">
            <v>0</v>
          </cell>
          <cell r="F187">
            <v>332166667</v>
          </cell>
          <cell r="G187">
            <v>0</v>
          </cell>
          <cell r="H187">
            <v>0</v>
          </cell>
        </row>
        <row r="188">
          <cell r="B188">
            <v>7100050503131</v>
          </cell>
          <cell r="D188">
            <v>349608147</v>
          </cell>
          <cell r="E188">
            <v>0</v>
          </cell>
          <cell r="F188">
            <v>349608147</v>
          </cell>
          <cell r="G188">
            <v>0</v>
          </cell>
          <cell r="H188">
            <v>0</v>
          </cell>
        </row>
        <row r="189">
          <cell r="B189">
            <v>7100050503132</v>
          </cell>
          <cell r="D189">
            <v>289075015</v>
          </cell>
          <cell r="E189">
            <v>0</v>
          </cell>
          <cell r="F189">
            <v>289075015</v>
          </cell>
          <cell r="G189">
            <v>0</v>
          </cell>
          <cell r="H189">
            <v>0</v>
          </cell>
        </row>
        <row r="190">
          <cell r="B190">
            <v>7100050503135</v>
          </cell>
          <cell r="D190">
            <v>274064284</v>
          </cell>
          <cell r="E190">
            <v>0</v>
          </cell>
          <cell r="F190">
            <v>274064284</v>
          </cell>
          <cell r="G190">
            <v>0</v>
          </cell>
          <cell r="H190">
            <v>0</v>
          </cell>
        </row>
        <row r="191">
          <cell r="B191">
            <v>7100051403120</v>
          </cell>
          <cell r="D191">
            <v>19307381649</v>
          </cell>
          <cell r="E191">
            <v>285000</v>
          </cell>
          <cell r="F191">
            <v>19307096649</v>
          </cell>
          <cell r="G191">
            <v>0</v>
          </cell>
          <cell r="H191">
            <v>0</v>
          </cell>
        </row>
        <row r="192">
          <cell r="B192">
            <v>7100051503120</v>
          </cell>
          <cell r="D192">
            <v>10306405059</v>
          </cell>
          <cell r="E192">
            <v>0</v>
          </cell>
          <cell r="F192">
            <v>10306405059</v>
          </cell>
          <cell r="G192">
            <v>0</v>
          </cell>
          <cell r="H192">
            <v>0</v>
          </cell>
        </row>
        <row r="193">
          <cell r="B193">
            <v>7100052203120</v>
          </cell>
          <cell r="D193">
            <v>1160560592</v>
          </cell>
          <cell r="E193">
            <v>0</v>
          </cell>
          <cell r="F193">
            <v>1160560592</v>
          </cell>
          <cell r="G193">
            <v>0</v>
          </cell>
          <cell r="H193">
            <v>0</v>
          </cell>
        </row>
        <row r="194">
          <cell r="B194">
            <v>711981010172</v>
          </cell>
          <cell r="D194">
            <v>0</v>
          </cell>
          <cell r="E194">
            <v>2147412842373</v>
          </cell>
          <cell r="F194">
            <v>0</v>
          </cell>
          <cell r="G194">
            <v>2147412842373</v>
          </cell>
          <cell r="H194">
            <v>0</v>
          </cell>
        </row>
        <row r="195">
          <cell r="B195">
            <v>711981020172</v>
          </cell>
          <cell r="D195">
            <v>0</v>
          </cell>
          <cell r="E195">
            <v>36677109014</v>
          </cell>
          <cell r="F195">
            <v>0</v>
          </cell>
          <cell r="G195">
            <v>36677109014</v>
          </cell>
          <cell r="H195">
            <v>0</v>
          </cell>
        </row>
        <row r="196">
          <cell r="B196">
            <v>7201011103120</v>
          </cell>
          <cell r="D196">
            <v>12046526803</v>
          </cell>
          <cell r="E196">
            <v>96829110</v>
          </cell>
          <cell r="F196">
            <v>11949697693</v>
          </cell>
          <cell r="G196">
            <v>0</v>
          </cell>
          <cell r="H196">
            <v>24226148625</v>
          </cell>
        </row>
        <row r="197">
          <cell r="B197">
            <v>7201011103131</v>
          </cell>
          <cell r="D197">
            <v>10029509352</v>
          </cell>
          <cell r="E197">
            <v>0</v>
          </cell>
          <cell r="F197">
            <v>10029509352</v>
          </cell>
          <cell r="G197">
            <v>0</v>
          </cell>
          <cell r="H197">
            <v>9327254895</v>
          </cell>
        </row>
        <row r="198">
          <cell r="B198">
            <v>7201011103132</v>
          </cell>
          <cell r="D198">
            <v>9137599914</v>
          </cell>
          <cell r="E198">
            <v>0</v>
          </cell>
          <cell r="F198">
            <v>9137599914</v>
          </cell>
          <cell r="G198">
            <v>0</v>
          </cell>
          <cell r="H198">
            <v>8539345605</v>
          </cell>
        </row>
        <row r="199">
          <cell r="B199">
            <v>7201011103133</v>
          </cell>
          <cell r="D199">
            <v>9151163810</v>
          </cell>
          <cell r="E199">
            <v>0</v>
          </cell>
          <cell r="F199">
            <v>9151163810</v>
          </cell>
          <cell r="G199">
            <v>0</v>
          </cell>
          <cell r="H199">
            <v>6592400100</v>
          </cell>
        </row>
        <row r="200">
          <cell r="B200">
            <v>7201011103134</v>
          </cell>
          <cell r="D200">
            <v>2306240370</v>
          </cell>
          <cell r="E200">
            <v>0</v>
          </cell>
          <cell r="F200">
            <v>2306240370</v>
          </cell>
          <cell r="G200">
            <v>0</v>
          </cell>
          <cell r="H200">
            <v>1611372864</v>
          </cell>
        </row>
        <row r="201">
          <cell r="B201">
            <v>7201011103135</v>
          </cell>
          <cell r="D201">
            <v>2751060705</v>
          </cell>
          <cell r="E201">
            <v>0</v>
          </cell>
          <cell r="F201">
            <v>2751060705</v>
          </cell>
          <cell r="G201">
            <v>0</v>
          </cell>
          <cell r="H201">
            <v>1569093525</v>
          </cell>
        </row>
        <row r="202">
          <cell r="B202">
            <v>7201011103136</v>
          </cell>
          <cell r="D202">
            <v>6938348111</v>
          </cell>
          <cell r="E202">
            <v>0</v>
          </cell>
          <cell r="F202">
            <v>6938348111</v>
          </cell>
          <cell r="G202">
            <v>0</v>
          </cell>
          <cell r="H202">
            <v>6746088105</v>
          </cell>
        </row>
        <row r="203">
          <cell r="B203">
            <v>7201011103141</v>
          </cell>
          <cell r="D203">
            <v>9025071181</v>
          </cell>
          <cell r="E203">
            <v>0</v>
          </cell>
          <cell r="F203">
            <v>9025071181</v>
          </cell>
          <cell r="G203">
            <v>0</v>
          </cell>
          <cell r="H203">
            <v>8574751920</v>
          </cell>
        </row>
        <row r="204">
          <cell r="B204">
            <v>7201011103142</v>
          </cell>
          <cell r="D204">
            <v>5791222674</v>
          </cell>
          <cell r="E204">
            <v>0</v>
          </cell>
          <cell r="F204">
            <v>5791222674</v>
          </cell>
          <cell r="G204">
            <v>0</v>
          </cell>
          <cell r="H204">
            <v>4954239690</v>
          </cell>
        </row>
        <row r="205">
          <cell r="B205">
            <v>7201011103143</v>
          </cell>
          <cell r="D205">
            <v>5968555269</v>
          </cell>
          <cell r="E205">
            <v>0</v>
          </cell>
          <cell r="F205">
            <v>5968555269</v>
          </cell>
          <cell r="G205">
            <v>0</v>
          </cell>
          <cell r="H205">
            <v>4679883510</v>
          </cell>
        </row>
        <row r="206">
          <cell r="B206">
            <v>7201020103120</v>
          </cell>
          <cell r="D206">
            <v>1757042028</v>
          </cell>
          <cell r="E206">
            <v>0</v>
          </cell>
          <cell r="F206">
            <v>1757042028</v>
          </cell>
          <cell r="G206">
            <v>0</v>
          </cell>
          <cell r="H206">
            <v>1938091890</v>
          </cell>
        </row>
        <row r="207">
          <cell r="B207">
            <v>7201020103131</v>
          </cell>
          <cell r="D207">
            <v>1365769082</v>
          </cell>
          <cell r="E207">
            <v>0</v>
          </cell>
          <cell r="F207">
            <v>1365769082</v>
          </cell>
          <cell r="G207">
            <v>0</v>
          </cell>
          <cell r="H207">
            <v>746180393</v>
          </cell>
        </row>
        <row r="208">
          <cell r="B208">
            <v>7201020103132</v>
          </cell>
          <cell r="D208">
            <v>1533561417</v>
          </cell>
          <cell r="E208">
            <v>0</v>
          </cell>
          <cell r="F208">
            <v>1533561417</v>
          </cell>
          <cell r="G208">
            <v>0</v>
          </cell>
          <cell r="H208">
            <v>683147647</v>
          </cell>
        </row>
        <row r="209">
          <cell r="B209">
            <v>7201020103133</v>
          </cell>
          <cell r="D209">
            <v>1412642439</v>
          </cell>
          <cell r="E209">
            <v>0</v>
          </cell>
          <cell r="F209">
            <v>1412642439</v>
          </cell>
          <cell r="G209">
            <v>0</v>
          </cell>
          <cell r="H209">
            <v>527392008</v>
          </cell>
        </row>
        <row r="210">
          <cell r="B210">
            <v>7201020103134</v>
          </cell>
          <cell r="D210">
            <v>335423618</v>
          </cell>
          <cell r="E210">
            <v>0</v>
          </cell>
          <cell r="F210">
            <v>335423618</v>
          </cell>
          <cell r="G210">
            <v>0</v>
          </cell>
          <cell r="H210">
            <v>128909829</v>
          </cell>
        </row>
        <row r="211">
          <cell r="B211">
            <v>7201020103135</v>
          </cell>
          <cell r="D211">
            <v>421811637</v>
          </cell>
          <cell r="E211">
            <v>0</v>
          </cell>
          <cell r="F211">
            <v>421811637</v>
          </cell>
          <cell r="G211">
            <v>0</v>
          </cell>
          <cell r="H211">
            <v>125527482</v>
          </cell>
        </row>
        <row r="212">
          <cell r="B212">
            <v>7201020103136</v>
          </cell>
          <cell r="D212">
            <v>667664250</v>
          </cell>
          <cell r="E212">
            <v>0</v>
          </cell>
          <cell r="F212">
            <v>667664250</v>
          </cell>
          <cell r="G212">
            <v>0</v>
          </cell>
          <cell r="H212">
            <v>539687047</v>
          </cell>
        </row>
        <row r="213">
          <cell r="B213">
            <v>7201020103141</v>
          </cell>
          <cell r="D213">
            <v>1121936408</v>
          </cell>
          <cell r="E213">
            <v>0</v>
          </cell>
          <cell r="F213">
            <v>1121936408</v>
          </cell>
          <cell r="G213">
            <v>0</v>
          </cell>
          <cell r="H213">
            <v>685980155</v>
          </cell>
        </row>
        <row r="214">
          <cell r="B214">
            <v>7201020103142</v>
          </cell>
          <cell r="D214">
            <v>846597951</v>
          </cell>
          <cell r="E214">
            <v>0</v>
          </cell>
          <cell r="F214">
            <v>846597951</v>
          </cell>
          <cell r="G214">
            <v>0</v>
          </cell>
          <cell r="H214">
            <v>396339175</v>
          </cell>
        </row>
        <row r="215">
          <cell r="B215">
            <v>7201020103143</v>
          </cell>
          <cell r="D215">
            <v>1058832217</v>
          </cell>
          <cell r="E215">
            <v>0</v>
          </cell>
          <cell r="F215">
            <v>1058832217</v>
          </cell>
          <cell r="G215">
            <v>0</v>
          </cell>
          <cell r="H215">
            <v>374390681</v>
          </cell>
        </row>
        <row r="216">
          <cell r="B216">
            <v>7201040103120</v>
          </cell>
          <cell r="D216">
            <v>4070223325</v>
          </cell>
          <cell r="E216">
            <v>66698425</v>
          </cell>
          <cell r="F216">
            <v>4003524900</v>
          </cell>
          <cell r="G216">
            <v>0</v>
          </cell>
          <cell r="H216">
            <v>8075382875</v>
          </cell>
        </row>
        <row r="217">
          <cell r="B217">
            <v>7201040103131</v>
          </cell>
          <cell r="D217">
            <v>3295150000</v>
          </cell>
          <cell r="E217">
            <v>3242050</v>
          </cell>
          <cell r="F217">
            <v>3291907950</v>
          </cell>
          <cell r="G217">
            <v>0</v>
          </cell>
          <cell r="H217">
            <v>3109084965</v>
          </cell>
        </row>
        <row r="218">
          <cell r="B218">
            <v>7201040103132</v>
          </cell>
          <cell r="D218">
            <v>3230721000</v>
          </cell>
          <cell r="E218">
            <v>0</v>
          </cell>
          <cell r="F218">
            <v>3230721000</v>
          </cell>
          <cell r="G218">
            <v>0</v>
          </cell>
          <cell r="H218">
            <v>2846448535</v>
          </cell>
        </row>
        <row r="219">
          <cell r="B219">
            <v>7201040103133</v>
          </cell>
          <cell r="D219">
            <v>2999521148</v>
          </cell>
          <cell r="E219">
            <v>0</v>
          </cell>
          <cell r="F219">
            <v>2999521148</v>
          </cell>
          <cell r="G219">
            <v>0</v>
          </cell>
          <cell r="H219">
            <v>2197466700</v>
          </cell>
        </row>
        <row r="220">
          <cell r="B220">
            <v>7201040103134</v>
          </cell>
          <cell r="D220">
            <v>540090500</v>
          </cell>
          <cell r="E220">
            <v>5933750</v>
          </cell>
          <cell r="F220">
            <v>534156750</v>
          </cell>
          <cell r="G220">
            <v>0</v>
          </cell>
          <cell r="H220">
            <v>537124289</v>
          </cell>
        </row>
        <row r="221">
          <cell r="B221">
            <v>7201040103135</v>
          </cell>
          <cell r="D221">
            <v>806891299</v>
          </cell>
          <cell r="E221">
            <v>0</v>
          </cell>
          <cell r="F221">
            <v>806891299</v>
          </cell>
          <cell r="G221">
            <v>0</v>
          </cell>
          <cell r="H221">
            <v>523031175</v>
          </cell>
        </row>
        <row r="222">
          <cell r="B222">
            <v>7201040103136</v>
          </cell>
          <cell r="D222">
            <v>2261117300</v>
          </cell>
          <cell r="E222">
            <v>24846350</v>
          </cell>
          <cell r="F222">
            <v>2236270950</v>
          </cell>
          <cell r="G222">
            <v>0</v>
          </cell>
          <cell r="H222">
            <v>2248696035</v>
          </cell>
        </row>
        <row r="223">
          <cell r="B223">
            <v>7201040103141</v>
          </cell>
          <cell r="D223">
            <v>2871754952</v>
          </cell>
          <cell r="E223">
            <v>13681202</v>
          </cell>
          <cell r="F223">
            <v>2858073750</v>
          </cell>
          <cell r="G223">
            <v>0</v>
          </cell>
          <cell r="H223">
            <v>2858250640</v>
          </cell>
        </row>
        <row r="224">
          <cell r="B224">
            <v>7201040103142</v>
          </cell>
          <cell r="D224">
            <v>1806247349</v>
          </cell>
          <cell r="E224">
            <v>0</v>
          </cell>
          <cell r="F224">
            <v>1806247349</v>
          </cell>
          <cell r="G224">
            <v>0</v>
          </cell>
          <cell r="H224">
            <v>1651413230</v>
          </cell>
        </row>
        <row r="225">
          <cell r="B225">
            <v>7201040103143</v>
          </cell>
          <cell r="D225">
            <v>2021342580</v>
          </cell>
          <cell r="E225">
            <v>0</v>
          </cell>
          <cell r="F225">
            <v>2021342580</v>
          </cell>
          <cell r="G225">
            <v>0</v>
          </cell>
          <cell r="H225">
            <v>1559961170</v>
          </cell>
        </row>
        <row r="226">
          <cell r="B226">
            <v>7201210103120</v>
          </cell>
          <cell r="D226">
            <v>1629494333</v>
          </cell>
          <cell r="E226">
            <v>12618774</v>
          </cell>
          <cell r="F226">
            <v>1616875559</v>
          </cell>
          <cell r="G226">
            <v>0</v>
          </cell>
          <cell r="H226">
            <v>2661120000</v>
          </cell>
        </row>
        <row r="227">
          <cell r="B227">
            <v>7201210103131</v>
          </cell>
          <cell r="D227">
            <v>1422092574</v>
          </cell>
          <cell r="E227">
            <v>0</v>
          </cell>
          <cell r="F227">
            <v>1422092574</v>
          </cell>
          <cell r="G227">
            <v>0</v>
          </cell>
          <cell r="H227">
            <v>1330560000</v>
          </cell>
        </row>
        <row r="228">
          <cell r="B228">
            <v>7201210103132</v>
          </cell>
          <cell r="D228">
            <v>1491760092</v>
          </cell>
          <cell r="E228">
            <v>0</v>
          </cell>
          <cell r="F228">
            <v>1491760092</v>
          </cell>
          <cell r="G228">
            <v>0</v>
          </cell>
          <cell r="H228">
            <v>1330560000</v>
          </cell>
        </row>
        <row r="229">
          <cell r="B229">
            <v>7201210103133</v>
          </cell>
          <cell r="D229">
            <v>1352083999</v>
          </cell>
          <cell r="E229">
            <v>0</v>
          </cell>
          <cell r="F229">
            <v>1352083999</v>
          </cell>
          <cell r="G229">
            <v>0</v>
          </cell>
          <cell r="H229">
            <v>950400000</v>
          </cell>
        </row>
        <row r="230">
          <cell r="B230">
            <v>7201210103134</v>
          </cell>
          <cell r="D230">
            <v>362470739</v>
          </cell>
          <cell r="E230">
            <v>0</v>
          </cell>
          <cell r="F230">
            <v>362470739</v>
          </cell>
          <cell r="G230">
            <v>0</v>
          </cell>
          <cell r="H230">
            <v>190080000</v>
          </cell>
        </row>
        <row r="231">
          <cell r="B231">
            <v>7201210103135</v>
          </cell>
          <cell r="D231">
            <v>507023535</v>
          </cell>
          <cell r="E231">
            <v>0</v>
          </cell>
          <cell r="F231">
            <v>507023535</v>
          </cell>
          <cell r="G231">
            <v>0</v>
          </cell>
          <cell r="H231">
            <v>190080000</v>
          </cell>
        </row>
        <row r="232">
          <cell r="B232">
            <v>7201210103136</v>
          </cell>
          <cell r="D232">
            <v>1103205322</v>
          </cell>
          <cell r="E232">
            <v>0</v>
          </cell>
          <cell r="F232">
            <v>1103205322</v>
          </cell>
          <cell r="G232">
            <v>0</v>
          </cell>
          <cell r="H232">
            <v>1140480000</v>
          </cell>
        </row>
        <row r="233">
          <cell r="B233">
            <v>7201210103141</v>
          </cell>
          <cell r="D233">
            <v>1517552071</v>
          </cell>
          <cell r="E233">
            <v>0</v>
          </cell>
          <cell r="F233">
            <v>1517552071</v>
          </cell>
          <cell r="G233">
            <v>0</v>
          </cell>
          <cell r="H233">
            <v>1520640000</v>
          </cell>
        </row>
        <row r="234">
          <cell r="B234">
            <v>7201210103142</v>
          </cell>
          <cell r="D234">
            <v>953110521</v>
          </cell>
          <cell r="E234">
            <v>0</v>
          </cell>
          <cell r="F234">
            <v>953110521</v>
          </cell>
          <cell r="G234">
            <v>0</v>
          </cell>
          <cell r="H234">
            <v>760320000</v>
          </cell>
        </row>
        <row r="235">
          <cell r="B235">
            <v>7201210103143</v>
          </cell>
          <cell r="D235">
            <v>1064301078</v>
          </cell>
          <cell r="E235">
            <v>0</v>
          </cell>
          <cell r="F235">
            <v>1064301078</v>
          </cell>
          <cell r="G235">
            <v>0</v>
          </cell>
          <cell r="H235">
            <v>760320000</v>
          </cell>
        </row>
        <row r="236">
          <cell r="B236">
            <v>7201240103120</v>
          </cell>
          <cell r="D236">
            <v>414658725</v>
          </cell>
          <cell r="E236">
            <v>2904873</v>
          </cell>
          <cell r="F236">
            <v>411753852</v>
          </cell>
          <cell r="G236">
            <v>0</v>
          </cell>
          <cell r="H236">
            <v>784927217</v>
          </cell>
        </row>
        <row r="237">
          <cell r="B237">
            <v>7201240103131</v>
          </cell>
          <cell r="D237">
            <v>335965233</v>
          </cell>
          <cell r="E237">
            <v>0</v>
          </cell>
          <cell r="F237">
            <v>335965233</v>
          </cell>
          <cell r="G237">
            <v>0</v>
          </cell>
          <cell r="H237">
            <v>302203059</v>
          </cell>
        </row>
        <row r="238">
          <cell r="B238">
            <v>7201240103132</v>
          </cell>
          <cell r="D238">
            <v>315163303</v>
          </cell>
          <cell r="E238">
            <v>0</v>
          </cell>
          <cell r="F238">
            <v>315163303</v>
          </cell>
          <cell r="G238">
            <v>0</v>
          </cell>
          <cell r="H238">
            <v>276674796</v>
          </cell>
        </row>
        <row r="239">
          <cell r="B239">
            <v>7201240103133</v>
          </cell>
          <cell r="D239">
            <v>317181532</v>
          </cell>
          <cell r="E239">
            <v>0</v>
          </cell>
          <cell r="F239">
            <v>317181532</v>
          </cell>
          <cell r="G239">
            <v>0</v>
          </cell>
          <cell r="H239">
            <v>213593762</v>
          </cell>
        </row>
        <row r="240">
          <cell r="B240">
            <v>7201240103134</v>
          </cell>
          <cell r="D240">
            <v>79406064</v>
          </cell>
          <cell r="E240">
            <v>0</v>
          </cell>
          <cell r="F240">
            <v>79406064</v>
          </cell>
          <cell r="G240">
            <v>0</v>
          </cell>
          <cell r="H240">
            <v>52208480</v>
          </cell>
        </row>
        <row r="241">
          <cell r="B241">
            <v>7201240103135</v>
          </cell>
          <cell r="D241">
            <v>95446234</v>
          </cell>
          <cell r="E241">
            <v>0</v>
          </cell>
          <cell r="F241">
            <v>95446234</v>
          </cell>
          <cell r="G241">
            <v>0</v>
          </cell>
          <cell r="H241">
            <v>50838630</v>
          </cell>
        </row>
        <row r="242">
          <cell r="B242">
            <v>7201240103136</v>
          </cell>
          <cell r="D242">
            <v>223849240</v>
          </cell>
          <cell r="E242">
            <v>0</v>
          </cell>
          <cell r="F242">
            <v>223849240</v>
          </cell>
          <cell r="G242">
            <v>0</v>
          </cell>
          <cell r="H242">
            <v>218573253</v>
          </cell>
        </row>
        <row r="243">
          <cell r="B243">
            <v>7201240103141</v>
          </cell>
          <cell r="D243">
            <v>297799485</v>
          </cell>
          <cell r="E243">
            <v>0</v>
          </cell>
          <cell r="F243">
            <v>297799485</v>
          </cell>
          <cell r="G243">
            <v>0</v>
          </cell>
          <cell r="H243">
            <v>277821962</v>
          </cell>
        </row>
        <row r="244">
          <cell r="B244">
            <v>7201240103142</v>
          </cell>
          <cell r="D244">
            <v>198255083</v>
          </cell>
          <cell r="E244">
            <v>0</v>
          </cell>
          <cell r="F244">
            <v>198255083</v>
          </cell>
          <cell r="G244">
            <v>0</v>
          </cell>
          <cell r="H244">
            <v>160517367</v>
          </cell>
        </row>
        <row r="245">
          <cell r="B245">
            <v>7201240103143</v>
          </cell>
          <cell r="D245">
            <v>209473958</v>
          </cell>
          <cell r="E245">
            <v>0</v>
          </cell>
          <cell r="F245">
            <v>209473958</v>
          </cell>
          <cell r="G245">
            <v>0</v>
          </cell>
          <cell r="H245">
            <v>151628225</v>
          </cell>
        </row>
        <row r="246">
          <cell r="B246">
            <v>721982010172</v>
          </cell>
          <cell r="D246">
            <v>0</v>
          </cell>
          <cell r="E246">
            <v>121233177276</v>
          </cell>
          <cell r="F246">
            <v>0</v>
          </cell>
          <cell r="G246">
            <v>121233177276</v>
          </cell>
          <cell r="H246">
            <v>0</v>
          </cell>
        </row>
        <row r="247">
          <cell r="B247">
            <v>7300110203120</v>
          </cell>
          <cell r="D247">
            <v>11250000</v>
          </cell>
          <cell r="E247">
            <v>0</v>
          </cell>
          <cell r="F247">
            <v>11250000</v>
          </cell>
          <cell r="G247">
            <v>0</v>
          </cell>
          <cell r="H247">
            <v>0</v>
          </cell>
        </row>
        <row r="248">
          <cell r="B248">
            <v>7300110203240</v>
          </cell>
          <cell r="D248">
            <v>627532180</v>
          </cell>
          <cell r="E248">
            <v>0</v>
          </cell>
          <cell r="F248">
            <v>627532180</v>
          </cell>
          <cell r="G248">
            <v>0</v>
          </cell>
          <cell r="H248">
            <v>0</v>
          </cell>
        </row>
        <row r="249">
          <cell r="B249">
            <v>7300110203250</v>
          </cell>
          <cell r="D249">
            <v>64598901</v>
          </cell>
          <cell r="E249">
            <v>0</v>
          </cell>
          <cell r="F249">
            <v>64598901</v>
          </cell>
          <cell r="G249">
            <v>0</v>
          </cell>
          <cell r="H249">
            <v>0</v>
          </cell>
        </row>
        <row r="250">
          <cell r="B250">
            <v>7300110203251</v>
          </cell>
          <cell r="D250">
            <v>175339874</v>
          </cell>
          <cell r="E250">
            <v>0</v>
          </cell>
          <cell r="F250">
            <v>175339874</v>
          </cell>
          <cell r="G250">
            <v>0</v>
          </cell>
          <cell r="H250">
            <v>0</v>
          </cell>
        </row>
        <row r="251">
          <cell r="B251">
            <v>7300110203260</v>
          </cell>
          <cell r="D251">
            <v>682902667</v>
          </cell>
          <cell r="E251">
            <v>0</v>
          </cell>
          <cell r="F251">
            <v>682902667</v>
          </cell>
          <cell r="G251">
            <v>0</v>
          </cell>
          <cell r="H251">
            <v>0</v>
          </cell>
        </row>
        <row r="252">
          <cell r="B252">
            <v>7300110303131</v>
          </cell>
          <cell r="D252">
            <v>4600000</v>
          </cell>
          <cell r="E252">
            <v>0</v>
          </cell>
          <cell r="F252">
            <v>4600000</v>
          </cell>
          <cell r="G252">
            <v>0</v>
          </cell>
          <cell r="H252">
            <v>0</v>
          </cell>
        </row>
        <row r="253">
          <cell r="B253">
            <v>7300110303134</v>
          </cell>
          <cell r="D253">
            <v>9200000</v>
          </cell>
          <cell r="E253">
            <v>0</v>
          </cell>
          <cell r="F253">
            <v>9200000</v>
          </cell>
          <cell r="G253">
            <v>0</v>
          </cell>
          <cell r="H253">
            <v>0</v>
          </cell>
        </row>
        <row r="254">
          <cell r="B254">
            <v>7300110303270</v>
          </cell>
          <cell r="D254">
            <v>6900000</v>
          </cell>
          <cell r="E254">
            <v>0</v>
          </cell>
          <cell r="F254">
            <v>6900000</v>
          </cell>
          <cell r="G254">
            <v>0</v>
          </cell>
          <cell r="H254">
            <v>0</v>
          </cell>
        </row>
        <row r="255">
          <cell r="B255">
            <v>7300110503131</v>
          </cell>
          <cell r="D255">
            <v>24375000</v>
          </cell>
          <cell r="E255">
            <v>0</v>
          </cell>
          <cell r="F255">
            <v>24375000</v>
          </cell>
          <cell r="G255">
            <v>0</v>
          </cell>
          <cell r="H255">
            <v>0</v>
          </cell>
        </row>
        <row r="256">
          <cell r="B256">
            <v>7300110503141</v>
          </cell>
          <cell r="D256">
            <v>12250000</v>
          </cell>
          <cell r="E256">
            <v>0</v>
          </cell>
          <cell r="F256">
            <v>12250000</v>
          </cell>
          <cell r="G256">
            <v>0</v>
          </cell>
          <cell r="H256">
            <v>0</v>
          </cell>
        </row>
        <row r="257">
          <cell r="B257">
            <v>7300110503142</v>
          </cell>
          <cell r="D257">
            <v>16250000</v>
          </cell>
          <cell r="E257">
            <v>0</v>
          </cell>
          <cell r="F257">
            <v>16250000</v>
          </cell>
          <cell r="G257">
            <v>0</v>
          </cell>
          <cell r="H257">
            <v>0</v>
          </cell>
        </row>
        <row r="258">
          <cell r="B258">
            <v>7300110603120</v>
          </cell>
          <cell r="D258">
            <v>823830929</v>
          </cell>
          <cell r="E258">
            <v>0</v>
          </cell>
          <cell r="F258">
            <v>823830929</v>
          </cell>
          <cell r="G258">
            <v>0</v>
          </cell>
          <cell r="H258">
            <v>0</v>
          </cell>
        </row>
        <row r="259">
          <cell r="B259">
            <v>7300110603141</v>
          </cell>
          <cell r="D259">
            <v>75309734</v>
          </cell>
          <cell r="E259">
            <v>0</v>
          </cell>
          <cell r="F259">
            <v>75309734</v>
          </cell>
          <cell r="G259">
            <v>0</v>
          </cell>
          <cell r="H259">
            <v>0</v>
          </cell>
        </row>
        <row r="260">
          <cell r="B260">
            <v>7300110603250</v>
          </cell>
          <cell r="D260">
            <v>648246779</v>
          </cell>
          <cell r="E260">
            <v>0</v>
          </cell>
          <cell r="F260">
            <v>648246779</v>
          </cell>
          <cell r="G260">
            <v>0</v>
          </cell>
          <cell r="H260">
            <v>0</v>
          </cell>
        </row>
        <row r="261">
          <cell r="B261">
            <v>7300110703251</v>
          </cell>
          <cell r="D261">
            <v>54577711</v>
          </cell>
          <cell r="E261">
            <v>0</v>
          </cell>
          <cell r="F261">
            <v>54577711</v>
          </cell>
          <cell r="G261">
            <v>0</v>
          </cell>
          <cell r="H261">
            <v>0</v>
          </cell>
        </row>
        <row r="262">
          <cell r="B262">
            <v>7300110803132</v>
          </cell>
          <cell r="D262">
            <v>113463279</v>
          </cell>
          <cell r="E262">
            <v>0</v>
          </cell>
          <cell r="F262">
            <v>113463279</v>
          </cell>
          <cell r="G262">
            <v>0</v>
          </cell>
          <cell r="H262">
            <v>0</v>
          </cell>
        </row>
        <row r="263">
          <cell r="B263">
            <v>7300110803136</v>
          </cell>
          <cell r="D263">
            <v>5114012379</v>
          </cell>
          <cell r="E263">
            <v>0</v>
          </cell>
          <cell r="F263">
            <v>5114012379</v>
          </cell>
          <cell r="G263">
            <v>0</v>
          </cell>
          <cell r="H263">
            <v>0</v>
          </cell>
        </row>
        <row r="264">
          <cell r="B264">
            <v>7300110803141</v>
          </cell>
          <cell r="D264">
            <v>4057688958</v>
          </cell>
          <cell r="E264">
            <v>0</v>
          </cell>
          <cell r="F264">
            <v>4057688958</v>
          </cell>
          <cell r="G264">
            <v>0</v>
          </cell>
          <cell r="H264">
            <v>0</v>
          </cell>
        </row>
        <row r="265">
          <cell r="B265">
            <v>7300110803143</v>
          </cell>
          <cell r="D265">
            <v>8837301184</v>
          </cell>
          <cell r="E265">
            <v>0</v>
          </cell>
          <cell r="F265">
            <v>8837301184</v>
          </cell>
          <cell r="G265">
            <v>0</v>
          </cell>
          <cell r="H265">
            <v>0</v>
          </cell>
        </row>
        <row r="266">
          <cell r="B266">
            <v>7300119803131</v>
          </cell>
          <cell r="D266">
            <v>6639463</v>
          </cell>
          <cell r="E266">
            <v>0</v>
          </cell>
          <cell r="F266">
            <v>6639463</v>
          </cell>
          <cell r="G266">
            <v>0</v>
          </cell>
          <cell r="H266">
            <v>0</v>
          </cell>
        </row>
        <row r="267">
          <cell r="B267">
            <v>7300119803132</v>
          </cell>
          <cell r="D267">
            <v>6639463</v>
          </cell>
          <cell r="E267">
            <v>0</v>
          </cell>
          <cell r="F267">
            <v>6639463</v>
          </cell>
          <cell r="G267">
            <v>0</v>
          </cell>
          <cell r="H267">
            <v>0</v>
          </cell>
        </row>
        <row r="268">
          <cell r="B268">
            <v>7300119803133</v>
          </cell>
          <cell r="D268">
            <v>19918388</v>
          </cell>
          <cell r="E268">
            <v>0</v>
          </cell>
          <cell r="F268">
            <v>19918388</v>
          </cell>
          <cell r="G268">
            <v>0</v>
          </cell>
          <cell r="H268">
            <v>0</v>
          </cell>
        </row>
        <row r="269">
          <cell r="B269">
            <v>7300119803134</v>
          </cell>
          <cell r="D269">
            <v>6639463</v>
          </cell>
          <cell r="E269">
            <v>0</v>
          </cell>
          <cell r="F269">
            <v>6639463</v>
          </cell>
          <cell r="G269">
            <v>0</v>
          </cell>
          <cell r="H269">
            <v>0</v>
          </cell>
        </row>
        <row r="270">
          <cell r="B270">
            <v>7300119803270</v>
          </cell>
          <cell r="D270">
            <v>2016598858</v>
          </cell>
          <cell r="E270">
            <v>0</v>
          </cell>
          <cell r="F270">
            <v>2016598858</v>
          </cell>
          <cell r="G270">
            <v>0</v>
          </cell>
          <cell r="H270">
            <v>0</v>
          </cell>
        </row>
        <row r="271">
          <cell r="B271">
            <v>7300119903120</v>
          </cell>
          <cell r="D271">
            <v>1760595160</v>
          </cell>
          <cell r="E271">
            <v>0</v>
          </cell>
          <cell r="F271">
            <v>1760595160</v>
          </cell>
          <cell r="G271">
            <v>0</v>
          </cell>
          <cell r="H271">
            <v>0</v>
          </cell>
        </row>
        <row r="272">
          <cell r="B272">
            <v>7300119903270</v>
          </cell>
          <cell r="D272">
            <v>32423026970</v>
          </cell>
          <cell r="E272">
            <v>325394945</v>
          </cell>
          <cell r="F272">
            <v>32097632025</v>
          </cell>
          <cell r="G272">
            <v>0</v>
          </cell>
          <cell r="H272">
            <v>0</v>
          </cell>
        </row>
        <row r="273">
          <cell r="B273">
            <v>7300150103131</v>
          </cell>
          <cell r="D273">
            <v>141800359</v>
          </cell>
          <cell r="E273">
            <v>0</v>
          </cell>
          <cell r="F273">
            <v>141800359</v>
          </cell>
          <cell r="G273">
            <v>0</v>
          </cell>
          <cell r="H273">
            <v>0</v>
          </cell>
        </row>
        <row r="274">
          <cell r="B274">
            <v>7300150103133</v>
          </cell>
          <cell r="D274">
            <v>349458910</v>
          </cell>
          <cell r="E274">
            <v>0</v>
          </cell>
          <cell r="F274">
            <v>349458910</v>
          </cell>
          <cell r="G274">
            <v>0</v>
          </cell>
          <cell r="H274">
            <v>0</v>
          </cell>
        </row>
        <row r="275">
          <cell r="B275">
            <v>7300150103136</v>
          </cell>
          <cell r="D275">
            <v>96300000</v>
          </cell>
          <cell r="E275">
            <v>0</v>
          </cell>
          <cell r="F275">
            <v>96300000</v>
          </cell>
          <cell r="G275">
            <v>0</v>
          </cell>
          <cell r="H275">
            <v>0</v>
          </cell>
        </row>
        <row r="276">
          <cell r="B276">
            <v>7300150103142</v>
          </cell>
          <cell r="D276">
            <v>68866445</v>
          </cell>
          <cell r="E276">
            <v>0</v>
          </cell>
          <cell r="F276">
            <v>68866445</v>
          </cell>
          <cell r="G276">
            <v>0</v>
          </cell>
          <cell r="H276">
            <v>0</v>
          </cell>
        </row>
        <row r="277">
          <cell r="B277">
            <v>7300150103230</v>
          </cell>
          <cell r="D277">
            <v>7695993135</v>
          </cell>
          <cell r="E277">
            <v>0</v>
          </cell>
          <cell r="F277">
            <v>7695993135</v>
          </cell>
          <cell r="G277">
            <v>0</v>
          </cell>
          <cell r="H277">
            <v>0</v>
          </cell>
        </row>
        <row r="278">
          <cell r="B278">
            <v>7300150103231</v>
          </cell>
          <cell r="D278">
            <v>470036642</v>
          </cell>
          <cell r="E278">
            <v>0</v>
          </cell>
          <cell r="F278">
            <v>470036642</v>
          </cell>
          <cell r="G278">
            <v>0</v>
          </cell>
          <cell r="H278">
            <v>0</v>
          </cell>
        </row>
        <row r="279">
          <cell r="B279">
            <v>7300150303133</v>
          </cell>
          <cell r="D279">
            <v>97965000</v>
          </cell>
          <cell r="E279">
            <v>0</v>
          </cell>
          <cell r="F279">
            <v>97965000</v>
          </cell>
          <cell r="G279">
            <v>0</v>
          </cell>
          <cell r="H279">
            <v>0</v>
          </cell>
        </row>
        <row r="280">
          <cell r="B280">
            <v>7300150303135</v>
          </cell>
          <cell r="D280">
            <v>55300000</v>
          </cell>
          <cell r="E280">
            <v>0</v>
          </cell>
          <cell r="F280">
            <v>55300000</v>
          </cell>
          <cell r="G280">
            <v>0</v>
          </cell>
          <cell r="H280">
            <v>0</v>
          </cell>
        </row>
        <row r="281">
          <cell r="B281">
            <v>7300150303142</v>
          </cell>
          <cell r="D281">
            <v>7900000</v>
          </cell>
          <cell r="E281">
            <v>0</v>
          </cell>
          <cell r="F281">
            <v>7900000</v>
          </cell>
          <cell r="G281">
            <v>0</v>
          </cell>
          <cell r="H281">
            <v>0</v>
          </cell>
        </row>
        <row r="282">
          <cell r="B282">
            <v>7300150403230</v>
          </cell>
          <cell r="D282">
            <v>8251951653</v>
          </cell>
          <cell r="E282">
            <v>0</v>
          </cell>
          <cell r="F282">
            <v>8251951653</v>
          </cell>
          <cell r="G282">
            <v>0</v>
          </cell>
          <cell r="H282">
            <v>0</v>
          </cell>
        </row>
        <row r="283">
          <cell r="B283">
            <v>7300150503131</v>
          </cell>
          <cell r="D283">
            <v>2951678168</v>
          </cell>
          <cell r="E283">
            <v>0</v>
          </cell>
          <cell r="F283">
            <v>2951678168</v>
          </cell>
          <cell r="G283">
            <v>0</v>
          </cell>
          <cell r="H283">
            <v>0</v>
          </cell>
        </row>
        <row r="284">
          <cell r="B284">
            <v>7300150503132</v>
          </cell>
          <cell r="D284">
            <v>3131550692</v>
          </cell>
          <cell r="E284">
            <v>0</v>
          </cell>
          <cell r="F284">
            <v>3131550692</v>
          </cell>
          <cell r="G284">
            <v>0</v>
          </cell>
          <cell r="H284">
            <v>0</v>
          </cell>
        </row>
        <row r="285">
          <cell r="B285">
            <v>7300150503133</v>
          </cell>
          <cell r="D285">
            <v>2672561031</v>
          </cell>
          <cell r="E285">
            <v>0</v>
          </cell>
          <cell r="F285">
            <v>2672561031</v>
          </cell>
          <cell r="G285">
            <v>0</v>
          </cell>
          <cell r="H285">
            <v>0</v>
          </cell>
        </row>
        <row r="286">
          <cell r="B286">
            <v>7300150503134</v>
          </cell>
          <cell r="D286">
            <v>975899225</v>
          </cell>
          <cell r="E286">
            <v>0</v>
          </cell>
          <cell r="F286">
            <v>975899225</v>
          </cell>
          <cell r="G286">
            <v>0</v>
          </cell>
          <cell r="H286">
            <v>0</v>
          </cell>
        </row>
        <row r="287">
          <cell r="B287">
            <v>7300150503135</v>
          </cell>
          <cell r="D287">
            <v>1676945802</v>
          </cell>
          <cell r="E287">
            <v>0</v>
          </cell>
          <cell r="F287">
            <v>1676945802</v>
          </cell>
          <cell r="G287">
            <v>0</v>
          </cell>
          <cell r="H287">
            <v>0</v>
          </cell>
        </row>
        <row r="288">
          <cell r="B288">
            <v>7300150503136</v>
          </cell>
          <cell r="D288">
            <v>2858946709</v>
          </cell>
          <cell r="E288">
            <v>0</v>
          </cell>
          <cell r="F288">
            <v>2858946709</v>
          </cell>
          <cell r="G288">
            <v>0</v>
          </cell>
          <cell r="H288">
            <v>0</v>
          </cell>
        </row>
        <row r="289">
          <cell r="B289">
            <v>7300150503141</v>
          </cell>
          <cell r="D289">
            <v>7989627528</v>
          </cell>
          <cell r="E289">
            <v>0</v>
          </cell>
          <cell r="F289">
            <v>7989627528</v>
          </cell>
          <cell r="G289">
            <v>0</v>
          </cell>
          <cell r="H289">
            <v>0</v>
          </cell>
        </row>
        <row r="290">
          <cell r="B290">
            <v>7300150503142</v>
          </cell>
          <cell r="D290">
            <v>1885005495</v>
          </cell>
          <cell r="E290">
            <v>0</v>
          </cell>
          <cell r="F290">
            <v>1885005495</v>
          </cell>
          <cell r="G290">
            <v>0</v>
          </cell>
          <cell r="H290">
            <v>0</v>
          </cell>
        </row>
        <row r="291">
          <cell r="B291">
            <v>7300150503143</v>
          </cell>
          <cell r="D291">
            <v>3293944212</v>
          </cell>
          <cell r="E291">
            <v>0</v>
          </cell>
          <cell r="F291">
            <v>3293944212</v>
          </cell>
          <cell r="G291">
            <v>0</v>
          </cell>
          <cell r="H291">
            <v>0</v>
          </cell>
        </row>
        <row r="292">
          <cell r="B292">
            <v>7300159903320</v>
          </cell>
          <cell r="D292">
            <v>1139546659</v>
          </cell>
          <cell r="E292">
            <v>0</v>
          </cell>
          <cell r="F292">
            <v>1139546659</v>
          </cell>
          <cell r="G292">
            <v>0</v>
          </cell>
          <cell r="H292">
            <v>0</v>
          </cell>
        </row>
        <row r="293">
          <cell r="B293">
            <v>7303030103120</v>
          </cell>
          <cell r="D293">
            <v>46652663392</v>
          </cell>
          <cell r="E293">
            <v>39976724</v>
          </cell>
          <cell r="F293">
            <v>46612686668</v>
          </cell>
          <cell r="G293">
            <v>0</v>
          </cell>
          <cell r="H293">
            <v>0</v>
          </cell>
        </row>
        <row r="294">
          <cell r="B294">
            <v>7303040103120</v>
          </cell>
          <cell r="D294">
            <v>21532271660</v>
          </cell>
          <cell r="E294">
            <v>0</v>
          </cell>
          <cell r="F294">
            <v>21532271660</v>
          </cell>
          <cell r="G294">
            <v>0</v>
          </cell>
          <cell r="H294">
            <v>0</v>
          </cell>
        </row>
        <row r="295">
          <cell r="B295">
            <v>7303040103210</v>
          </cell>
          <cell r="D295">
            <v>17617313181</v>
          </cell>
          <cell r="E295">
            <v>0</v>
          </cell>
          <cell r="F295">
            <v>17617313181</v>
          </cell>
          <cell r="G295">
            <v>0</v>
          </cell>
          <cell r="H295">
            <v>0</v>
          </cell>
        </row>
        <row r="296">
          <cell r="B296">
            <v>731983010172</v>
          </cell>
          <cell r="D296">
            <v>0</v>
          </cell>
          <cell r="E296">
            <v>188847841569</v>
          </cell>
          <cell r="F296">
            <v>0</v>
          </cell>
          <cell r="G296">
            <v>188847841569</v>
          </cell>
          <cell r="H296">
            <v>0</v>
          </cell>
        </row>
        <row r="297">
          <cell r="B297">
            <v>7350211103120</v>
          </cell>
          <cell r="D297">
            <v>110228242</v>
          </cell>
          <cell r="E297">
            <v>4000000</v>
          </cell>
          <cell r="F297">
            <v>106228242</v>
          </cell>
          <cell r="G297">
            <v>0</v>
          </cell>
          <cell r="H297">
            <v>0</v>
          </cell>
        </row>
        <row r="298">
          <cell r="B298">
            <v>7350211103131</v>
          </cell>
          <cell r="D298">
            <v>70187801</v>
          </cell>
          <cell r="E298">
            <v>0</v>
          </cell>
          <cell r="F298">
            <v>70187801</v>
          </cell>
          <cell r="G298">
            <v>0</v>
          </cell>
          <cell r="H298">
            <v>0</v>
          </cell>
        </row>
        <row r="299">
          <cell r="B299">
            <v>7350211103132</v>
          </cell>
          <cell r="D299">
            <v>35010497</v>
          </cell>
          <cell r="E299">
            <v>0</v>
          </cell>
          <cell r="F299">
            <v>35010497</v>
          </cell>
          <cell r="G299">
            <v>0</v>
          </cell>
          <cell r="H299">
            <v>0</v>
          </cell>
        </row>
        <row r="300">
          <cell r="B300">
            <v>7350211103133</v>
          </cell>
          <cell r="D300">
            <v>60906876</v>
          </cell>
          <cell r="E300">
            <v>0</v>
          </cell>
          <cell r="F300">
            <v>60906876</v>
          </cell>
          <cell r="G300">
            <v>0</v>
          </cell>
          <cell r="H300">
            <v>0</v>
          </cell>
        </row>
        <row r="301">
          <cell r="B301">
            <v>7350211103134</v>
          </cell>
          <cell r="D301">
            <v>1850000</v>
          </cell>
          <cell r="E301">
            <v>0</v>
          </cell>
          <cell r="F301">
            <v>1850000</v>
          </cell>
          <cell r="G301">
            <v>0</v>
          </cell>
          <cell r="H301">
            <v>0</v>
          </cell>
        </row>
        <row r="302">
          <cell r="B302">
            <v>7350211103135</v>
          </cell>
          <cell r="D302">
            <v>7700000</v>
          </cell>
          <cell r="E302">
            <v>0</v>
          </cell>
          <cell r="F302">
            <v>7700000</v>
          </cell>
          <cell r="G302">
            <v>0</v>
          </cell>
          <cell r="H302">
            <v>0</v>
          </cell>
        </row>
        <row r="303">
          <cell r="B303">
            <v>7350211103136</v>
          </cell>
          <cell r="D303">
            <v>88704482</v>
          </cell>
          <cell r="E303">
            <v>0</v>
          </cell>
          <cell r="F303">
            <v>88704482</v>
          </cell>
          <cell r="G303">
            <v>0</v>
          </cell>
          <cell r="H303">
            <v>0</v>
          </cell>
        </row>
        <row r="304">
          <cell r="B304">
            <v>7350211103141</v>
          </cell>
          <cell r="D304">
            <v>4338662</v>
          </cell>
          <cell r="E304">
            <v>0</v>
          </cell>
          <cell r="F304">
            <v>4338662</v>
          </cell>
          <cell r="G304">
            <v>0</v>
          </cell>
          <cell r="H304">
            <v>0</v>
          </cell>
        </row>
        <row r="305">
          <cell r="B305">
            <v>7350211103142</v>
          </cell>
          <cell r="D305">
            <v>1147142</v>
          </cell>
          <cell r="E305">
            <v>0</v>
          </cell>
          <cell r="F305">
            <v>1147142</v>
          </cell>
          <cell r="G305">
            <v>0</v>
          </cell>
          <cell r="H305">
            <v>0</v>
          </cell>
        </row>
        <row r="306">
          <cell r="B306">
            <v>7350211103251</v>
          </cell>
          <cell r="D306">
            <v>14200000</v>
          </cell>
          <cell r="E306">
            <v>0</v>
          </cell>
          <cell r="F306">
            <v>14200000</v>
          </cell>
          <cell r="G306">
            <v>0</v>
          </cell>
          <cell r="H306">
            <v>0</v>
          </cell>
        </row>
        <row r="307">
          <cell r="B307">
            <v>7350211103260</v>
          </cell>
          <cell r="D307">
            <v>2521061</v>
          </cell>
          <cell r="E307">
            <v>0</v>
          </cell>
          <cell r="F307">
            <v>2521061</v>
          </cell>
          <cell r="G307">
            <v>0</v>
          </cell>
          <cell r="H307">
            <v>0</v>
          </cell>
        </row>
        <row r="308">
          <cell r="B308">
            <v>7350211103290</v>
          </cell>
          <cell r="D308">
            <v>3458183</v>
          </cell>
          <cell r="E308">
            <v>0</v>
          </cell>
          <cell r="F308">
            <v>3458183</v>
          </cell>
          <cell r="G308">
            <v>0</v>
          </cell>
          <cell r="H308">
            <v>0</v>
          </cell>
        </row>
        <row r="309">
          <cell r="B309">
            <v>7350211403131</v>
          </cell>
          <cell r="D309">
            <v>1500000</v>
          </cell>
          <cell r="E309">
            <v>0</v>
          </cell>
          <cell r="F309">
            <v>1500000</v>
          </cell>
          <cell r="G309">
            <v>0</v>
          </cell>
          <cell r="H309">
            <v>0</v>
          </cell>
        </row>
        <row r="310">
          <cell r="B310">
            <v>7350211403250</v>
          </cell>
          <cell r="D310">
            <v>121170250</v>
          </cell>
          <cell r="E310">
            <v>0</v>
          </cell>
          <cell r="F310">
            <v>121170250</v>
          </cell>
          <cell r="G310">
            <v>0</v>
          </cell>
          <cell r="H310">
            <v>0</v>
          </cell>
        </row>
        <row r="311">
          <cell r="B311">
            <v>7350211403251</v>
          </cell>
          <cell r="D311">
            <v>13268290</v>
          </cell>
          <cell r="E311">
            <v>0</v>
          </cell>
          <cell r="F311">
            <v>13268290</v>
          </cell>
          <cell r="G311">
            <v>0</v>
          </cell>
          <cell r="H311">
            <v>0</v>
          </cell>
        </row>
        <row r="312">
          <cell r="B312">
            <v>7350211403260</v>
          </cell>
          <cell r="D312">
            <v>1819324230</v>
          </cell>
          <cell r="E312">
            <v>0</v>
          </cell>
          <cell r="F312">
            <v>1819324230</v>
          </cell>
          <cell r="G312">
            <v>0</v>
          </cell>
          <cell r="H312">
            <v>0</v>
          </cell>
        </row>
        <row r="313">
          <cell r="B313">
            <v>7350211503260</v>
          </cell>
          <cell r="D313">
            <v>814138283</v>
          </cell>
          <cell r="E313">
            <v>0</v>
          </cell>
          <cell r="F313">
            <v>814138283</v>
          </cell>
          <cell r="G313">
            <v>0</v>
          </cell>
          <cell r="H313">
            <v>0</v>
          </cell>
        </row>
        <row r="314">
          <cell r="B314">
            <v>7350211503320</v>
          </cell>
          <cell r="D314">
            <v>14653015</v>
          </cell>
          <cell r="E314">
            <v>0</v>
          </cell>
          <cell r="F314">
            <v>14653015</v>
          </cell>
          <cell r="G314">
            <v>0</v>
          </cell>
          <cell r="H314">
            <v>0</v>
          </cell>
        </row>
        <row r="315">
          <cell r="B315">
            <v>7350211603120</v>
          </cell>
          <cell r="D315">
            <v>673473</v>
          </cell>
          <cell r="E315">
            <v>0</v>
          </cell>
          <cell r="F315">
            <v>673473</v>
          </cell>
          <cell r="G315">
            <v>0</v>
          </cell>
          <cell r="H315">
            <v>0</v>
          </cell>
        </row>
        <row r="316">
          <cell r="B316">
            <v>7350211603133</v>
          </cell>
          <cell r="D316">
            <v>1032450</v>
          </cell>
          <cell r="E316">
            <v>0</v>
          </cell>
          <cell r="F316">
            <v>1032450</v>
          </cell>
          <cell r="G316">
            <v>0</v>
          </cell>
          <cell r="H316">
            <v>0</v>
          </cell>
        </row>
        <row r="317">
          <cell r="B317">
            <v>7350211603141</v>
          </cell>
          <cell r="D317">
            <v>50000</v>
          </cell>
          <cell r="E317">
            <v>0</v>
          </cell>
          <cell r="F317">
            <v>50000</v>
          </cell>
          <cell r="G317">
            <v>0</v>
          </cell>
          <cell r="H317">
            <v>0</v>
          </cell>
        </row>
        <row r="318">
          <cell r="B318">
            <v>7350211603251</v>
          </cell>
          <cell r="D318">
            <v>1063000</v>
          </cell>
          <cell r="E318">
            <v>0</v>
          </cell>
          <cell r="F318">
            <v>1063000</v>
          </cell>
          <cell r="G318">
            <v>0</v>
          </cell>
          <cell r="H318">
            <v>0</v>
          </cell>
        </row>
        <row r="319">
          <cell r="B319">
            <v>7350211603260</v>
          </cell>
          <cell r="D319">
            <v>56000</v>
          </cell>
          <cell r="E319">
            <v>0</v>
          </cell>
          <cell r="F319">
            <v>56000</v>
          </cell>
          <cell r="G319">
            <v>0</v>
          </cell>
          <cell r="H319">
            <v>0</v>
          </cell>
        </row>
        <row r="320">
          <cell r="B320">
            <v>7350211603320</v>
          </cell>
          <cell r="D320">
            <v>45400</v>
          </cell>
          <cell r="E320">
            <v>0</v>
          </cell>
          <cell r="F320">
            <v>45400</v>
          </cell>
          <cell r="G320">
            <v>0</v>
          </cell>
          <cell r="H320">
            <v>0</v>
          </cell>
        </row>
        <row r="321">
          <cell r="B321">
            <v>7350211703120</v>
          </cell>
          <cell r="D321">
            <v>6893956231</v>
          </cell>
          <cell r="E321">
            <v>0</v>
          </cell>
          <cell r="F321">
            <v>6893956231</v>
          </cell>
          <cell r="G321">
            <v>0</v>
          </cell>
          <cell r="H321">
            <v>0</v>
          </cell>
        </row>
        <row r="322">
          <cell r="B322">
            <v>7350211703131</v>
          </cell>
          <cell r="D322">
            <v>1372025837</v>
          </cell>
          <cell r="E322">
            <v>0</v>
          </cell>
          <cell r="F322">
            <v>1372025837</v>
          </cell>
          <cell r="G322">
            <v>0</v>
          </cell>
          <cell r="H322">
            <v>0</v>
          </cell>
        </row>
        <row r="323">
          <cell r="B323">
            <v>7350211703132</v>
          </cell>
          <cell r="D323">
            <v>1737697697</v>
          </cell>
          <cell r="E323">
            <v>0</v>
          </cell>
          <cell r="F323">
            <v>1737697697</v>
          </cell>
          <cell r="G323">
            <v>0</v>
          </cell>
          <cell r="H323">
            <v>0</v>
          </cell>
        </row>
        <row r="324">
          <cell r="B324">
            <v>7350211703133</v>
          </cell>
          <cell r="D324">
            <v>1629156277</v>
          </cell>
          <cell r="E324">
            <v>0</v>
          </cell>
          <cell r="F324">
            <v>1629156277</v>
          </cell>
          <cell r="G324">
            <v>0</v>
          </cell>
          <cell r="H324">
            <v>0</v>
          </cell>
        </row>
        <row r="325">
          <cell r="B325">
            <v>7350211703134</v>
          </cell>
          <cell r="D325">
            <v>313756674</v>
          </cell>
          <cell r="E325">
            <v>0</v>
          </cell>
          <cell r="F325">
            <v>313756674</v>
          </cell>
          <cell r="G325">
            <v>0</v>
          </cell>
          <cell r="H325">
            <v>0</v>
          </cell>
        </row>
        <row r="326">
          <cell r="B326">
            <v>7350211703135</v>
          </cell>
          <cell r="D326">
            <v>176426714</v>
          </cell>
          <cell r="E326">
            <v>0</v>
          </cell>
          <cell r="F326">
            <v>176426714</v>
          </cell>
          <cell r="G326">
            <v>0</v>
          </cell>
          <cell r="H326">
            <v>0</v>
          </cell>
        </row>
        <row r="327">
          <cell r="B327">
            <v>7350211703136</v>
          </cell>
          <cell r="D327">
            <v>1518432437</v>
          </cell>
          <cell r="E327">
            <v>0</v>
          </cell>
          <cell r="F327">
            <v>1518432437</v>
          </cell>
          <cell r="G327">
            <v>0</v>
          </cell>
          <cell r="H327">
            <v>0</v>
          </cell>
        </row>
        <row r="328">
          <cell r="B328">
            <v>7350211703141</v>
          </cell>
          <cell r="D328">
            <v>6964391752</v>
          </cell>
          <cell r="E328">
            <v>0</v>
          </cell>
          <cell r="F328">
            <v>6964391752</v>
          </cell>
          <cell r="G328">
            <v>0</v>
          </cell>
          <cell r="H328">
            <v>0</v>
          </cell>
        </row>
        <row r="329">
          <cell r="B329">
            <v>7350211703142</v>
          </cell>
          <cell r="D329">
            <v>124116394</v>
          </cell>
          <cell r="E329">
            <v>0</v>
          </cell>
          <cell r="F329">
            <v>124116394</v>
          </cell>
          <cell r="G329">
            <v>0</v>
          </cell>
          <cell r="H329">
            <v>0</v>
          </cell>
        </row>
        <row r="330">
          <cell r="B330">
            <v>7350211703143</v>
          </cell>
          <cell r="D330">
            <v>1472740225</v>
          </cell>
          <cell r="E330">
            <v>0</v>
          </cell>
          <cell r="F330">
            <v>1472740225</v>
          </cell>
          <cell r="G330">
            <v>0</v>
          </cell>
          <cell r="H330">
            <v>0</v>
          </cell>
        </row>
        <row r="331">
          <cell r="B331">
            <v>7350211703230</v>
          </cell>
          <cell r="D331">
            <v>2130894165</v>
          </cell>
          <cell r="E331">
            <v>0</v>
          </cell>
          <cell r="F331">
            <v>2130894165</v>
          </cell>
          <cell r="G331">
            <v>0</v>
          </cell>
          <cell r="H331">
            <v>0</v>
          </cell>
        </row>
        <row r="332">
          <cell r="B332">
            <v>7350211703251</v>
          </cell>
          <cell r="D332">
            <v>504082</v>
          </cell>
          <cell r="E332">
            <v>0</v>
          </cell>
          <cell r="F332">
            <v>504082</v>
          </cell>
          <cell r="G332">
            <v>0</v>
          </cell>
          <cell r="H332">
            <v>0</v>
          </cell>
        </row>
        <row r="333">
          <cell r="B333">
            <v>7350211703260</v>
          </cell>
          <cell r="D333">
            <v>7500000</v>
          </cell>
          <cell r="E333">
            <v>0</v>
          </cell>
          <cell r="F333">
            <v>7500000</v>
          </cell>
          <cell r="G333">
            <v>0</v>
          </cell>
          <cell r="H333">
            <v>0</v>
          </cell>
        </row>
        <row r="334">
          <cell r="B334">
            <v>7350211703270</v>
          </cell>
          <cell r="D334">
            <v>690934111</v>
          </cell>
          <cell r="E334">
            <v>0</v>
          </cell>
          <cell r="F334">
            <v>690934111</v>
          </cell>
          <cell r="G334">
            <v>0</v>
          </cell>
          <cell r="H334">
            <v>0</v>
          </cell>
        </row>
        <row r="335">
          <cell r="B335">
            <v>7350211703320</v>
          </cell>
          <cell r="D335">
            <v>84039092</v>
          </cell>
          <cell r="E335">
            <v>0</v>
          </cell>
          <cell r="F335">
            <v>84039092</v>
          </cell>
          <cell r="G335">
            <v>0</v>
          </cell>
          <cell r="H335">
            <v>0</v>
          </cell>
        </row>
        <row r="336">
          <cell r="B336">
            <v>7350211703340</v>
          </cell>
          <cell r="D336">
            <v>106078320</v>
          </cell>
          <cell r="E336">
            <v>0</v>
          </cell>
          <cell r="F336">
            <v>106078320</v>
          </cell>
          <cell r="G336">
            <v>0</v>
          </cell>
          <cell r="H336">
            <v>0</v>
          </cell>
        </row>
        <row r="337">
          <cell r="B337">
            <v>7350310103120</v>
          </cell>
          <cell r="D337">
            <v>77202552</v>
          </cell>
          <cell r="E337">
            <v>0</v>
          </cell>
          <cell r="F337">
            <v>77202552</v>
          </cell>
          <cell r="G337">
            <v>0</v>
          </cell>
          <cell r="H337">
            <v>0</v>
          </cell>
        </row>
        <row r="338">
          <cell r="B338">
            <v>7350310103132</v>
          </cell>
          <cell r="D338">
            <v>11891992</v>
          </cell>
          <cell r="E338">
            <v>0</v>
          </cell>
          <cell r="F338">
            <v>11891992</v>
          </cell>
          <cell r="G338">
            <v>0</v>
          </cell>
          <cell r="H338">
            <v>0</v>
          </cell>
        </row>
        <row r="339">
          <cell r="B339">
            <v>7350310103133</v>
          </cell>
          <cell r="D339">
            <v>557523</v>
          </cell>
          <cell r="E339">
            <v>0</v>
          </cell>
          <cell r="F339">
            <v>557523</v>
          </cell>
          <cell r="G339">
            <v>0</v>
          </cell>
          <cell r="H339">
            <v>0</v>
          </cell>
        </row>
        <row r="340">
          <cell r="B340">
            <v>7350310103134</v>
          </cell>
          <cell r="D340">
            <v>16054925</v>
          </cell>
          <cell r="E340">
            <v>0</v>
          </cell>
          <cell r="F340">
            <v>16054925</v>
          </cell>
          <cell r="G340">
            <v>0</v>
          </cell>
          <cell r="H340">
            <v>0</v>
          </cell>
        </row>
        <row r="341">
          <cell r="B341">
            <v>7350310103250</v>
          </cell>
          <cell r="D341">
            <v>39523650</v>
          </cell>
          <cell r="E341">
            <v>0</v>
          </cell>
          <cell r="F341">
            <v>39523650</v>
          </cell>
          <cell r="G341">
            <v>0</v>
          </cell>
          <cell r="H341">
            <v>0</v>
          </cell>
        </row>
        <row r="342">
          <cell r="B342">
            <v>7350310103251</v>
          </cell>
          <cell r="D342">
            <v>4080309</v>
          </cell>
          <cell r="E342">
            <v>0</v>
          </cell>
          <cell r="F342">
            <v>4080309</v>
          </cell>
          <cell r="G342">
            <v>0</v>
          </cell>
          <cell r="H342">
            <v>0</v>
          </cell>
        </row>
        <row r="343">
          <cell r="B343">
            <v>7350310103270</v>
          </cell>
          <cell r="D343">
            <v>7000000</v>
          </cell>
          <cell r="E343">
            <v>0</v>
          </cell>
          <cell r="F343">
            <v>7000000</v>
          </cell>
          <cell r="G343">
            <v>0</v>
          </cell>
          <cell r="H343">
            <v>0</v>
          </cell>
        </row>
        <row r="344">
          <cell r="B344">
            <v>7350310203120</v>
          </cell>
          <cell r="D344">
            <v>239460487</v>
          </cell>
          <cell r="E344">
            <v>11390000</v>
          </cell>
          <cell r="F344">
            <v>228070487</v>
          </cell>
          <cell r="G344">
            <v>0</v>
          </cell>
          <cell r="H344">
            <v>0</v>
          </cell>
        </row>
        <row r="345">
          <cell r="B345">
            <v>7350310203131</v>
          </cell>
          <cell r="D345">
            <v>317960611</v>
          </cell>
          <cell r="E345">
            <v>0</v>
          </cell>
          <cell r="F345">
            <v>317960611</v>
          </cell>
          <cell r="G345">
            <v>0</v>
          </cell>
          <cell r="H345">
            <v>0</v>
          </cell>
        </row>
        <row r="346">
          <cell r="B346">
            <v>7350310203132</v>
          </cell>
          <cell r="D346">
            <v>145591107</v>
          </cell>
          <cell r="E346">
            <v>0</v>
          </cell>
          <cell r="F346">
            <v>145591107</v>
          </cell>
          <cell r="G346">
            <v>0</v>
          </cell>
          <cell r="H346">
            <v>0</v>
          </cell>
        </row>
        <row r="347">
          <cell r="B347">
            <v>7350310203133</v>
          </cell>
          <cell r="D347">
            <v>206189553</v>
          </cell>
          <cell r="E347">
            <v>0</v>
          </cell>
          <cell r="F347">
            <v>206189553</v>
          </cell>
          <cell r="G347">
            <v>0</v>
          </cell>
          <cell r="H347">
            <v>0</v>
          </cell>
        </row>
        <row r="348">
          <cell r="B348">
            <v>7350310203134</v>
          </cell>
          <cell r="D348">
            <v>8591900</v>
          </cell>
          <cell r="E348">
            <v>0</v>
          </cell>
          <cell r="F348">
            <v>8591900</v>
          </cell>
          <cell r="G348">
            <v>0</v>
          </cell>
          <cell r="H348">
            <v>0</v>
          </cell>
        </row>
        <row r="349">
          <cell r="B349">
            <v>7350310203135</v>
          </cell>
          <cell r="D349">
            <v>3723492</v>
          </cell>
          <cell r="E349">
            <v>0</v>
          </cell>
          <cell r="F349">
            <v>3723492</v>
          </cell>
          <cell r="G349">
            <v>0</v>
          </cell>
          <cell r="H349">
            <v>0</v>
          </cell>
        </row>
        <row r="350">
          <cell r="B350">
            <v>7350310203136</v>
          </cell>
          <cell r="D350">
            <v>114667890</v>
          </cell>
          <cell r="E350">
            <v>0</v>
          </cell>
          <cell r="F350">
            <v>114667890</v>
          </cell>
          <cell r="G350">
            <v>0</v>
          </cell>
          <cell r="H350">
            <v>0</v>
          </cell>
        </row>
        <row r="351">
          <cell r="B351">
            <v>7350310203141</v>
          </cell>
          <cell r="D351">
            <v>12047779</v>
          </cell>
          <cell r="E351">
            <v>0</v>
          </cell>
          <cell r="F351">
            <v>12047779</v>
          </cell>
          <cell r="G351">
            <v>0</v>
          </cell>
          <cell r="H351">
            <v>0</v>
          </cell>
        </row>
        <row r="352">
          <cell r="B352">
            <v>7350310203142</v>
          </cell>
          <cell r="D352">
            <v>4320625</v>
          </cell>
          <cell r="E352">
            <v>0</v>
          </cell>
          <cell r="F352">
            <v>4320625</v>
          </cell>
          <cell r="G352">
            <v>0</v>
          </cell>
          <cell r="H352">
            <v>0</v>
          </cell>
        </row>
        <row r="353">
          <cell r="B353">
            <v>7350310203143</v>
          </cell>
          <cell r="D353">
            <v>118395029</v>
          </cell>
          <cell r="E353">
            <v>0</v>
          </cell>
          <cell r="F353">
            <v>118395029</v>
          </cell>
          <cell r="G353">
            <v>0</v>
          </cell>
          <cell r="H353">
            <v>0</v>
          </cell>
        </row>
        <row r="354">
          <cell r="B354">
            <v>7350310203230</v>
          </cell>
          <cell r="D354">
            <v>610000</v>
          </cell>
          <cell r="E354">
            <v>0</v>
          </cell>
          <cell r="F354">
            <v>610000</v>
          </cell>
          <cell r="G354">
            <v>0</v>
          </cell>
          <cell r="H354">
            <v>0</v>
          </cell>
        </row>
        <row r="355">
          <cell r="B355">
            <v>7350310203250</v>
          </cell>
          <cell r="D355">
            <v>101614000</v>
          </cell>
          <cell r="E355">
            <v>0</v>
          </cell>
          <cell r="F355">
            <v>101614000</v>
          </cell>
          <cell r="G355">
            <v>0</v>
          </cell>
          <cell r="H355">
            <v>0</v>
          </cell>
        </row>
        <row r="356">
          <cell r="B356">
            <v>7350310203251</v>
          </cell>
          <cell r="D356">
            <v>17174217</v>
          </cell>
          <cell r="E356">
            <v>0</v>
          </cell>
          <cell r="F356">
            <v>17174217</v>
          </cell>
          <cell r="G356">
            <v>0</v>
          </cell>
          <cell r="H356">
            <v>0</v>
          </cell>
        </row>
        <row r="357">
          <cell r="B357">
            <v>7350310203260</v>
          </cell>
          <cell r="D357">
            <v>22794142</v>
          </cell>
          <cell r="E357">
            <v>0</v>
          </cell>
          <cell r="F357">
            <v>22794142</v>
          </cell>
          <cell r="G357">
            <v>0</v>
          </cell>
          <cell r="H357">
            <v>0</v>
          </cell>
        </row>
        <row r="358">
          <cell r="B358">
            <v>7350310203330</v>
          </cell>
          <cell r="D358">
            <v>8338324</v>
          </cell>
          <cell r="E358">
            <v>0</v>
          </cell>
          <cell r="F358">
            <v>8338324</v>
          </cell>
          <cell r="G358">
            <v>0</v>
          </cell>
          <cell r="H358">
            <v>0</v>
          </cell>
        </row>
        <row r="359">
          <cell r="B359">
            <v>7350310203340</v>
          </cell>
          <cell r="D359">
            <v>2837172</v>
          </cell>
          <cell r="E359">
            <v>0</v>
          </cell>
          <cell r="F359">
            <v>2837172</v>
          </cell>
          <cell r="G359">
            <v>0</v>
          </cell>
          <cell r="H359">
            <v>0</v>
          </cell>
        </row>
        <row r="360">
          <cell r="B360">
            <v>7350310303142</v>
          </cell>
          <cell r="D360">
            <v>115778</v>
          </cell>
          <cell r="E360">
            <v>0</v>
          </cell>
          <cell r="F360">
            <v>115778</v>
          </cell>
          <cell r="G360">
            <v>0</v>
          </cell>
          <cell r="H360">
            <v>0</v>
          </cell>
        </row>
        <row r="361">
          <cell r="B361">
            <v>7350310303143</v>
          </cell>
          <cell r="D361">
            <v>301600</v>
          </cell>
          <cell r="E361">
            <v>0</v>
          </cell>
          <cell r="F361">
            <v>301600</v>
          </cell>
          <cell r="G361">
            <v>0</v>
          </cell>
          <cell r="H361">
            <v>0</v>
          </cell>
        </row>
        <row r="362">
          <cell r="B362">
            <v>7350310303250</v>
          </cell>
          <cell r="D362">
            <v>128787499</v>
          </cell>
          <cell r="E362">
            <v>0</v>
          </cell>
          <cell r="F362">
            <v>128787499</v>
          </cell>
          <cell r="G362">
            <v>0</v>
          </cell>
          <cell r="H362">
            <v>0</v>
          </cell>
        </row>
        <row r="363">
          <cell r="B363">
            <v>7350310303260</v>
          </cell>
          <cell r="D363">
            <v>2805000</v>
          </cell>
          <cell r="E363">
            <v>0</v>
          </cell>
          <cell r="F363">
            <v>2805000</v>
          </cell>
          <cell r="G363">
            <v>0</v>
          </cell>
          <cell r="H363">
            <v>0</v>
          </cell>
        </row>
        <row r="364">
          <cell r="B364">
            <v>7350310403120</v>
          </cell>
          <cell r="D364">
            <v>8779862</v>
          </cell>
          <cell r="E364">
            <v>0</v>
          </cell>
          <cell r="F364">
            <v>8779862</v>
          </cell>
          <cell r="G364">
            <v>0</v>
          </cell>
          <cell r="H364">
            <v>0</v>
          </cell>
        </row>
        <row r="365">
          <cell r="B365">
            <v>7350310403131</v>
          </cell>
          <cell r="D365">
            <v>3313954</v>
          </cell>
          <cell r="E365">
            <v>0</v>
          </cell>
          <cell r="F365">
            <v>3313954</v>
          </cell>
          <cell r="G365">
            <v>0</v>
          </cell>
          <cell r="H365">
            <v>0</v>
          </cell>
        </row>
        <row r="366">
          <cell r="B366">
            <v>7350310403132</v>
          </cell>
          <cell r="D366">
            <v>4151100</v>
          </cell>
          <cell r="E366">
            <v>0</v>
          </cell>
          <cell r="F366">
            <v>4151100</v>
          </cell>
          <cell r="G366">
            <v>0</v>
          </cell>
          <cell r="H366">
            <v>0</v>
          </cell>
        </row>
        <row r="367">
          <cell r="B367">
            <v>7350310403133</v>
          </cell>
          <cell r="D367">
            <v>9187200</v>
          </cell>
          <cell r="E367">
            <v>0</v>
          </cell>
          <cell r="F367">
            <v>9187200</v>
          </cell>
          <cell r="G367">
            <v>0</v>
          </cell>
          <cell r="H367">
            <v>0</v>
          </cell>
        </row>
        <row r="368">
          <cell r="B368">
            <v>7350310403134</v>
          </cell>
          <cell r="D368">
            <v>1000000</v>
          </cell>
          <cell r="E368">
            <v>0</v>
          </cell>
          <cell r="F368">
            <v>1000000</v>
          </cell>
          <cell r="G368">
            <v>0</v>
          </cell>
          <cell r="H368">
            <v>0</v>
          </cell>
        </row>
        <row r="369">
          <cell r="B369">
            <v>7350310403135</v>
          </cell>
          <cell r="D369">
            <v>911</v>
          </cell>
          <cell r="E369">
            <v>0</v>
          </cell>
          <cell r="F369">
            <v>911</v>
          </cell>
          <cell r="G369">
            <v>0</v>
          </cell>
          <cell r="H369">
            <v>0</v>
          </cell>
        </row>
        <row r="370">
          <cell r="B370">
            <v>7350310403141</v>
          </cell>
          <cell r="D370">
            <v>57847343</v>
          </cell>
          <cell r="E370">
            <v>0</v>
          </cell>
          <cell r="F370">
            <v>57847343</v>
          </cell>
          <cell r="G370">
            <v>0</v>
          </cell>
          <cell r="H370">
            <v>0</v>
          </cell>
        </row>
        <row r="371">
          <cell r="B371">
            <v>7350310403142</v>
          </cell>
          <cell r="D371">
            <v>768719</v>
          </cell>
          <cell r="E371">
            <v>0</v>
          </cell>
          <cell r="F371">
            <v>768719</v>
          </cell>
          <cell r="G371">
            <v>0</v>
          </cell>
          <cell r="H371">
            <v>0</v>
          </cell>
        </row>
        <row r="372">
          <cell r="B372">
            <v>7350310403143</v>
          </cell>
          <cell r="D372">
            <v>716000</v>
          </cell>
          <cell r="E372">
            <v>0</v>
          </cell>
          <cell r="F372">
            <v>716000</v>
          </cell>
          <cell r="G372">
            <v>0</v>
          </cell>
          <cell r="H372">
            <v>0</v>
          </cell>
        </row>
        <row r="373">
          <cell r="B373">
            <v>7350310403230</v>
          </cell>
          <cell r="D373">
            <v>3600000</v>
          </cell>
          <cell r="E373">
            <v>0</v>
          </cell>
          <cell r="F373">
            <v>3600000</v>
          </cell>
          <cell r="G373">
            <v>0</v>
          </cell>
          <cell r="H373">
            <v>0</v>
          </cell>
        </row>
        <row r="374">
          <cell r="B374">
            <v>7350310403250</v>
          </cell>
          <cell r="D374">
            <v>81718908</v>
          </cell>
          <cell r="E374">
            <v>0</v>
          </cell>
          <cell r="F374">
            <v>81718908</v>
          </cell>
          <cell r="G374">
            <v>0</v>
          </cell>
          <cell r="H374">
            <v>0</v>
          </cell>
        </row>
        <row r="375">
          <cell r="B375">
            <v>7350310403251</v>
          </cell>
          <cell r="D375">
            <v>281263746</v>
          </cell>
          <cell r="E375">
            <v>0</v>
          </cell>
          <cell r="F375">
            <v>281263746</v>
          </cell>
          <cell r="G375">
            <v>0</v>
          </cell>
          <cell r="H375">
            <v>0</v>
          </cell>
        </row>
        <row r="376">
          <cell r="B376">
            <v>7350310403260</v>
          </cell>
          <cell r="D376">
            <v>9219450</v>
          </cell>
          <cell r="E376">
            <v>0</v>
          </cell>
          <cell r="F376">
            <v>9219450</v>
          </cell>
          <cell r="G376">
            <v>0</v>
          </cell>
          <cell r="H376">
            <v>0</v>
          </cell>
        </row>
        <row r="377">
          <cell r="B377">
            <v>7350310403270</v>
          </cell>
          <cell r="D377">
            <v>1016314810</v>
          </cell>
          <cell r="E377">
            <v>0</v>
          </cell>
          <cell r="F377">
            <v>1016314810</v>
          </cell>
          <cell r="G377">
            <v>0</v>
          </cell>
          <cell r="H377">
            <v>0</v>
          </cell>
        </row>
        <row r="378">
          <cell r="B378">
            <v>7350310403320</v>
          </cell>
          <cell r="D378">
            <v>613955</v>
          </cell>
          <cell r="E378">
            <v>0</v>
          </cell>
          <cell r="F378">
            <v>613955</v>
          </cell>
          <cell r="G378">
            <v>0</v>
          </cell>
          <cell r="H378">
            <v>0</v>
          </cell>
        </row>
        <row r="379">
          <cell r="B379">
            <v>7350310403330</v>
          </cell>
          <cell r="D379">
            <v>310289400</v>
          </cell>
          <cell r="E379">
            <v>0</v>
          </cell>
          <cell r="F379">
            <v>310289400</v>
          </cell>
          <cell r="G379">
            <v>0</v>
          </cell>
          <cell r="H379">
            <v>0</v>
          </cell>
        </row>
        <row r="380">
          <cell r="B380">
            <v>7350310703010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>
            <v>7350310703120</v>
          </cell>
          <cell r="D381">
            <v>48685774</v>
          </cell>
          <cell r="E381">
            <v>0</v>
          </cell>
          <cell r="F381">
            <v>48685774</v>
          </cell>
          <cell r="G381">
            <v>0</v>
          </cell>
          <cell r="H381">
            <v>0</v>
          </cell>
        </row>
        <row r="382">
          <cell r="B382">
            <v>7350310703131</v>
          </cell>
          <cell r="D382">
            <v>12000000</v>
          </cell>
          <cell r="E382">
            <v>0</v>
          </cell>
          <cell r="F382">
            <v>12000000</v>
          </cell>
          <cell r="G382">
            <v>0</v>
          </cell>
          <cell r="H382">
            <v>0</v>
          </cell>
        </row>
        <row r="383">
          <cell r="B383">
            <v>7350310703132</v>
          </cell>
          <cell r="D383">
            <v>15963530</v>
          </cell>
          <cell r="E383">
            <v>0</v>
          </cell>
          <cell r="F383">
            <v>15963530</v>
          </cell>
          <cell r="G383">
            <v>0</v>
          </cell>
          <cell r="H383">
            <v>0</v>
          </cell>
        </row>
        <row r="384">
          <cell r="B384">
            <v>7350310703133</v>
          </cell>
          <cell r="D384">
            <v>12000000</v>
          </cell>
          <cell r="E384">
            <v>0</v>
          </cell>
          <cell r="F384">
            <v>12000000</v>
          </cell>
          <cell r="G384">
            <v>0</v>
          </cell>
          <cell r="H384">
            <v>0</v>
          </cell>
        </row>
        <row r="385">
          <cell r="B385">
            <v>7350310703134</v>
          </cell>
          <cell r="D385">
            <v>1981765</v>
          </cell>
          <cell r="E385">
            <v>0</v>
          </cell>
          <cell r="F385">
            <v>1981765</v>
          </cell>
          <cell r="G385">
            <v>0</v>
          </cell>
          <cell r="H385">
            <v>0</v>
          </cell>
        </row>
        <row r="386">
          <cell r="B386">
            <v>7350310703136</v>
          </cell>
          <cell r="D386">
            <v>21908825</v>
          </cell>
          <cell r="E386">
            <v>0</v>
          </cell>
          <cell r="F386">
            <v>21908825</v>
          </cell>
          <cell r="G386">
            <v>0</v>
          </cell>
          <cell r="H386">
            <v>0</v>
          </cell>
        </row>
        <row r="387">
          <cell r="B387">
            <v>7350310703143</v>
          </cell>
          <cell r="D387">
            <v>5945295</v>
          </cell>
          <cell r="E387">
            <v>0</v>
          </cell>
          <cell r="F387">
            <v>5945295</v>
          </cell>
          <cell r="G387">
            <v>0</v>
          </cell>
          <cell r="H387">
            <v>0</v>
          </cell>
        </row>
        <row r="388">
          <cell r="B388">
            <v>7350310703250</v>
          </cell>
          <cell r="D388">
            <v>14512064</v>
          </cell>
          <cell r="E388">
            <v>0</v>
          </cell>
          <cell r="F388">
            <v>14512064</v>
          </cell>
          <cell r="G388">
            <v>0</v>
          </cell>
          <cell r="H388">
            <v>0</v>
          </cell>
        </row>
        <row r="389">
          <cell r="B389">
            <v>7350310703260</v>
          </cell>
          <cell r="D389">
            <v>5800000</v>
          </cell>
          <cell r="E389">
            <v>0</v>
          </cell>
          <cell r="F389">
            <v>5800000</v>
          </cell>
          <cell r="G389">
            <v>0</v>
          </cell>
          <cell r="H389">
            <v>0</v>
          </cell>
        </row>
        <row r="390">
          <cell r="B390">
            <v>7350310703270</v>
          </cell>
          <cell r="D390">
            <v>490909</v>
          </cell>
          <cell r="E390">
            <v>0</v>
          </cell>
          <cell r="F390">
            <v>490909</v>
          </cell>
          <cell r="G390">
            <v>0</v>
          </cell>
          <cell r="H390">
            <v>0</v>
          </cell>
        </row>
        <row r="391">
          <cell r="B391">
            <v>7350310703330</v>
          </cell>
          <cell r="D391">
            <v>6333333</v>
          </cell>
          <cell r="E391">
            <v>0</v>
          </cell>
          <cell r="F391">
            <v>6333333</v>
          </cell>
          <cell r="G391">
            <v>0</v>
          </cell>
          <cell r="H391">
            <v>0</v>
          </cell>
        </row>
        <row r="392">
          <cell r="B392">
            <v>7350310803131</v>
          </cell>
          <cell r="D392">
            <v>2666000</v>
          </cell>
          <cell r="E392">
            <v>0</v>
          </cell>
          <cell r="F392">
            <v>2666000</v>
          </cell>
          <cell r="G392">
            <v>0</v>
          </cell>
          <cell r="H392">
            <v>0</v>
          </cell>
        </row>
        <row r="393">
          <cell r="B393">
            <v>7350310803141</v>
          </cell>
          <cell r="D393">
            <v>188000000</v>
          </cell>
          <cell r="E393">
            <v>0</v>
          </cell>
          <cell r="F393">
            <v>188000000</v>
          </cell>
          <cell r="G393">
            <v>0</v>
          </cell>
          <cell r="H393">
            <v>0</v>
          </cell>
        </row>
        <row r="394">
          <cell r="B394">
            <v>7350310803250</v>
          </cell>
          <cell r="D394">
            <v>8350000</v>
          </cell>
          <cell r="E394">
            <v>0</v>
          </cell>
          <cell r="F394">
            <v>8350000</v>
          </cell>
          <cell r="G394">
            <v>0</v>
          </cell>
          <cell r="H394">
            <v>0</v>
          </cell>
        </row>
        <row r="395">
          <cell r="B395">
            <v>7350310803260</v>
          </cell>
          <cell r="D395">
            <v>108789733</v>
          </cell>
          <cell r="E395">
            <v>0</v>
          </cell>
          <cell r="F395">
            <v>108789733</v>
          </cell>
          <cell r="G395">
            <v>0</v>
          </cell>
          <cell r="H395">
            <v>0</v>
          </cell>
        </row>
        <row r="396">
          <cell r="B396">
            <v>7350310803320</v>
          </cell>
          <cell r="D396">
            <v>57498796</v>
          </cell>
          <cell r="E396">
            <v>0</v>
          </cell>
          <cell r="F396">
            <v>57498796</v>
          </cell>
          <cell r="G396">
            <v>0</v>
          </cell>
          <cell r="H396">
            <v>0</v>
          </cell>
        </row>
        <row r="397">
          <cell r="B397">
            <v>7350310803330</v>
          </cell>
          <cell r="D397">
            <v>28000000</v>
          </cell>
          <cell r="E397">
            <v>0</v>
          </cell>
          <cell r="F397">
            <v>28000000</v>
          </cell>
          <cell r="G397">
            <v>0</v>
          </cell>
          <cell r="H397">
            <v>0</v>
          </cell>
        </row>
        <row r="398">
          <cell r="B398">
            <v>7350310903120</v>
          </cell>
          <cell r="D398">
            <v>238360696</v>
          </cell>
          <cell r="E398">
            <v>0</v>
          </cell>
          <cell r="F398">
            <v>238360696</v>
          </cell>
          <cell r="G398">
            <v>0</v>
          </cell>
          <cell r="H398">
            <v>0</v>
          </cell>
        </row>
        <row r="399">
          <cell r="B399">
            <v>7350310903131</v>
          </cell>
          <cell r="D399">
            <v>118959687</v>
          </cell>
          <cell r="E399">
            <v>0</v>
          </cell>
          <cell r="F399">
            <v>118959687</v>
          </cell>
          <cell r="G399">
            <v>0</v>
          </cell>
          <cell r="H399">
            <v>0</v>
          </cell>
        </row>
        <row r="400">
          <cell r="B400">
            <v>7350310903132</v>
          </cell>
          <cell r="D400">
            <v>140042012</v>
          </cell>
          <cell r="E400">
            <v>0</v>
          </cell>
          <cell r="F400">
            <v>140042012</v>
          </cell>
          <cell r="G400">
            <v>0</v>
          </cell>
          <cell r="H400">
            <v>0</v>
          </cell>
        </row>
        <row r="401">
          <cell r="B401">
            <v>7350310903133</v>
          </cell>
          <cell r="C401">
            <v>4469894</v>
          </cell>
          <cell r="D401">
            <v>4469894</v>
          </cell>
          <cell r="E401">
            <v>0</v>
          </cell>
          <cell r="F401">
            <v>4469894</v>
          </cell>
          <cell r="G401">
            <v>0</v>
          </cell>
          <cell r="H401">
            <v>0</v>
          </cell>
        </row>
        <row r="402">
          <cell r="B402">
            <v>7350310903134</v>
          </cell>
          <cell r="C402">
            <v>0</v>
          </cell>
          <cell r="D402">
            <v>12810478</v>
          </cell>
          <cell r="E402">
            <v>0</v>
          </cell>
          <cell r="F402">
            <v>12810478</v>
          </cell>
          <cell r="G402">
            <v>0</v>
          </cell>
          <cell r="H402">
            <v>0</v>
          </cell>
        </row>
        <row r="403">
          <cell r="B403">
            <v>7350310903135</v>
          </cell>
          <cell r="D403">
            <v>1952156</v>
          </cell>
          <cell r="E403">
            <v>0</v>
          </cell>
          <cell r="F403">
            <v>1952156</v>
          </cell>
          <cell r="G403">
            <v>0</v>
          </cell>
          <cell r="H403">
            <v>0</v>
          </cell>
        </row>
        <row r="404">
          <cell r="B404">
            <v>7350310903136</v>
          </cell>
          <cell r="D404">
            <v>32151205</v>
          </cell>
          <cell r="E404">
            <v>0</v>
          </cell>
          <cell r="F404">
            <v>32151205</v>
          </cell>
          <cell r="G404">
            <v>0</v>
          </cell>
          <cell r="H404">
            <v>0</v>
          </cell>
        </row>
        <row r="405">
          <cell r="B405">
            <v>7350310903141</v>
          </cell>
          <cell r="D405">
            <v>4857603</v>
          </cell>
          <cell r="E405">
            <v>0</v>
          </cell>
          <cell r="F405">
            <v>4857603</v>
          </cell>
          <cell r="G405">
            <v>0</v>
          </cell>
          <cell r="H405">
            <v>0</v>
          </cell>
        </row>
        <row r="406">
          <cell r="B406">
            <v>7350310903142</v>
          </cell>
          <cell r="D406">
            <v>7394666</v>
          </cell>
          <cell r="E406">
            <v>0</v>
          </cell>
          <cell r="F406">
            <v>7394666</v>
          </cell>
          <cell r="G406">
            <v>0</v>
          </cell>
          <cell r="H406">
            <v>0</v>
          </cell>
        </row>
        <row r="407">
          <cell r="B407">
            <v>7350310903143</v>
          </cell>
          <cell r="D407">
            <v>2158014</v>
          </cell>
          <cell r="E407">
            <v>0</v>
          </cell>
          <cell r="F407">
            <v>2158014</v>
          </cell>
          <cell r="G407">
            <v>0</v>
          </cell>
          <cell r="H407">
            <v>0</v>
          </cell>
        </row>
        <row r="408">
          <cell r="B408">
            <v>7350310903230</v>
          </cell>
          <cell r="D408">
            <v>756668</v>
          </cell>
          <cell r="E408">
            <v>0</v>
          </cell>
          <cell r="F408">
            <v>756668</v>
          </cell>
          <cell r="G408">
            <v>0</v>
          </cell>
          <cell r="H408">
            <v>0</v>
          </cell>
        </row>
        <row r="409">
          <cell r="B409">
            <v>7350310903251</v>
          </cell>
          <cell r="D409">
            <v>37410371</v>
          </cell>
          <cell r="E409">
            <v>0</v>
          </cell>
          <cell r="F409">
            <v>37410371</v>
          </cell>
          <cell r="G409">
            <v>0</v>
          </cell>
          <cell r="H409">
            <v>0</v>
          </cell>
        </row>
        <row r="410">
          <cell r="B410">
            <v>7350310903260</v>
          </cell>
          <cell r="D410">
            <v>1717932</v>
          </cell>
          <cell r="E410">
            <v>0</v>
          </cell>
          <cell r="F410">
            <v>1717932</v>
          </cell>
          <cell r="G410">
            <v>0</v>
          </cell>
          <cell r="H410">
            <v>0</v>
          </cell>
        </row>
        <row r="411">
          <cell r="B411">
            <v>7350310903270</v>
          </cell>
          <cell r="D411">
            <v>25464050</v>
          </cell>
          <cell r="E411">
            <v>0</v>
          </cell>
          <cell r="F411">
            <v>25464050</v>
          </cell>
          <cell r="G411">
            <v>0</v>
          </cell>
          <cell r="H411">
            <v>0</v>
          </cell>
        </row>
        <row r="412">
          <cell r="B412">
            <v>7350310903290</v>
          </cell>
          <cell r="D412">
            <v>350</v>
          </cell>
          <cell r="E412">
            <v>0</v>
          </cell>
          <cell r="F412">
            <v>350</v>
          </cell>
          <cell r="G412">
            <v>0</v>
          </cell>
          <cell r="H412">
            <v>0</v>
          </cell>
        </row>
        <row r="413">
          <cell r="B413">
            <v>7350310903330</v>
          </cell>
          <cell r="D413">
            <v>274549</v>
          </cell>
          <cell r="E413">
            <v>0</v>
          </cell>
          <cell r="F413">
            <v>274549</v>
          </cell>
          <cell r="G413">
            <v>0</v>
          </cell>
          <cell r="H413">
            <v>0</v>
          </cell>
        </row>
        <row r="414">
          <cell r="B414">
            <v>7350310903340</v>
          </cell>
          <cell r="D414">
            <v>1719270</v>
          </cell>
          <cell r="E414">
            <v>0</v>
          </cell>
          <cell r="F414">
            <v>1719270</v>
          </cell>
          <cell r="G414">
            <v>0</v>
          </cell>
          <cell r="H414">
            <v>0</v>
          </cell>
        </row>
        <row r="415">
          <cell r="B415">
            <v>7350311003120</v>
          </cell>
          <cell r="D415">
            <v>3750000</v>
          </cell>
          <cell r="E415">
            <v>0</v>
          </cell>
          <cell r="F415">
            <v>3750000</v>
          </cell>
          <cell r="G415">
            <v>0</v>
          </cell>
          <cell r="H415">
            <v>0</v>
          </cell>
        </row>
        <row r="416">
          <cell r="B416">
            <v>7350311003251</v>
          </cell>
          <cell r="D416">
            <v>78700</v>
          </cell>
          <cell r="E416">
            <v>0</v>
          </cell>
          <cell r="F416">
            <v>78700</v>
          </cell>
          <cell r="G416">
            <v>0</v>
          </cell>
          <cell r="H416">
            <v>0</v>
          </cell>
        </row>
        <row r="417">
          <cell r="B417">
            <v>7350319903120</v>
          </cell>
          <cell r="D417">
            <v>12200000</v>
          </cell>
          <cell r="E417">
            <v>0</v>
          </cell>
          <cell r="F417">
            <v>12200000</v>
          </cell>
          <cell r="G417">
            <v>0</v>
          </cell>
          <cell r="H417">
            <v>0</v>
          </cell>
        </row>
        <row r="418">
          <cell r="B418">
            <v>7350319903131</v>
          </cell>
          <cell r="D418">
            <v>350000</v>
          </cell>
          <cell r="E418">
            <v>0</v>
          </cell>
          <cell r="F418">
            <v>350000</v>
          </cell>
          <cell r="G418">
            <v>0</v>
          </cell>
          <cell r="H418">
            <v>0</v>
          </cell>
        </row>
        <row r="419">
          <cell r="B419">
            <v>7350319903132</v>
          </cell>
          <cell r="D419">
            <v>1576522</v>
          </cell>
          <cell r="E419">
            <v>0</v>
          </cell>
          <cell r="F419">
            <v>1576522</v>
          </cell>
          <cell r="G419">
            <v>0</v>
          </cell>
          <cell r="H419">
            <v>0</v>
          </cell>
        </row>
        <row r="420">
          <cell r="B420">
            <v>7350319903133</v>
          </cell>
          <cell r="D420">
            <v>1200000</v>
          </cell>
          <cell r="E420">
            <v>0</v>
          </cell>
          <cell r="F420">
            <v>1200000</v>
          </cell>
          <cell r="G420">
            <v>0</v>
          </cell>
          <cell r="H420">
            <v>0</v>
          </cell>
        </row>
        <row r="421">
          <cell r="B421">
            <v>7350319903134</v>
          </cell>
          <cell r="D421">
            <v>700000</v>
          </cell>
          <cell r="E421">
            <v>0</v>
          </cell>
          <cell r="F421">
            <v>700000</v>
          </cell>
          <cell r="G421">
            <v>0</v>
          </cell>
          <cell r="H421">
            <v>0</v>
          </cell>
        </row>
        <row r="422">
          <cell r="B422">
            <v>7350319903141</v>
          </cell>
          <cell r="D422">
            <v>21985000</v>
          </cell>
          <cell r="E422">
            <v>0</v>
          </cell>
          <cell r="F422">
            <v>21985000</v>
          </cell>
          <cell r="G422">
            <v>0</v>
          </cell>
          <cell r="H422">
            <v>0</v>
          </cell>
        </row>
        <row r="423">
          <cell r="B423">
            <v>7350319903250</v>
          </cell>
          <cell r="D423">
            <v>49251993</v>
          </cell>
          <cell r="E423">
            <v>0</v>
          </cell>
          <cell r="F423">
            <v>49251993</v>
          </cell>
          <cell r="G423">
            <v>0</v>
          </cell>
          <cell r="H423">
            <v>0</v>
          </cell>
        </row>
        <row r="424">
          <cell r="B424">
            <v>7350319903251</v>
          </cell>
          <cell r="D424">
            <v>493861700</v>
          </cell>
          <cell r="E424">
            <v>0</v>
          </cell>
          <cell r="F424">
            <v>493861700</v>
          </cell>
          <cell r="G424">
            <v>0</v>
          </cell>
          <cell r="H424">
            <v>0</v>
          </cell>
        </row>
        <row r="425">
          <cell r="B425">
            <v>7350319903260</v>
          </cell>
          <cell r="D425">
            <v>7151756</v>
          </cell>
          <cell r="E425">
            <v>0</v>
          </cell>
          <cell r="F425">
            <v>7151756</v>
          </cell>
          <cell r="G425">
            <v>0</v>
          </cell>
          <cell r="H425">
            <v>0</v>
          </cell>
        </row>
        <row r="426">
          <cell r="B426">
            <v>7350319903270</v>
          </cell>
          <cell r="D426">
            <v>1542611185</v>
          </cell>
          <cell r="E426">
            <v>0</v>
          </cell>
          <cell r="F426">
            <v>1542611185</v>
          </cell>
          <cell r="G426">
            <v>0</v>
          </cell>
          <cell r="H426">
            <v>0</v>
          </cell>
        </row>
        <row r="427">
          <cell r="B427">
            <v>7350319903290</v>
          </cell>
          <cell r="D427">
            <v>1171921</v>
          </cell>
          <cell r="E427">
            <v>0</v>
          </cell>
          <cell r="F427">
            <v>1171921</v>
          </cell>
          <cell r="G427">
            <v>0</v>
          </cell>
          <cell r="H427">
            <v>0</v>
          </cell>
        </row>
        <row r="428">
          <cell r="B428">
            <v>7351011103210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4736550000</v>
          </cell>
        </row>
        <row r="429">
          <cell r="B429">
            <v>7351011103220</v>
          </cell>
          <cell r="D429">
            <v>6513484595</v>
          </cell>
          <cell r="E429">
            <v>0</v>
          </cell>
          <cell r="F429">
            <v>6513484595</v>
          </cell>
          <cell r="G429">
            <v>0</v>
          </cell>
          <cell r="H429">
            <v>3802656150</v>
          </cell>
        </row>
        <row r="430">
          <cell r="B430">
            <v>7351011103230</v>
          </cell>
          <cell r="D430">
            <v>4681648317</v>
          </cell>
          <cell r="E430">
            <v>0</v>
          </cell>
          <cell r="F430">
            <v>4681648317</v>
          </cell>
          <cell r="G430">
            <v>0</v>
          </cell>
          <cell r="H430">
            <v>4513171650</v>
          </cell>
        </row>
        <row r="431">
          <cell r="B431">
            <v>7351011103250</v>
          </cell>
          <cell r="D431">
            <v>1314687731</v>
          </cell>
          <cell r="E431">
            <v>0</v>
          </cell>
          <cell r="F431">
            <v>1314687731</v>
          </cell>
          <cell r="G431">
            <v>0</v>
          </cell>
          <cell r="H431">
            <v>2561692095</v>
          </cell>
        </row>
        <row r="432">
          <cell r="B432">
            <v>7351011103260</v>
          </cell>
          <cell r="D432">
            <v>10745451650</v>
          </cell>
          <cell r="E432">
            <v>0</v>
          </cell>
          <cell r="F432">
            <v>10745451650</v>
          </cell>
          <cell r="G432">
            <v>0</v>
          </cell>
          <cell r="H432">
            <v>8484005760</v>
          </cell>
        </row>
        <row r="433">
          <cell r="B433">
            <v>7351011103270</v>
          </cell>
          <cell r="D433">
            <v>3108478554</v>
          </cell>
          <cell r="E433">
            <v>0</v>
          </cell>
          <cell r="F433">
            <v>3108478554</v>
          </cell>
          <cell r="G433">
            <v>0</v>
          </cell>
          <cell r="H433">
            <v>3108425220</v>
          </cell>
        </row>
        <row r="434">
          <cell r="B434">
            <v>7351011103280</v>
          </cell>
          <cell r="D434">
            <v>3648098154</v>
          </cell>
          <cell r="E434">
            <v>0</v>
          </cell>
          <cell r="F434">
            <v>3648098154</v>
          </cell>
          <cell r="G434">
            <v>0</v>
          </cell>
          <cell r="H434">
            <v>2233120080</v>
          </cell>
        </row>
        <row r="435">
          <cell r="B435">
            <v>7351011103290</v>
          </cell>
          <cell r="D435">
            <v>7116721212</v>
          </cell>
          <cell r="E435">
            <v>0</v>
          </cell>
          <cell r="F435">
            <v>7116721212</v>
          </cell>
          <cell r="G435">
            <v>0</v>
          </cell>
          <cell r="H435">
            <v>7024761135</v>
          </cell>
        </row>
        <row r="436">
          <cell r="B436">
            <v>7351020103210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378924000</v>
          </cell>
        </row>
        <row r="437">
          <cell r="B437">
            <v>7351020103220</v>
          </cell>
          <cell r="D437">
            <v>1139369480</v>
          </cell>
          <cell r="E437">
            <v>0</v>
          </cell>
          <cell r="F437">
            <v>1139369480</v>
          </cell>
          <cell r="G437">
            <v>0</v>
          </cell>
          <cell r="H437">
            <v>304212492</v>
          </cell>
        </row>
        <row r="438">
          <cell r="B438">
            <v>7351020103230</v>
          </cell>
          <cell r="D438">
            <v>683143543</v>
          </cell>
          <cell r="E438">
            <v>0</v>
          </cell>
          <cell r="F438">
            <v>683143543</v>
          </cell>
          <cell r="G438">
            <v>0</v>
          </cell>
          <cell r="H438">
            <v>361053732</v>
          </cell>
        </row>
        <row r="439">
          <cell r="B439">
            <v>7351020103250</v>
          </cell>
          <cell r="D439">
            <v>116189446</v>
          </cell>
          <cell r="E439">
            <v>0</v>
          </cell>
          <cell r="F439">
            <v>116189446</v>
          </cell>
          <cell r="G439">
            <v>0</v>
          </cell>
          <cell r="H439">
            <v>204935369</v>
          </cell>
        </row>
        <row r="440">
          <cell r="B440">
            <v>7351020103260</v>
          </cell>
          <cell r="D440">
            <v>1721968040</v>
          </cell>
          <cell r="E440">
            <v>0</v>
          </cell>
          <cell r="F440">
            <v>1721968040</v>
          </cell>
          <cell r="G440">
            <v>0</v>
          </cell>
          <cell r="H440">
            <v>678720461</v>
          </cell>
        </row>
        <row r="441">
          <cell r="B441">
            <v>7351020103270</v>
          </cell>
          <cell r="D441">
            <v>452811114</v>
          </cell>
          <cell r="E441">
            <v>0</v>
          </cell>
          <cell r="F441">
            <v>452811114</v>
          </cell>
          <cell r="G441">
            <v>0</v>
          </cell>
          <cell r="H441">
            <v>248674019</v>
          </cell>
        </row>
        <row r="442">
          <cell r="B442">
            <v>7351020103280</v>
          </cell>
          <cell r="D442">
            <v>482944108</v>
          </cell>
          <cell r="E442">
            <v>0</v>
          </cell>
          <cell r="F442">
            <v>482944108</v>
          </cell>
          <cell r="G442">
            <v>0</v>
          </cell>
          <cell r="H442">
            <v>178649605</v>
          </cell>
        </row>
        <row r="443">
          <cell r="B443">
            <v>7351020103290</v>
          </cell>
          <cell r="D443">
            <v>953591296</v>
          </cell>
          <cell r="E443">
            <v>0</v>
          </cell>
          <cell r="F443">
            <v>953591296</v>
          </cell>
          <cell r="G443">
            <v>0</v>
          </cell>
          <cell r="H443">
            <v>561980891</v>
          </cell>
        </row>
        <row r="444">
          <cell r="B444">
            <v>7351040103210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1578850000</v>
          </cell>
        </row>
        <row r="445">
          <cell r="B445">
            <v>7351040103220</v>
          </cell>
          <cell r="D445">
            <v>2076442749</v>
          </cell>
          <cell r="E445">
            <v>0</v>
          </cell>
          <cell r="F445">
            <v>2076442749</v>
          </cell>
          <cell r="G445">
            <v>0</v>
          </cell>
          <cell r="H445">
            <v>1267552050</v>
          </cell>
        </row>
        <row r="446">
          <cell r="B446">
            <v>7351040103230</v>
          </cell>
          <cell r="D446">
            <v>1509336300</v>
          </cell>
          <cell r="E446">
            <v>13256850</v>
          </cell>
          <cell r="F446">
            <v>1496079450</v>
          </cell>
          <cell r="G446">
            <v>0</v>
          </cell>
          <cell r="H446">
            <v>1504390550</v>
          </cell>
        </row>
        <row r="447">
          <cell r="B447">
            <v>7351040103250</v>
          </cell>
          <cell r="D447">
            <v>732946530</v>
          </cell>
          <cell r="E447">
            <v>299434950</v>
          </cell>
          <cell r="F447">
            <v>433511580</v>
          </cell>
          <cell r="G447">
            <v>0</v>
          </cell>
          <cell r="H447">
            <v>853897365</v>
          </cell>
        </row>
        <row r="448">
          <cell r="B448">
            <v>7351040103260</v>
          </cell>
          <cell r="D448">
            <v>3581574920</v>
          </cell>
          <cell r="E448">
            <v>0</v>
          </cell>
          <cell r="F448">
            <v>3581574920</v>
          </cell>
          <cell r="G448">
            <v>0</v>
          </cell>
          <cell r="H448">
            <v>2828001920</v>
          </cell>
        </row>
        <row r="449">
          <cell r="B449">
            <v>7351040103270</v>
          </cell>
          <cell r="D449">
            <v>1041864800</v>
          </cell>
          <cell r="E449">
            <v>11447600</v>
          </cell>
          <cell r="F449">
            <v>1030417200</v>
          </cell>
          <cell r="G449">
            <v>0</v>
          </cell>
          <cell r="H449">
            <v>1036141740</v>
          </cell>
        </row>
        <row r="450">
          <cell r="B450">
            <v>7351040103280</v>
          </cell>
          <cell r="D450">
            <v>1240260756</v>
          </cell>
          <cell r="E450">
            <v>0</v>
          </cell>
          <cell r="F450">
            <v>1240260756</v>
          </cell>
          <cell r="G450">
            <v>0</v>
          </cell>
          <cell r="H450">
            <v>744373360</v>
          </cell>
        </row>
        <row r="451">
          <cell r="B451">
            <v>7351040103290</v>
          </cell>
          <cell r="D451">
            <v>2399387020</v>
          </cell>
          <cell r="E451">
            <v>25873000</v>
          </cell>
          <cell r="F451">
            <v>2373514020</v>
          </cell>
          <cell r="G451">
            <v>0</v>
          </cell>
          <cell r="H451">
            <v>2341587045</v>
          </cell>
        </row>
        <row r="452">
          <cell r="B452">
            <v>7351131503120</v>
          </cell>
          <cell r="D452">
            <v>32335655</v>
          </cell>
          <cell r="E452">
            <v>0</v>
          </cell>
          <cell r="F452">
            <v>32335655</v>
          </cell>
          <cell r="G452">
            <v>0</v>
          </cell>
          <cell r="H452">
            <v>62400000</v>
          </cell>
        </row>
        <row r="453">
          <cell r="B453">
            <v>7351131503131</v>
          </cell>
          <cell r="D453">
            <v>156675060</v>
          </cell>
          <cell r="E453">
            <v>0</v>
          </cell>
          <cell r="F453">
            <v>156675060</v>
          </cell>
          <cell r="G453">
            <v>0</v>
          </cell>
          <cell r="H453">
            <v>33600000</v>
          </cell>
        </row>
        <row r="454">
          <cell r="B454">
            <v>7351131503132</v>
          </cell>
          <cell r="D454">
            <v>609849114</v>
          </cell>
          <cell r="E454">
            <v>0</v>
          </cell>
          <cell r="F454">
            <v>609849114</v>
          </cell>
          <cell r="G454">
            <v>0</v>
          </cell>
          <cell r="H454">
            <v>33600000</v>
          </cell>
        </row>
        <row r="455">
          <cell r="B455">
            <v>7351131503133</v>
          </cell>
          <cell r="D455">
            <v>30000540</v>
          </cell>
          <cell r="E455">
            <v>0</v>
          </cell>
          <cell r="F455">
            <v>30000540</v>
          </cell>
          <cell r="G455">
            <v>0</v>
          </cell>
          <cell r="H455">
            <v>24000000</v>
          </cell>
        </row>
        <row r="456">
          <cell r="B456">
            <v>7351131503134</v>
          </cell>
          <cell r="D456">
            <v>5205000</v>
          </cell>
          <cell r="E456">
            <v>0</v>
          </cell>
          <cell r="F456">
            <v>5205000</v>
          </cell>
          <cell r="G456">
            <v>0</v>
          </cell>
          <cell r="H456">
            <v>14400000</v>
          </cell>
        </row>
        <row r="457">
          <cell r="B457">
            <v>7351131503135</v>
          </cell>
          <cell r="D457">
            <v>8669025</v>
          </cell>
          <cell r="E457">
            <v>0</v>
          </cell>
          <cell r="F457">
            <v>8669025</v>
          </cell>
          <cell r="G457">
            <v>0</v>
          </cell>
          <cell r="H457">
            <v>4800000</v>
          </cell>
        </row>
        <row r="458">
          <cell r="B458">
            <v>7351131503136</v>
          </cell>
          <cell r="D458">
            <v>30539000</v>
          </cell>
          <cell r="E458">
            <v>0</v>
          </cell>
          <cell r="F458">
            <v>30539000</v>
          </cell>
          <cell r="G458">
            <v>0</v>
          </cell>
          <cell r="H458">
            <v>28800000</v>
          </cell>
        </row>
        <row r="459">
          <cell r="B459">
            <v>7351131503141</v>
          </cell>
          <cell r="D459">
            <v>28475484</v>
          </cell>
          <cell r="E459">
            <v>0</v>
          </cell>
          <cell r="F459">
            <v>28475484</v>
          </cell>
          <cell r="G459">
            <v>0</v>
          </cell>
          <cell r="H459">
            <v>38400000</v>
          </cell>
        </row>
        <row r="460">
          <cell r="B460">
            <v>7351131503142</v>
          </cell>
          <cell r="D460">
            <v>54513878</v>
          </cell>
          <cell r="E460">
            <v>0</v>
          </cell>
          <cell r="F460">
            <v>54513878</v>
          </cell>
          <cell r="G460">
            <v>0</v>
          </cell>
          <cell r="H460">
            <v>19200000</v>
          </cell>
        </row>
        <row r="461">
          <cell r="B461">
            <v>7351131503143</v>
          </cell>
          <cell r="D461">
            <v>16896105</v>
          </cell>
          <cell r="E461">
            <v>0</v>
          </cell>
          <cell r="F461">
            <v>16896105</v>
          </cell>
          <cell r="G461">
            <v>0</v>
          </cell>
          <cell r="H461">
            <v>19200000</v>
          </cell>
        </row>
        <row r="462">
          <cell r="B462">
            <v>7351131503220</v>
          </cell>
          <cell r="D462">
            <v>80108910</v>
          </cell>
          <cell r="E462">
            <v>0</v>
          </cell>
          <cell r="F462">
            <v>80108910</v>
          </cell>
          <cell r="G462">
            <v>0</v>
          </cell>
          <cell r="H462">
            <v>24000000</v>
          </cell>
        </row>
        <row r="463">
          <cell r="B463">
            <v>7351131503230</v>
          </cell>
          <cell r="D463">
            <v>20361690</v>
          </cell>
          <cell r="E463">
            <v>0</v>
          </cell>
          <cell r="F463">
            <v>20361690</v>
          </cell>
          <cell r="G463">
            <v>0</v>
          </cell>
          <cell r="H463">
            <v>24000000</v>
          </cell>
        </row>
        <row r="464">
          <cell r="B464">
            <v>7351131503250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9600000</v>
          </cell>
        </row>
        <row r="465">
          <cell r="B465">
            <v>7351131503260</v>
          </cell>
          <cell r="D465">
            <v>34345110</v>
          </cell>
          <cell r="E465">
            <v>0</v>
          </cell>
          <cell r="F465">
            <v>34345110</v>
          </cell>
          <cell r="G465">
            <v>0</v>
          </cell>
          <cell r="H465">
            <v>62400000</v>
          </cell>
        </row>
        <row r="466">
          <cell r="B466">
            <v>7351131503270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14400000</v>
          </cell>
        </row>
        <row r="467">
          <cell r="B467">
            <v>7351131503280</v>
          </cell>
          <cell r="D467">
            <v>57241346</v>
          </cell>
          <cell r="E467">
            <v>0</v>
          </cell>
          <cell r="F467">
            <v>57241346</v>
          </cell>
          <cell r="G467">
            <v>0</v>
          </cell>
          <cell r="H467">
            <v>9600000</v>
          </cell>
        </row>
        <row r="468">
          <cell r="B468">
            <v>7351131503290</v>
          </cell>
          <cell r="D468">
            <v>15932800</v>
          </cell>
          <cell r="E468">
            <v>0</v>
          </cell>
          <cell r="F468">
            <v>15932800</v>
          </cell>
          <cell r="G468">
            <v>0</v>
          </cell>
          <cell r="H468">
            <v>33600000</v>
          </cell>
        </row>
        <row r="469">
          <cell r="B469">
            <v>7351210103210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1900800000</v>
          </cell>
        </row>
        <row r="470">
          <cell r="B470">
            <v>7351210103220</v>
          </cell>
          <cell r="D470">
            <v>1284916116</v>
          </cell>
          <cell r="E470">
            <v>0</v>
          </cell>
          <cell r="F470">
            <v>1284916116</v>
          </cell>
          <cell r="G470">
            <v>0</v>
          </cell>
          <cell r="H470">
            <v>760320000</v>
          </cell>
        </row>
        <row r="471">
          <cell r="B471">
            <v>7351210103230</v>
          </cell>
          <cell r="D471">
            <v>955258954</v>
          </cell>
          <cell r="E471">
            <v>0</v>
          </cell>
          <cell r="F471">
            <v>955258954</v>
          </cell>
          <cell r="G471">
            <v>0</v>
          </cell>
          <cell r="H471">
            <v>950400000</v>
          </cell>
        </row>
        <row r="472">
          <cell r="B472">
            <v>7351210103250</v>
          </cell>
          <cell r="D472">
            <v>224465882</v>
          </cell>
          <cell r="E472">
            <v>0</v>
          </cell>
          <cell r="F472">
            <v>224465882</v>
          </cell>
          <cell r="G472">
            <v>0</v>
          </cell>
          <cell r="H472">
            <v>380160000</v>
          </cell>
        </row>
        <row r="473">
          <cell r="B473">
            <v>7351210103260</v>
          </cell>
          <cell r="D473">
            <v>1810814100</v>
          </cell>
          <cell r="E473">
            <v>0</v>
          </cell>
          <cell r="F473">
            <v>1810814100</v>
          </cell>
          <cell r="G473">
            <v>0</v>
          </cell>
          <cell r="H473">
            <v>1520640000</v>
          </cell>
        </row>
        <row r="474">
          <cell r="B474">
            <v>7351210103270</v>
          </cell>
          <cell r="D474">
            <v>545771990</v>
          </cell>
          <cell r="E474">
            <v>0</v>
          </cell>
          <cell r="F474">
            <v>545771990</v>
          </cell>
          <cell r="G474">
            <v>0</v>
          </cell>
          <cell r="H474">
            <v>570240000</v>
          </cell>
        </row>
        <row r="475">
          <cell r="B475">
            <v>7351210103280</v>
          </cell>
          <cell r="D475">
            <v>536448119</v>
          </cell>
          <cell r="E475">
            <v>0</v>
          </cell>
          <cell r="F475">
            <v>536448119</v>
          </cell>
          <cell r="G475">
            <v>0</v>
          </cell>
          <cell r="H475">
            <v>380160000</v>
          </cell>
        </row>
        <row r="476">
          <cell r="B476">
            <v>7351210103290</v>
          </cell>
          <cell r="D476">
            <v>1117572177</v>
          </cell>
          <cell r="E476">
            <v>0</v>
          </cell>
          <cell r="F476">
            <v>1117572177</v>
          </cell>
          <cell r="G476">
            <v>0</v>
          </cell>
          <cell r="H476">
            <v>1140480000</v>
          </cell>
        </row>
        <row r="477">
          <cell r="B477">
            <v>7351240103210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153464220</v>
          </cell>
        </row>
        <row r="478">
          <cell r="B478">
            <v>7351240103220</v>
          </cell>
          <cell r="D478">
            <v>226086937</v>
          </cell>
          <cell r="E478">
            <v>0</v>
          </cell>
          <cell r="F478">
            <v>226086937</v>
          </cell>
          <cell r="G478">
            <v>0</v>
          </cell>
          <cell r="H478">
            <v>123206059</v>
          </cell>
        </row>
        <row r="479">
          <cell r="B479">
            <v>7351240103230</v>
          </cell>
          <cell r="D479">
            <v>161554590</v>
          </cell>
          <cell r="E479">
            <v>0</v>
          </cell>
          <cell r="F479">
            <v>161554590</v>
          </cell>
          <cell r="G479">
            <v>0</v>
          </cell>
          <cell r="H479">
            <v>146226760</v>
          </cell>
        </row>
        <row r="480">
          <cell r="B480">
            <v>7351240103250</v>
          </cell>
          <cell r="D480">
            <v>42926312</v>
          </cell>
          <cell r="E480">
            <v>0</v>
          </cell>
          <cell r="F480">
            <v>42926312</v>
          </cell>
          <cell r="G480">
            <v>0</v>
          </cell>
          <cell r="H480">
            <v>82998823</v>
          </cell>
        </row>
        <row r="481">
          <cell r="B481">
            <v>7351240103260</v>
          </cell>
          <cell r="D481">
            <v>374409045</v>
          </cell>
          <cell r="E481">
            <v>0</v>
          </cell>
          <cell r="F481">
            <v>374409045</v>
          </cell>
          <cell r="G481">
            <v>0</v>
          </cell>
          <cell r="H481">
            <v>274881786</v>
          </cell>
        </row>
        <row r="482">
          <cell r="B482">
            <v>7351240103270</v>
          </cell>
          <cell r="D482">
            <v>106768388</v>
          </cell>
          <cell r="E482">
            <v>0</v>
          </cell>
          <cell r="F482">
            <v>106768388</v>
          </cell>
          <cell r="G482">
            <v>0</v>
          </cell>
          <cell r="H482">
            <v>100712978</v>
          </cell>
        </row>
        <row r="483">
          <cell r="B483">
            <v>7351240103280</v>
          </cell>
          <cell r="D483">
            <v>124856587</v>
          </cell>
          <cell r="E483">
            <v>0</v>
          </cell>
          <cell r="F483">
            <v>124856587</v>
          </cell>
          <cell r="G483">
            <v>0</v>
          </cell>
          <cell r="H483">
            <v>72353091</v>
          </cell>
        </row>
        <row r="484">
          <cell r="B484">
            <v>7351240103290</v>
          </cell>
          <cell r="D484">
            <v>242489455</v>
          </cell>
          <cell r="E484">
            <v>0</v>
          </cell>
          <cell r="F484">
            <v>242489455</v>
          </cell>
          <cell r="G484">
            <v>0</v>
          </cell>
          <cell r="H484">
            <v>227602263</v>
          </cell>
        </row>
        <row r="485">
          <cell r="B485">
            <v>7351320103120</v>
          </cell>
          <cell r="D485">
            <v>1418699860</v>
          </cell>
          <cell r="E485">
            <v>0</v>
          </cell>
          <cell r="F485">
            <v>1418699860</v>
          </cell>
          <cell r="G485">
            <v>0</v>
          </cell>
          <cell r="H485">
            <v>1848000000</v>
          </cell>
        </row>
        <row r="486">
          <cell r="B486">
            <v>7351320103131</v>
          </cell>
          <cell r="D486">
            <v>810685634</v>
          </cell>
          <cell r="E486">
            <v>0</v>
          </cell>
          <cell r="F486">
            <v>810685634</v>
          </cell>
          <cell r="G486">
            <v>0</v>
          </cell>
          <cell r="H486">
            <v>924000000</v>
          </cell>
        </row>
        <row r="487">
          <cell r="B487">
            <v>7351320103132</v>
          </cell>
          <cell r="D487">
            <v>912021338</v>
          </cell>
          <cell r="E487">
            <v>0</v>
          </cell>
          <cell r="F487">
            <v>912021338</v>
          </cell>
          <cell r="G487">
            <v>0</v>
          </cell>
          <cell r="H487">
            <v>924000000</v>
          </cell>
        </row>
        <row r="488">
          <cell r="B488">
            <v>7351320103133</v>
          </cell>
          <cell r="D488">
            <v>608014227</v>
          </cell>
          <cell r="E488">
            <v>0</v>
          </cell>
          <cell r="F488">
            <v>608014227</v>
          </cell>
          <cell r="G488">
            <v>0</v>
          </cell>
          <cell r="H488">
            <v>660000000</v>
          </cell>
        </row>
        <row r="489">
          <cell r="B489">
            <v>7351320103134</v>
          </cell>
          <cell r="D489">
            <v>101335703</v>
          </cell>
          <cell r="E489">
            <v>0</v>
          </cell>
          <cell r="F489">
            <v>101335703</v>
          </cell>
          <cell r="G489">
            <v>0</v>
          </cell>
          <cell r="H489">
            <v>132000000</v>
          </cell>
        </row>
        <row r="490">
          <cell r="B490">
            <v>7351320103135</v>
          </cell>
          <cell r="D490">
            <v>202671409</v>
          </cell>
          <cell r="E490">
            <v>0</v>
          </cell>
          <cell r="F490">
            <v>202671409</v>
          </cell>
          <cell r="G490">
            <v>0</v>
          </cell>
          <cell r="H490">
            <v>132000000</v>
          </cell>
        </row>
        <row r="491">
          <cell r="B491">
            <v>7351320103136</v>
          </cell>
          <cell r="D491">
            <v>608014227</v>
          </cell>
          <cell r="E491">
            <v>0</v>
          </cell>
          <cell r="F491">
            <v>608014227</v>
          </cell>
          <cell r="G491">
            <v>0</v>
          </cell>
          <cell r="H491">
            <v>792000000</v>
          </cell>
        </row>
        <row r="492">
          <cell r="B492">
            <v>7351320103141</v>
          </cell>
          <cell r="D492">
            <v>810685634</v>
          </cell>
          <cell r="E492">
            <v>0</v>
          </cell>
          <cell r="F492">
            <v>810685634</v>
          </cell>
          <cell r="G492">
            <v>0</v>
          </cell>
          <cell r="H492">
            <v>1056000000</v>
          </cell>
        </row>
        <row r="493">
          <cell r="B493">
            <v>7351320103142</v>
          </cell>
          <cell r="D493">
            <v>405342819</v>
          </cell>
          <cell r="E493">
            <v>0</v>
          </cell>
          <cell r="F493">
            <v>405342819</v>
          </cell>
          <cell r="G493">
            <v>0</v>
          </cell>
          <cell r="H493">
            <v>528000000</v>
          </cell>
        </row>
        <row r="494">
          <cell r="B494">
            <v>7351320103143</v>
          </cell>
          <cell r="D494">
            <v>608014227</v>
          </cell>
          <cell r="E494">
            <v>0</v>
          </cell>
          <cell r="F494">
            <v>608014227</v>
          </cell>
          <cell r="G494">
            <v>0</v>
          </cell>
          <cell r="H494">
            <v>528000000</v>
          </cell>
        </row>
        <row r="495">
          <cell r="B495">
            <v>7351320103210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1320000000</v>
          </cell>
        </row>
        <row r="496">
          <cell r="B496">
            <v>7351320103220</v>
          </cell>
          <cell r="D496">
            <v>608014227</v>
          </cell>
          <cell r="E496">
            <v>0</v>
          </cell>
          <cell r="F496">
            <v>608014227</v>
          </cell>
          <cell r="G496">
            <v>0</v>
          </cell>
          <cell r="H496">
            <v>528000000</v>
          </cell>
        </row>
        <row r="497">
          <cell r="B497">
            <v>7351320103230</v>
          </cell>
          <cell r="D497">
            <v>506678522</v>
          </cell>
          <cell r="E497">
            <v>0</v>
          </cell>
          <cell r="F497">
            <v>506678522</v>
          </cell>
          <cell r="G497">
            <v>0</v>
          </cell>
          <cell r="H497">
            <v>660000000</v>
          </cell>
        </row>
        <row r="498">
          <cell r="B498">
            <v>7351320103250</v>
          </cell>
          <cell r="D498">
            <v>202671409</v>
          </cell>
          <cell r="E498">
            <v>0</v>
          </cell>
          <cell r="F498">
            <v>202671409</v>
          </cell>
          <cell r="G498">
            <v>0</v>
          </cell>
          <cell r="H498">
            <v>264000000</v>
          </cell>
        </row>
        <row r="499">
          <cell r="B499">
            <v>7351320103260</v>
          </cell>
          <cell r="D499">
            <v>810685634</v>
          </cell>
          <cell r="E499">
            <v>0</v>
          </cell>
          <cell r="F499">
            <v>810685634</v>
          </cell>
          <cell r="G499">
            <v>0</v>
          </cell>
          <cell r="H499">
            <v>1056000000</v>
          </cell>
        </row>
        <row r="500">
          <cell r="B500">
            <v>7351320103270</v>
          </cell>
          <cell r="D500">
            <v>304007112</v>
          </cell>
          <cell r="E500">
            <v>0</v>
          </cell>
          <cell r="F500">
            <v>304007112</v>
          </cell>
          <cell r="G500">
            <v>0</v>
          </cell>
          <cell r="H500">
            <v>396000000</v>
          </cell>
        </row>
        <row r="501">
          <cell r="B501">
            <v>7351320103280</v>
          </cell>
          <cell r="D501">
            <v>202671409</v>
          </cell>
          <cell r="E501">
            <v>0</v>
          </cell>
          <cell r="F501">
            <v>202671409</v>
          </cell>
          <cell r="G501">
            <v>0</v>
          </cell>
          <cell r="H501">
            <v>264000000</v>
          </cell>
        </row>
        <row r="502">
          <cell r="B502">
            <v>7351320103290</v>
          </cell>
          <cell r="D502">
            <v>608014227</v>
          </cell>
          <cell r="E502">
            <v>0</v>
          </cell>
          <cell r="F502">
            <v>608014227</v>
          </cell>
          <cell r="G502">
            <v>0</v>
          </cell>
          <cell r="H502">
            <v>792000000</v>
          </cell>
        </row>
        <row r="503">
          <cell r="B503">
            <v>7351320103295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B504">
            <v>7351360103120</v>
          </cell>
          <cell r="D504">
            <v>2892656136</v>
          </cell>
          <cell r="E504">
            <v>0</v>
          </cell>
          <cell r="F504">
            <v>2892656136</v>
          </cell>
          <cell r="G504">
            <v>0</v>
          </cell>
          <cell r="H504">
            <v>2184000000</v>
          </cell>
        </row>
        <row r="505">
          <cell r="B505">
            <v>7351360103131</v>
          </cell>
          <cell r="D505">
            <v>1652946362</v>
          </cell>
          <cell r="E505">
            <v>0</v>
          </cell>
          <cell r="F505">
            <v>1652946362</v>
          </cell>
          <cell r="G505">
            <v>0</v>
          </cell>
          <cell r="H505">
            <v>1092000000</v>
          </cell>
        </row>
        <row r="506">
          <cell r="B506">
            <v>7351360103132</v>
          </cell>
          <cell r="D506">
            <v>1859564658</v>
          </cell>
          <cell r="E506">
            <v>0</v>
          </cell>
          <cell r="F506">
            <v>1859564658</v>
          </cell>
          <cell r="G506">
            <v>0</v>
          </cell>
          <cell r="H506">
            <v>1092000000</v>
          </cell>
        </row>
        <row r="507">
          <cell r="B507">
            <v>7351360103133</v>
          </cell>
          <cell r="D507">
            <v>1239709772</v>
          </cell>
          <cell r="E507">
            <v>0</v>
          </cell>
          <cell r="F507">
            <v>1239709772</v>
          </cell>
          <cell r="G507">
            <v>0</v>
          </cell>
          <cell r="H507">
            <v>780000000</v>
          </cell>
        </row>
        <row r="508">
          <cell r="B508">
            <v>7351360103134</v>
          </cell>
          <cell r="D508">
            <v>206618296</v>
          </cell>
          <cell r="E508">
            <v>0</v>
          </cell>
          <cell r="F508">
            <v>206618296</v>
          </cell>
          <cell r="G508">
            <v>0</v>
          </cell>
          <cell r="H508">
            <v>156000000</v>
          </cell>
        </row>
        <row r="509">
          <cell r="B509">
            <v>7351360103135</v>
          </cell>
          <cell r="D509">
            <v>413236591</v>
          </cell>
          <cell r="E509">
            <v>0</v>
          </cell>
          <cell r="F509">
            <v>413236591</v>
          </cell>
          <cell r="G509">
            <v>0</v>
          </cell>
          <cell r="H509">
            <v>156000000</v>
          </cell>
        </row>
        <row r="510">
          <cell r="B510">
            <v>7351360103136</v>
          </cell>
          <cell r="D510">
            <v>1239709772</v>
          </cell>
          <cell r="E510">
            <v>0</v>
          </cell>
          <cell r="F510">
            <v>1239709772</v>
          </cell>
          <cell r="G510">
            <v>0</v>
          </cell>
          <cell r="H510">
            <v>936000000</v>
          </cell>
        </row>
        <row r="511">
          <cell r="B511">
            <v>7351360103141</v>
          </cell>
          <cell r="D511">
            <v>1652946362</v>
          </cell>
          <cell r="E511">
            <v>0</v>
          </cell>
          <cell r="F511">
            <v>1652946362</v>
          </cell>
          <cell r="G511">
            <v>0</v>
          </cell>
          <cell r="H511">
            <v>1248000000</v>
          </cell>
        </row>
        <row r="512">
          <cell r="B512">
            <v>7351360103142</v>
          </cell>
          <cell r="D512">
            <v>826473182</v>
          </cell>
          <cell r="E512">
            <v>0</v>
          </cell>
          <cell r="F512">
            <v>826473182</v>
          </cell>
          <cell r="G512">
            <v>0</v>
          </cell>
          <cell r="H512">
            <v>624000000</v>
          </cell>
        </row>
        <row r="513">
          <cell r="B513">
            <v>7351360103143</v>
          </cell>
          <cell r="D513">
            <v>1239709772</v>
          </cell>
          <cell r="E513">
            <v>0</v>
          </cell>
          <cell r="F513">
            <v>1239709772</v>
          </cell>
          <cell r="G513">
            <v>0</v>
          </cell>
          <cell r="H513">
            <v>624000000</v>
          </cell>
        </row>
        <row r="514">
          <cell r="B514">
            <v>7351360103210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1560000000</v>
          </cell>
        </row>
        <row r="515">
          <cell r="B515">
            <v>7351360103220</v>
          </cell>
          <cell r="D515">
            <v>1239709772</v>
          </cell>
          <cell r="E515">
            <v>0</v>
          </cell>
          <cell r="F515">
            <v>1239709772</v>
          </cell>
          <cell r="G515">
            <v>0</v>
          </cell>
          <cell r="H515">
            <v>624000000</v>
          </cell>
        </row>
        <row r="516">
          <cell r="B516">
            <v>7351360103230</v>
          </cell>
          <cell r="D516">
            <v>1033091479</v>
          </cell>
          <cell r="E516">
            <v>0</v>
          </cell>
          <cell r="F516">
            <v>1033091479</v>
          </cell>
          <cell r="G516">
            <v>0</v>
          </cell>
          <cell r="H516">
            <v>780000000</v>
          </cell>
        </row>
        <row r="517">
          <cell r="B517">
            <v>7351360103250</v>
          </cell>
          <cell r="D517">
            <v>413236592</v>
          </cell>
          <cell r="E517">
            <v>0</v>
          </cell>
          <cell r="F517">
            <v>413236592</v>
          </cell>
          <cell r="G517">
            <v>0</v>
          </cell>
          <cell r="H517">
            <v>312000000</v>
          </cell>
        </row>
        <row r="518">
          <cell r="B518">
            <v>7351360103260</v>
          </cell>
          <cell r="D518">
            <v>1652946362</v>
          </cell>
          <cell r="E518">
            <v>0</v>
          </cell>
          <cell r="F518">
            <v>1652946362</v>
          </cell>
          <cell r="G518">
            <v>0</v>
          </cell>
          <cell r="H518">
            <v>1248000000</v>
          </cell>
        </row>
        <row r="519">
          <cell r="B519">
            <v>7351360103270</v>
          </cell>
          <cell r="D519">
            <v>619854887</v>
          </cell>
          <cell r="E519">
            <v>0</v>
          </cell>
          <cell r="F519">
            <v>619854887</v>
          </cell>
          <cell r="G519">
            <v>0</v>
          </cell>
          <cell r="H519">
            <v>468000000</v>
          </cell>
        </row>
        <row r="520">
          <cell r="B520">
            <v>7351360103280</v>
          </cell>
          <cell r="D520">
            <v>413236592</v>
          </cell>
          <cell r="E520">
            <v>0</v>
          </cell>
          <cell r="F520">
            <v>413236592</v>
          </cell>
          <cell r="G520">
            <v>0</v>
          </cell>
          <cell r="H520">
            <v>312000000</v>
          </cell>
        </row>
        <row r="521">
          <cell r="B521">
            <v>7351360103290</v>
          </cell>
          <cell r="D521">
            <v>1239709773</v>
          </cell>
          <cell r="E521">
            <v>0</v>
          </cell>
          <cell r="F521">
            <v>1239709773</v>
          </cell>
          <cell r="G521">
            <v>0</v>
          </cell>
          <cell r="H521">
            <v>936000000</v>
          </cell>
        </row>
        <row r="522">
          <cell r="B522">
            <v>7351360103295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>
            <v>7353120103120</v>
          </cell>
          <cell r="D523">
            <v>3743999990</v>
          </cell>
          <cell r="E523">
            <v>0</v>
          </cell>
          <cell r="F523">
            <v>3743999990</v>
          </cell>
          <cell r="G523">
            <v>0</v>
          </cell>
          <cell r="H523">
            <v>0</v>
          </cell>
        </row>
        <row r="524">
          <cell r="B524">
            <v>7353130103012</v>
          </cell>
          <cell r="D524">
            <v>16400000</v>
          </cell>
          <cell r="E524">
            <v>0</v>
          </cell>
          <cell r="F524">
            <v>16400000</v>
          </cell>
          <cell r="G524">
            <v>0</v>
          </cell>
          <cell r="H524">
            <v>0</v>
          </cell>
        </row>
        <row r="525">
          <cell r="B525">
            <v>7353130103120</v>
          </cell>
          <cell r="D525">
            <v>1123808311</v>
          </cell>
          <cell r="E525">
            <v>0</v>
          </cell>
          <cell r="F525">
            <v>1123808311</v>
          </cell>
          <cell r="G525">
            <v>0</v>
          </cell>
          <cell r="H525">
            <v>0</v>
          </cell>
        </row>
        <row r="526">
          <cell r="B526">
            <v>7353130103131</v>
          </cell>
          <cell r="D526">
            <v>1467016824</v>
          </cell>
          <cell r="E526">
            <v>0</v>
          </cell>
          <cell r="F526">
            <v>1467016824</v>
          </cell>
          <cell r="G526">
            <v>0</v>
          </cell>
          <cell r="H526">
            <v>0</v>
          </cell>
        </row>
        <row r="527">
          <cell r="B527">
            <v>7353130103132</v>
          </cell>
          <cell r="D527">
            <v>244343594</v>
          </cell>
          <cell r="E527">
            <v>0</v>
          </cell>
          <cell r="F527">
            <v>244343594</v>
          </cell>
          <cell r="G527">
            <v>0</v>
          </cell>
          <cell r="H527">
            <v>0</v>
          </cell>
        </row>
        <row r="528">
          <cell r="B528">
            <v>7353130103133</v>
          </cell>
          <cell r="D528">
            <v>200591161</v>
          </cell>
          <cell r="E528">
            <v>0</v>
          </cell>
          <cell r="F528">
            <v>200591161</v>
          </cell>
          <cell r="G528">
            <v>0</v>
          </cell>
          <cell r="H528">
            <v>0</v>
          </cell>
        </row>
        <row r="529">
          <cell r="B529">
            <v>7353130103135</v>
          </cell>
          <cell r="D529">
            <v>1196953500</v>
          </cell>
          <cell r="E529">
            <v>0</v>
          </cell>
          <cell r="F529">
            <v>1196953500</v>
          </cell>
          <cell r="G529">
            <v>0</v>
          </cell>
          <cell r="H529">
            <v>0</v>
          </cell>
        </row>
        <row r="530">
          <cell r="B530">
            <v>7353130103136</v>
          </cell>
          <cell r="D530">
            <v>1054813140</v>
          </cell>
          <cell r="E530">
            <v>0</v>
          </cell>
          <cell r="F530">
            <v>1054813140</v>
          </cell>
          <cell r="G530">
            <v>0</v>
          </cell>
          <cell r="H530">
            <v>0</v>
          </cell>
        </row>
        <row r="531">
          <cell r="B531">
            <v>7353130103140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</row>
        <row r="532">
          <cell r="B532">
            <v>7353130103141</v>
          </cell>
          <cell r="D532">
            <v>60000000</v>
          </cell>
          <cell r="E532">
            <v>0</v>
          </cell>
          <cell r="F532">
            <v>60000000</v>
          </cell>
          <cell r="G532">
            <v>0</v>
          </cell>
          <cell r="H532">
            <v>0</v>
          </cell>
        </row>
        <row r="533">
          <cell r="B533">
            <v>7353130103143</v>
          </cell>
          <cell r="D533">
            <v>3768810000</v>
          </cell>
          <cell r="E533">
            <v>0</v>
          </cell>
          <cell r="F533">
            <v>3768810000</v>
          </cell>
          <cell r="G533">
            <v>0</v>
          </cell>
          <cell r="H533">
            <v>0</v>
          </cell>
        </row>
        <row r="534">
          <cell r="B534">
            <v>7353130103250</v>
          </cell>
          <cell r="D534">
            <v>145135000</v>
          </cell>
          <cell r="E534">
            <v>0</v>
          </cell>
          <cell r="F534">
            <v>145135000</v>
          </cell>
          <cell r="G534">
            <v>0</v>
          </cell>
          <cell r="H534">
            <v>0</v>
          </cell>
        </row>
        <row r="535">
          <cell r="B535">
            <v>7353130103320</v>
          </cell>
          <cell r="D535">
            <v>35890000</v>
          </cell>
          <cell r="E535">
            <v>0</v>
          </cell>
          <cell r="F535">
            <v>35890000</v>
          </cell>
          <cell r="G535">
            <v>0</v>
          </cell>
          <cell r="H535">
            <v>0</v>
          </cell>
        </row>
        <row r="536">
          <cell r="B536">
            <v>7353130103330</v>
          </cell>
          <cell r="D536">
            <v>200000000</v>
          </cell>
          <cell r="E536">
            <v>0</v>
          </cell>
          <cell r="F536">
            <v>200000000</v>
          </cell>
          <cell r="G536">
            <v>0</v>
          </cell>
          <cell r="H536">
            <v>0</v>
          </cell>
        </row>
        <row r="537">
          <cell r="B537">
            <v>7353130103340</v>
          </cell>
          <cell r="D537">
            <v>825687716</v>
          </cell>
          <cell r="E537">
            <v>0</v>
          </cell>
          <cell r="F537">
            <v>825687716</v>
          </cell>
          <cell r="G537">
            <v>0</v>
          </cell>
          <cell r="H537">
            <v>0</v>
          </cell>
        </row>
        <row r="538">
          <cell r="B538">
            <v>7353160103260</v>
          </cell>
          <cell r="D538">
            <v>4311493641</v>
          </cell>
          <cell r="E538">
            <v>0</v>
          </cell>
          <cell r="F538">
            <v>4311493641</v>
          </cell>
          <cell r="G538">
            <v>0</v>
          </cell>
          <cell r="H538">
            <v>0</v>
          </cell>
        </row>
        <row r="539">
          <cell r="B539">
            <v>7353230103330</v>
          </cell>
          <cell r="D539">
            <v>120000000</v>
          </cell>
          <cell r="E539">
            <v>0</v>
          </cell>
          <cell r="F539">
            <v>120000000</v>
          </cell>
          <cell r="G539">
            <v>0</v>
          </cell>
          <cell r="H539">
            <v>0</v>
          </cell>
        </row>
        <row r="540">
          <cell r="B540">
            <v>7353310203260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>
            <v>7353410103010</v>
          </cell>
          <cell r="D541">
            <v>8921361875</v>
          </cell>
          <cell r="E541">
            <v>0</v>
          </cell>
          <cell r="F541">
            <v>8921361875</v>
          </cell>
          <cell r="G541">
            <v>0</v>
          </cell>
          <cell r="H541">
            <v>0</v>
          </cell>
        </row>
        <row r="542">
          <cell r="B542">
            <v>7353410103012</v>
          </cell>
          <cell r="D542">
            <v>16889353204</v>
          </cell>
          <cell r="E542">
            <v>0</v>
          </cell>
          <cell r="F542">
            <v>16889353204</v>
          </cell>
          <cell r="G542">
            <v>0</v>
          </cell>
          <cell r="H542">
            <v>0</v>
          </cell>
        </row>
        <row r="543">
          <cell r="B543">
            <v>7353410203010</v>
          </cell>
          <cell r="D543">
            <v>23510722398</v>
          </cell>
          <cell r="E543">
            <v>0</v>
          </cell>
          <cell r="F543">
            <v>23510722398</v>
          </cell>
          <cell r="G543">
            <v>0</v>
          </cell>
          <cell r="H543">
            <v>0</v>
          </cell>
        </row>
        <row r="544">
          <cell r="B544">
            <v>7353410203050</v>
          </cell>
          <cell r="D544">
            <v>4339503306</v>
          </cell>
          <cell r="E544">
            <v>0</v>
          </cell>
          <cell r="F544">
            <v>4339503306</v>
          </cell>
          <cell r="G544">
            <v>0</v>
          </cell>
          <cell r="H544">
            <v>0</v>
          </cell>
        </row>
        <row r="545">
          <cell r="B545">
            <v>7354430103010</v>
          </cell>
          <cell r="D545">
            <v>10881202297</v>
          </cell>
          <cell r="E545">
            <v>0</v>
          </cell>
          <cell r="F545">
            <v>10881202297</v>
          </cell>
          <cell r="G545">
            <v>0</v>
          </cell>
          <cell r="H545">
            <v>0</v>
          </cell>
        </row>
        <row r="546">
          <cell r="B546">
            <v>7354430103260</v>
          </cell>
          <cell r="D546">
            <v>5574468073</v>
          </cell>
          <cell r="E546">
            <v>0</v>
          </cell>
          <cell r="F546">
            <v>5574468073</v>
          </cell>
          <cell r="G546">
            <v>0</v>
          </cell>
          <cell r="H546">
            <v>0</v>
          </cell>
        </row>
        <row r="547">
          <cell r="B547">
            <v>7356220103120</v>
          </cell>
          <cell r="D547">
            <v>38578854</v>
          </cell>
          <cell r="E547">
            <v>0</v>
          </cell>
          <cell r="F547">
            <v>38578854</v>
          </cell>
          <cell r="G547">
            <v>0</v>
          </cell>
          <cell r="H547">
            <v>0</v>
          </cell>
        </row>
        <row r="548">
          <cell r="B548">
            <v>7356220103260</v>
          </cell>
          <cell r="D548">
            <v>92334166</v>
          </cell>
          <cell r="E548">
            <v>0</v>
          </cell>
          <cell r="F548">
            <v>92334166</v>
          </cell>
          <cell r="G548">
            <v>0</v>
          </cell>
          <cell r="H548">
            <v>0</v>
          </cell>
        </row>
        <row r="549">
          <cell r="B549">
            <v>7356230103120</v>
          </cell>
          <cell r="D549">
            <v>2355914495</v>
          </cell>
          <cell r="E549">
            <v>0</v>
          </cell>
          <cell r="F549">
            <v>2355914495</v>
          </cell>
          <cell r="G549">
            <v>0</v>
          </cell>
          <cell r="H549">
            <v>0</v>
          </cell>
        </row>
        <row r="550">
          <cell r="B550">
            <v>7356230103131</v>
          </cell>
          <cell r="D550">
            <v>558663576</v>
          </cell>
          <cell r="E550">
            <v>0</v>
          </cell>
          <cell r="F550">
            <v>558663576</v>
          </cell>
          <cell r="G550">
            <v>0</v>
          </cell>
          <cell r="H550">
            <v>0</v>
          </cell>
        </row>
        <row r="551">
          <cell r="B551">
            <v>7356230103132</v>
          </cell>
          <cell r="D551">
            <v>12582888390</v>
          </cell>
          <cell r="E551">
            <v>0</v>
          </cell>
          <cell r="F551">
            <v>12582888390</v>
          </cell>
          <cell r="G551">
            <v>0</v>
          </cell>
          <cell r="H551">
            <v>0</v>
          </cell>
        </row>
        <row r="552">
          <cell r="B552">
            <v>7356230103134</v>
          </cell>
          <cell r="D552">
            <v>1519544489</v>
          </cell>
          <cell r="E552">
            <v>0</v>
          </cell>
          <cell r="F552">
            <v>1519544489</v>
          </cell>
          <cell r="G552">
            <v>0</v>
          </cell>
          <cell r="H552">
            <v>0</v>
          </cell>
        </row>
        <row r="553">
          <cell r="B553">
            <v>7356230103136</v>
          </cell>
          <cell r="D553">
            <v>1388449902</v>
          </cell>
          <cell r="E553">
            <v>0</v>
          </cell>
          <cell r="F553">
            <v>1388449902</v>
          </cell>
          <cell r="G553">
            <v>0</v>
          </cell>
          <cell r="H553">
            <v>0</v>
          </cell>
        </row>
        <row r="554">
          <cell r="B554">
            <v>7356230103141</v>
          </cell>
          <cell r="D554">
            <v>6301241680</v>
          </cell>
          <cell r="E554">
            <v>0</v>
          </cell>
          <cell r="F554">
            <v>6301241680</v>
          </cell>
          <cell r="G554">
            <v>0</v>
          </cell>
          <cell r="H554">
            <v>0</v>
          </cell>
        </row>
        <row r="555">
          <cell r="B555">
            <v>7356230103143</v>
          </cell>
          <cell r="D555">
            <v>23265999077</v>
          </cell>
          <cell r="E555">
            <v>0</v>
          </cell>
          <cell r="F555">
            <v>23265999077</v>
          </cell>
          <cell r="G555">
            <v>0</v>
          </cell>
          <cell r="H555">
            <v>0</v>
          </cell>
        </row>
        <row r="556">
          <cell r="B556">
            <v>7356230103230</v>
          </cell>
          <cell r="D556">
            <v>2996382194</v>
          </cell>
          <cell r="E556">
            <v>0</v>
          </cell>
          <cell r="F556">
            <v>2996382194</v>
          </cell>
          <cell r="G556">
            <v>0</v>
          </cell>
          <cell r="H556">
            <v>0</v>
          </cell>
        </row>
        <row r="557">
          <cell r="B557">
            <v>7356230103250</v>
          </cell>
          <cell r="D557">
            <v>28493005</v>
          </cell>
          <cell r="E557">
            <v>0</v>
          </cell>
          <cell r="F557">
            <v>28493005</v>
          </cell>
          <cell r="G557">
            <v>0</v>
          </cell>
          <cell r="H557">
            <v>0</v>
          </cell>
        </row>
        <row r="558">
          <cell r="B558">
            <v>7356230103270</v>
          </cell>
          <cell r="D558">
            <v>244538675</v>
          </cell>
          <cell r="E558">
            <v>0</v>
          </cell>
          <cell r="F558">
            <v>244538675</v>
          </cell>
          <cell r="G558">
            <v>0</v>
          </cell>
          <cell r="H558">
            <v>0</v>
          </cell>
        </row>
        <row r="559">
          <cell r="B559">
            <v>7356230103320</v>
          </cell>
          <cell r="D559">
            <v>481329240</v>
          </cell>
          <cell r="E559">
            <v>0</v>
          </cell>
          <cell r="F559">
            <v>481329240</v>
          </cell>
          <cell r="G559">
            <v>0</v>
          </cell>
          <cell r="H559">
            <v>0</v>
          </cell>
        </row>
        <row r="560">
          <cell r="B560">
            <v>7356240103120</v>
          </cell>
          <cell r="D560">
            <v>7873261311</v>
          </cell>
          <cell r="E560">
            <v>0</v>
          </cell>
          <cell r="F560">
            <v>7873261311</v>
          </cell>
          <cell r="G560">
            <v>0</v>
          </cell>
          <cell r="H560">
            <v>0</v>
          </cell>
        </row>
        <row r="561">
          <cell r="B561">
            <v>7356240103135</v>
          </cell>
          <cell r="D561">
            <v>26666666</v>
          </cell>
          <cell r="E561">
            <v>0</v>
          </cell>
          <cell r="F561">
            <v>26666666</v>
          </cell>
          <cell r="G561">
            <v>0</v>
          </cell>
          <cell r="H561">
            <v>0</v>
          </cell>
        </row>
        <row r="562">
          <cell r="B562">
            <v>7356240103136</v>
          </cell>
          <cell r="D562">
            <v>652890975</v>
          </cell>
          <cell r="E562">
            <v>0</v>
          </cell>
          <cell r="F562">
            <v>652890975</v>
          </cell>
          <cell r="G562">
            <v>0</v>
          </cell>
          <cell r="H562">
            <v>0</v>
          </cell>
        </row>
        <row r="563">
          <cell r="B563">
            <v>7356240103141</v>
          </cell>
          <cell r="D563">
            <v>471631777</v>
          </cell>
          <cell r="E563">
            <v>0</v>
          </cell>
          <cell r="F563">
            <v>471631777</v>
          </cell>
          <cell r="G563">
            <v>0</v>
          </cell>
          <cell r="H563">
            <v>0</v>
          </cell>
        </row>
        <row r="564">
          <cell r="B564">
            <v>7356240103250</v>
          </cell>
          <cell r="D564">
            <v>41166075</v>
          </cell>
          <cell r="E564">
            <v>0</v>
          </cell>
          <cell r="F564">
            <v>41166075</v>
          </cell>
          <cell r="G564">
            <v>0</v>
          </cell>
          <cell r="H564">
            <v>0</v>
          </cell>
        </row>
        <row r="565">
          <cell r="B565">
            <v>7356240103251</v>
          </cell>
          <cell r="D565">
            <v>1121943564</v>
          </cell>
          <cell r="E565">
            <v>0</v>
          </cell>
          <cell r="F565">
            <v>1121943564</v>
          </cell>
          <cell r="G565">
            <v>0</v>
          </cell>
          <cell r="H565">
            <v>0</v>
          </cell>
        </row>
        <row r="566">
          <cell r="B566">
            <v>7356240103320</v>
          </cell>
          <cell r="D566">
            <v>1297048354</v>
          </cell>
          <cell r="E566">
            <v>0</v>
          </cell>
          <cell r="F566">
            <v>1297048354</v>
          </cell>
          <cell r="G566">
            <v>0</v>
          </cell>
          <cell r="H566">
            <v>0</v>
          </cell>
        </row>
        <row r="567">
          <cell r="B567">
            <v>7356240103340</v>
          </cell>
          <cell r="D567">
            <v>13208471816</v>
          </cell>
          <cell r="E567">
            <v>0</v>
          </cell>
          <cell r="F567">
            <v>13208471816</v>
          </cell>
          <cell r="G567">
            <v>0</v>
          </cell>
          <cell r="H567">
            <v>0</v>
          </cell>
        </row>
        <row r="568">
          <cell r="B568">
            <v>7356250103120</v>
          </cell>
          <cell r="D568">
            <v>1294604877</v>
          </cell>
          <cell r="E568">
            <v>0</v>
          </cell>
          <cell r="F568">
            <v>1294604877</v>
          </cell>
          <cell r="G568">
            <v>0</v>
          </cell>
          <cell r="H568">
            <v>0</v>
          </cell>
        </row>
        <row r="569">
          <cell r="B569">
            <v>7356250103131</v>
          </cell>
          <cell r="D569">
            <v>243510140</v>
          </cell>
          <cell r="E569">
            <v>0</v>
          </cell>
          <cell r="F569">
            <v>243510140</v>
          </cell>
          <cell r="G569">
            <v>0</v>
          </cell>
          <cell r="H569">
            <v>0</v>
          </cell>
        </row>
        <row r="570">
          <cell r="B570">
            <v>7356250103133</v>
          </cell>
          <cell r="D570">
            <v>20908292</v>
          </cell>
          <cell r="E570">
            <v>0</v>
          </cell>
          <cell r="F570">
            <v>20908292</v>
          </cell>
          <cell r="G570">
            <v>0</v>
          </cell>
          <cell r="H570">
            <v>0</v>
          </cell>
        </row>
        <row r="571">
          <cell r="B571">
            <v>7356250103141</v>
          </cell>
          <cell r="D571">
            <v>283249140</v>
          </cell>
          <cell r="E571">
            <v>0</v>
          </cell>
          <cell r="F571">
            <v>283249140</v>
          </cell>
          <cell r="G571">
            <v>0</v>
          </cell>
          <cell r="H571">
            <v>0</v>
          </cell>
        </row>
        <row r="572">
          <cell r="B572">
            <v>7356250103240</v>
          </cell>
          <cell r="D572">
            <v>2021601775</v>
          </cell>
          <cell r="E572">
            <v>0</v>
          </cell>
          <cell r="F572">
            <v>2021601775</v>
          </cell>
          <cell r="G572">
            <v>0</v>
          </cell>
          <cell r="H572">
            <v>0</v>
          </cell>
        </row>
        <row r="573">
          <cell r="B573">
            <v>7356250103250</v>
          </cell>
          <cell r="D573">
            <v>138767139</v>
          </cell>
          <cell r="E573">
            <v>0</v>
          </cell>
          <cell r="F573">
            <v>138767139</v>
          </cell>
          <cell r="G573">
            <v>0</v>
          </cell>
          <cell r="H573">
            <v>0</v>
          </cell>
        </row>
        <row r="574">
          <cell r="B574">
            <v>7356250103251</v>
          </cell>
          <cell r="D574">
            <v>772463998</v>
          </cell>
          <cell r="E574">
            <v>0</v>
          </cell>
          <cell r="F574">
            <v>772463998</v>
          </cell>
          <cell r="G574">
            <v>0</v>
          </cell>
          <cell r="H574">
            <v>0</v>
          </cell>
        </row>
        <row r="575">
          <cell r="B575">
            <v>7356250103260</v>
          </cell>
          <cell r="D575">
            <v>100527239</v>
          </cell>
          <cell r="E575">
            <v>0</v>
          </cell>
          <cell r="F575">
            <v>100527239</v>
          </cell>
          <cell r="G575">
            <v>0</v>
          </cell>
          <cell r="H575">
            <v>0</v>
          </cell>
        </row>
        <row r="576">
          <cell r="B576">
            <v>7356250103270</v>
          </cell>
          <cell r="D576">
            <v>7945197</v>
          </cell>
          <cell r="E576">
            <v>0</v>
          </cell>
          <cell r="F576">
            <v>7945197</v>
          </cell>
          <cell r="G576">
            <v>0</v>
          </cell>
          <cell r="H576">
            <v>0</v>
          </cell>
        </row>
        <row r="577">
          <cell r="B577">
            <v>7356250103320</v>
          </cell>
          <cell r="D577">
            <v>68909774</v>
          </cell>
          <cell r="E577">
            <v>0</v>
          </cell>
          <cell r="F577">
            <v>68909774</v>
          </cell>
          <cell r="G577">
            <v>0</v>
          </cell>
          <cell r="H577">
            <v>0</v>
          </cell>
        </row>
        <row r="578">
          <cell r="B578">
            <v>7356270103270</v>
          </cell>
          <cell r="D578">
            <v>37011678</v>
          </cell>
          <cell r="E578">
            <v>0</v>
          </cell>
          <cell r="F578">
            <v>37011678</v>
          </cell>
          <cell r="G578">
            <v>0</v>
          </cell>
          <cell r="H578">
            <v>0</v>
          </cell>
        </row>
        <row r="579">
          <cell r="B579">
            <v>736984010172</v>
          </cell>
          <cell r="D579">
            <v>0</v>
          </cell>
          <cell r="E579">
            <v>298679175083</v>
          </cell>
          <cell r="F579">
            <v>0</v>
          </cell>
          <cell r="G579">
            <v>298679175083</v>
          </cell>
          <cell r="H579">
            <v>0</v>
          </cell>
        </row>
        <row r="580">
          <cell r="B580">
            <v>7602012103020</v>
          </cell>
          <cell r="D580">
            <v>38726166667</v>
          </cell>
          <cell r="E580">
            <v>0</v>
          </cell>
          <cell r="F580">
            <v>38726166667</v>
          </cell>
          <cell r="G580">
            <v>0</v>
          </cell>
          <cell r="H580">
            <v>40559999994</v>
          </cell>
        </row>
        <row r="581">
          <cell r="B581">
            <v>7602012103021</v>
          </cell>
          <cell r="D581">
            <v>4200000000</v>
          </cell>
          <cell r="E581">
            <v>0</v>
          </cell>
          <cell r="F581">
            <v>4200000000</v>
          </cell>
          <cell r="G581">
            <v>0</v>
          </cell>
          <cell r="H581">
            <v>4200000000</v>
          </cell>
        </row>
        <row r="582">
          <cell r="B582">
            <v>7602012103030</v>
          </cell>
          <cell r="D582">
            <v>17820000000</v>
          </cell>
          <cell r="E582">
            <v>0</v>
          </cell>
          <cell r="F582">
            <v>17820000000</v>
          </cell>
          <cell r="G582">
            <v>0</v>
          </cell>
          <cell r="H582">
            <v>5820000000</v>
          </cell>
        </row>
        <row r="583">
          <cell r="B583">
            <v>7602012103032</v>
          </cell>
          <cell r="D583">
            <v>6720000000</v>
          </cell>
          <cell r="E583">
            <v>0</v>
          </cell>
          <cell r="F583">
            <v>6720000000</v>
          </cell>
          <cell r="G583">
            <v>0</v>
          </cell>
          <cell r="H583">
            <v>18720000000</v>
          </cell>
        </row>
        <row r="584">
          <cell r="B584">
            <v>7602020203020</v>
          </cell>
          <cell r="D584">
            <v>106000000</v>
          </cell>
          <cell r="E584">
            <v>0</v>
          </cell>
          <cell r="F584">
            <v>106000000</v>
          </cell>
          <cell r="G584">
            <v>0</v>
          </cell>
          <cell r="H584">
            <v>0</v>
          </cell>
        </row>
        <row r="585">
          <cell r="B585">
            <v>7602020203030</v>
          </cell>
          <cell r="D585">
            <v>184800000</v>
          </cell>
          <cell r="E585">
            <v>0</v>
          </cell>
          <cell r="F585">
            <v>184800000</v>
          </cell>
          <cell r="G585">
            <v>0</v>
          </cell>
          <cell r="H585">
            <v>0</v>
          </cell>
        </row>
        <row r="586">
          <cell r="B586">
            <v>7602040203020</v>
          </cell>
          <cell r="D586">
            <v>12795166666</v>
          </cell>
          <cell r="E586">
            <v>0</v>
          </cell>
          <cell r="F586">
            <v>12795166666</v>
          </cell>
          <cell r="G586">
            <v>0</v>
          </cell>
          <cell r="H586">
            <v>13519999998</v>
          </cell>
        </row>
        <row r="587">
          <cell r="B587">
            <v>7602040203021</v>
          </cell>
          <cell r="D587">
            <v>1399999998</v>
          </cell>
          <cell r="E587">
            <v>0</v>
          </cell>
          <cell r="F587">
            <v>1399999998</v>
          </cell>
          <cell r="G587">
            <v>0</v>
          </cell>
          <cell r="H587">
            <v>1399999998</v>
          </cell>
        </row>
        <row r="588">
          <cell r="B588">
            <v>7602040203030</v>
          </cell>
          <cell r="D588">
            <v>5940000000</v>
          </cell>
          <cell r="E588">
            <v>0</v>
          </cell>
          <cell r="F588">
            <v>5940000000</v>
          </cell>
          <cell r="G588">
            <v>0</v>
          </cell>
          <cell r="H588">
            <v>1939999998</v>
          </cell>
        </row>
        <row r="589">
          <cell r="B589">
            <v>7602040203032</v>
          </cell>
          <cell r="D589">
            <v>2239999998</v>
          </cell>
          <cell r="E589">
            <v>0</v>
          </cell>
          <cell r="F589">
            <v>2239999998</v>
          </cell>
          <cell r="G589">
            <v>0</v>
          </cell>
          <cell r="H589">
            <v>6240000000</v>
          </cell>
        </row>
        <row r="590">
          <cell r="B590">
            <v>7602190203020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714700000</v>
          </cell>
        </row>
        <row r="591">
          <cell r="B591">
            <v>7602190203030</v>
          </cell>
          <cell r="D591">
            <v>657347802</v>
          </cell>
          <cell r="E591">
            <v>0</v>
          </cell>
          <cell r="F591">
            <v>657347802</v>
          </cell>
          <cell r="G591">
            <v>0</v>
          </cell>
          <cell r="H591">
            <v>1357800000</v>
          </cell>
        </row>
        <row r="592">
          <cell r="B592">
            <v>7602192203020</v>
          </cell>
          <cell r="D592">
            <v>250992053</v>
          </cell>
          <cell r="E592">
            <v>0</v>
          </cell>
          <cell r="F592">
            <v>250992053</v>
          </cell>
          <cell r="G592">
            <v>0</v>
          </cell>
          <cell r="H592">
            <v>357300000</v>
          </cell>
        </row>
        <row r="593">
          <cell r="B593">
            <v>7602192203021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142900000</v>
          </cell>
        </row>
        <row r="594">
          <cell r="B594">
            <v>7602192203030</v>
          </cell>
          <cell r="D594">
            <v>2058230236</v>
          </cell>
          <cell r="E594">
            <v>0</v>
          </cell>
          <cell r="F594">
            <v>2058230236</v>
          </cell>
          <cell r="G594">
            <v>0</v>
          </cell>
          <cell r="H594">
            <v>71500000</v>
          </cell>
        </row>
        <row r="595">
          <cell r="B595">
            <v>7602192203032</v>
          </cell>
          <cell r="D595">
            <v>810512279</v>
          </cell>
          <cell r="E595">
            <v>0</v>
          </cell>
          <cell r="F595">
            <v>810512279</v>
          </cell>
          <cell r="G595">
            <v>0</v>
          </cell>
          <cell r="H595">
            <v>0</v>
          </cell>
        </row>
        <row r="596">
          <cell r="B596">
            <v>7602210203020</v>
          </cell>
          <cell r="D596">
            <v>1547111766</v>
          </cell>
          <cell r="E596">
            <v>0</v>
          </cell>
          <cell r="F596">
            <v>1547111766</v>
          </cell>
          <cell r="G596">
            <v>0</v>
          </cell>
          <cell r="H596">
            <v>1710720000</v>
          </cell>
        </row>
        <row r="597">
          <cell r="B597">
            <v>7602210203021</v>
          </cell>
          <cell r="D597">
            <v>204754633</v>
          </cell>
          <cell r="E597">
            <v>0</v>
          </cell>
          <cell r="F597">
            <v>204754633</v>
          </cell>
          <cell r="G597">
            <v>0</v>
          </cell>
          <cell r="H597">
            <v>190080000</v>
          </cell>
        </row>
        <row r="598">
          <cell r="B598">
            <v>7602210203030</v>
          </cell>
          <cell r="D598">
            <v>515647171</v>
          </cell>
          <cell r="E598">
            <v>0</v>
          </cell>
          <cell r="F598">
            <v>515647171</v>
          </cell>
          <cell r="G598">
            <v>0</v>
          </cell>
          <cell r="H598">
            <v>380160000</v>
          </cell>
        </row>
        <row r="599">
          <cell r="B599">
            <v>7602210203032</v>
          </cell>
          <cell r="D599">
            <v>362819797</v>
          </cell>
          <cell r="E599">
            <v>0</v>
          </cell>
          <cell r="F599">
            <v>362819797</v>
          </cell>
          <cell r="G599">
            <v>0</v>
          </cell>
          <cell r="H599">
            <v>570240000</v>
          </cell>
        </row>
        <row r="600">
          <cell r="B600">
            <v>7602240203020</v>
          </cell>
          <cell r="D600">
            <v>1154745000</v>
          </cell>
          <cell r="E600">
            <v>0</v>
          </cell>
          <cell r="F600">
            <v>1154745000</v>
          </cell>
          <cell r="G600">
            <v>0</v>
          </cell>
          <cell r="H600">
            <v>1216800000</v>
          </cell>
        </row>
        <row r="601">
          <cell r="B601">
            <v>7602240203021</v>
          </cell>
          <cell r="D601">
            <v>186000000</v>
          </cell>
          <cell r="E601">
            <v>0</v>
          </cell>
          <cell r="F601">
            <v>186000000</v>
          </cell>
          <cell r="G601">
            <v>0</v>
          </cell>
          <cell r="H601">
            <v>126000000</v>
          </cell>
        </row>
        <row r="602">
          <cell r="B602">
            <v>7602240203030</v>
          </cell>
          <cell r="D602">
            <v>480144000</v>
          </cell>
          <cell r="E602">
            <v>0</v>
          </cell>
          <cell r="F602">
            <v>480144000</v>
          </cell>
          <cell r="G602">
            <v>0</v>
          </cell>
          <cell r="H602">
            <v>116400000</v>
          </cell>
        </row>
        <row r="603">
          <cell r="B603">
            <v>7602240203032</v>
          </cell>
          <cell r="D603">
            <v>201600000</v>
          </cell>
          <cell r="E603">
            <v>0</v>
          </cell>
          <cell r="F603">
            <v>201600000</v>
          </cell>
          <cell r="G603">
            <v>0</v>
          </cell>
          <cell r="H603">
            <v>561600000</v>
          </cell>
        </row>
        <row r="604">
          <cell r="B604">
            <v>7602320103020</v>
          </cell>
          <cell r="D604">
            <v>922499599</v>
          </cell>
          <cell r="E604">
            <v>0</v>
          </cell>
          <cell r="F604">
            <v>922499599</v>
          </cell>
          <cell r="G604">
            <v>0</v>
          </cell>
          <cell r="H604">
            <v>1188000000</v>
          </cell>
        </row>
        <row r="605">
          <cell r="B605">
            <v>7602320103021</v>
          </cell>
          <cell r="D605">
            <v>157674259</v>
          </cell>
          <cell r="E605">
            <v>0</v>
          </cell>
          <cell r="F605">
            <v>157674259</v>
          </cell>
          <cell r="G605">
            <v>0</v>
          </cell>
          <cell r="H605">
            <v>132000000</v>
          </cell>
        </row>
        <row r="606">
          <cell r="B606">
            <v>7602320103030</v>
          </cell>
          <cell r="D606">
            <v>363640494</v>
          </cell>
          <cell r="E606">
            <v>0</v>
          </cell>
          <cell r="F606">
            <v>363640494</v>
          </cell>
          <cell r="G606">
            <v>0</v>
          </cell>
          <cell r="H606">
            <v>264000000</v>
          </cell>
        </row>
        <row r="607">
          <cell r="B607">
            <v>7602320103032</v>
          </cell>
          <cell r="D607">
            <v>202671409</v>
          </cell>
          <cell r="E607">
            <v>0</v>
          </cell>
          <cell r="F607">
            <v>202671409</v>
          </cell>
          <cell r="G607">
            <v>0</v>
          </cell>
          <cell r="H607">
            <v>396000000</v>
          </cell>
        </row>
        <row r="608">
          <cell r="B608">
            <v>7602350103020</v>
          </cell>
          <cell r="D608">
            <v>361077961</v>
          </cell>
          <cell r="E608">
            <v>0</v>
          </cell>
          <cell r="F608">
            <v>361077961</v>
          </cell>
          <cell r="G608">
            <v>0</v>
          </cell>
          <cell r="H608">
            <v>540000000</v>
          </cell>
        </row>
        <row r="609">
          <cell r="B609">
            <v>7602350103021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60000000</v>
          </cell>
        </row>
        <row r="610">
          <cell r="B610">
            <v>7602350103030</v>
          </cell>
          <cell r="D610">
            <v>263298355</v>
          </cell>
          <cell r="E610">
            <v>0</v>
          </cell>
          <cell r="F610">
            <v>263298355</v>
          </cell>
          <cell r="G610">
            <v>0</v>
          </cell>
          <cell r="H610">
            <v>120000000</v>
          </cell>
        </row>
        <row r="611">
          <cell r="B611">
            <v>7602350103032</v>
          </cell>
          <cell r="D611">
            <v>101355012</v>
          </cell>
          <cell r="E611">
            <v>0</v>
          </cell>
          <cell r="F611">
            <v>101355012</v>
          </cell>
          <cell r="G611">
            <v>0</v>
          </cell>
          <cell r="H611">
            <v>180000000</v>
          </cell>
        </row>
        <row r="612">
          <cell r="B612">
            <v>7602360103020</v>
          </cell>
          <cell r="D612">
            <v>1652946362</v>
          </cell>
          <cell r="E612">
            <v>0</v>
          </cell>
          <cell r="F612">
            <v>1652946362</v>
          </cell>
          <cell r="G612">
            <v>0</v>
          </cell>
          <cell r="H612">
            <v>1404000000</v>
          </cell>
        </row>
        <row r="613">
          <cell r="B613">
            <v>7602360103021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156000000</v>
          </cell>
        </row>
        <row r="614">
          <cell r="B614">
            <v>7602360103030</v>
          </cell>
          <cell r="D614">
            <v>433080140</v>
          </cell>
          <cell r="E614">
            <v>0</v>
          </cell>
          <cell r="F614">
            <v>433080140</v>
          </cell>
          <cell r="G614">
            <v>0</v>
          </cell>
          <cell r="H614">
            <v>312000000</v>
          </cell>
        </row>
        <row r="615">
          <cell r="B615">
            <v>7602360103032</v>
          </cell>
          <cell r="D615">
            <v>413236591</v>
          </cell>
          <cell r="E615">
            <v>0</v>
          </cell>
          <cell r="F615">
            <v>413236591</v>
          </cell>
          <cell r="G615">
            <v>0</v>
          </cell>
          <cell r="H615">
            <v>468000000</v>
          </cell>
        </row>
        <row r="616">
          <cell r="B616">
            <v>7603010103021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71500000</v>
          </cell>
        </row>
        <row r="617">
          <cell r="B617">
            <v>7603040103021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107200000</v>
          </cell>
        </row>
        <row r="618">
          <cell r="B618">
            <v>7603120103021</v>
          </cell>
          <cell r="D618">
            <v>38519629</v>
          </cell>
          <cell r="E618">
            <v>0</v>
          </cell>
          <cell r="F618">
            <v>38519629</v>
          </cell>
          <cell r="G618">
            <v>0</v>
          </cell>
          <cell r="H618">
            <v>0</v>
          </cell>
        </row>
        <row r="619">
          <cell r="B619">
            <v>7603130103032</v>
          </cell>
          <cell r="D619">
            <v>55280000</v>
          </cell>
          <cell r="E619">
            <v>0</v>
          </cell>
          <cell r="F619">
            <v>55280000</v>
          </cell>
          <cell r="G619">
            <v>0</v>
          </cell>
          <cell r="H619">
            <v>0</v>
          </cell>
        </row>
        <row r="620">
          <cell r="B620">
            <v>7603160103020</v>
          </cell>
          <cell r="D620">
            <v>1310611200</v>
          </cell>
          <cell r="E620">
            <v>0</v>
          </cell>
          <cell r="F620">
            <v>1310611200</v>
          </cell>
          <cell r="G620">
            <v>0</v>
          </cell>
          <cell r="H620">
            <v>930000000</v>
          </cell>
        </row>
        <row r="621">
          <cell r="B621">
            <v>7603160103021</v>
          </cell>
          <cell r="D621">
            <v>266316542</v>
          </cell>
          <cell r="E621">
            <v>0</v>
          </cell>
          <cell r="F621">
            <v>266316542</v>
          </cell>
          <cell r="G621">
            <v>0</v>
          </cell>
          <cell r="H621">
            <v>178700000</v>
          </cell>
        </row>
        <row r="622">
          <cell r="B622">
            <v>7603180103020</v>
          </cell>
          <cell r="D622">
            <v>19000000</v>
          </cell>
          <cell r="E622">
            <v>9500000</v>
          </cell>
          <cell r="F622">
            <v>9500000</v>
          </cell>
          <cell r="G622">
            <v>0</v>
          </cell>
          <cell r="H622">
            <v>0</v>
          </cell>
        </row>
        <row r="623">
          <cell r="B623">
            <v>7603180103021</v>
          </cell>
          <cell r="D623">
            <v>110179736</v>
          </cell>
          <cell r="E623">
            <v>0</v>
          </cell>
          <cell r="F623">
            <v>110179736</v>
          </cell>
          <cell r="G623">
            <v>0</v>
          </cell>
          <cell r="H623">
            <v>0</v>
          </cell>
        </row>
        <row r="624">
          <cell r="B624">
            <v>7603230103030</v>
          </cell>
          <cell r="D624">
            <v>21750000</v>
          </cell>
          <cell r="E624">
            <v>0</v>
          </cell>
          <cell r="F624">
            <v>21750000</v>
          </cell>
          <cell r="G624">
            <v>0</v>
          </cell>
          <cell r="H624">
            <v>142900000</v>
          </cell>
        </row>
        <row r="625">
          <cell r="B625">
            <v>7603290103032</v>
          </cell>
          <cell r="D625">
            <v>184888889</v>
          </cell>
          <cell r="E625">
            <v>0</v>
          </cell>
          <cell r="F625">
            <v>184888889</v>
          </cell>
          <cell r="G625">
            <v>0</v>
          </cell>
          <cell r="H625">
            <v>2144000000</v>
          </cell>
        </row>
        <row r="626">
          <cell r="B626">
            <v>7603310103014</v>
          </cell>
          <cell r="D626">
            <v>165842000850</v>
          </cell>
          <cell r="E626">
            <v>329152069</v>
          </cell>
          <cell r="F626">
            <v>165512848781</v>
          </cell>
          <cell r="G626">
            <v>0</v>
          </cell>
          <cell r="H626">
            <v>0</v>
          </cell>
        </row>
        <row r="627">
          <cell r="B627">
            <v>7603310203014</v>
          </cell>
          <cell r="D627">
            <v>25126555985</v>
          </cell>
          <cell r="E627">
            <v>0</v>
          </cell>
          <cell r="F627">
            <v>25126555985</v>
          </cell>
          <cell r="G627">
            <v>0</v>
          </cell>
          <cell r="H627">
            <v>0</v>
          </cell>
        </row>
        <row r="628">
          <cell r="B628">
            <v>7603320103014</v>
          </cell>
          <cell r="D628">
            <v>4274192875</v>
          </cell>
          <cell r="E628">
            <v>0</v>
          </cell>
          <cell r="F628">
            <v>4274192875</v>
          </cell>
          <cell r="G628">
            <v>0</v>
          </cell>
          <cell r="H628">
            <v>0</v>
          </cell>
        </row>
        <row r="629">
          <cell r="B629">
            <v>7603320203014</v>
          </cell>
          <cell r="D629">
            <v>33707865</v>
          </cell>
          <cell r="E629">
            <v>0</v>
          </cell>
          <cell r="F629">
            <v>33707865</v>
          </cell>
          <cell r="G629">
            <v>0</v>
          </cell>
          <cell r="H629">
            <v>0</v>
          </cell>
        </row>
        <row r="630">
          <cell r="B630">
            <v>7604010103020</v>
          </cell>
          <cell r="D630">
            <v>719142870</v>
          </cell>
          <cell r="E630">
            <v>0</v>
          </cell>
          <cell r="F630">
            <v>719142870</v>
          </cell>
          <cell r="G630">
            <v>0</v>
          </cell>
          <cell r="H630">
            <v>786200000</v>
          </cell>
        </row>
        <row r="631">
          <cell r="B631">
            <v>7604010103021</v>
          </cell>
          <cell r="D631">
            <v>126869566</v>
          </cell>
          <cell r="E631">
            <v>0</v>
          </cell>
          <cell r="F631">
            <v>126869566</v>
          </cell>
          <cell r="G631">
            <v>0</v>
          </cell>
          <cell r="H631">
            <v>214400000</v>
          </cell>
        </row>
        <row r="632">
          <cell r="B632">
            <v>7604010103030</v>
          </cell>
          <cell r="D632">
            <v>527563043</v>
          </cell>
          <cell r="E632">
            <v>7847826</v>
          </cell>
          <cell r="F632">
            <v>519715217</v>
          </cell>
          <cell r="G632">
            <v>0</v>
          </cell>
          <cell r="H632">
            <v>232300000</v>
          </cell>
        </row>
        <row r="633">
          <cell r="B633">
            <v>7604010103032</v>
          </cell>
          <cell r="D633">
            <v>282984783</v>
          </cell>
          <cell r="E633">
            <v>0</v>
          </cell>
          <cell r="F633">
            <v>282984783</v>
          </cell>
          <cell r="G633">
            <v>0</v>
          </cell>
          <cell r="H633">
            <v>160800000</v>
          </cell>
        </row>
        <row r="634">
          <cell r="B634">
            <v>7604020103020</v>
          </cell>
          <cell r="D634">
            <v>28695654</v>
          </cell>
          <cell r="E634">
            <v>0</v>
          </cell>
          <cell r="F634">
            <v>28695654</v>
          </cell>
          <cell r="G634">
            <v>0</v>
          </cell>
          <cell r="H634">
            <v>464500000</v>
          </cell>
        </row>
        <row r="635">
          <cell r="B635">
            <v>7604020103021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142900000</v>
          </cell>
        </row>
        <row r="636">
          <cell r="B636">
            <v>7604020103030</v>
          </cell>
          <cell r="D636">
            <v>1012350578</v>
          </cell>
          <cell r="E636">
            <v>0</v>
          </cell>
          <cell r="F636">
            <v>1012350578</v>
          </cell>
          <cell r="G636">
            <v>0</v>
          </cell>
          <cell r="H636">
            <v>357300000</v>
          </cell>
        </row>
        <row r="637">
          <cell r="B637">
            <v>7604020103032</v>
          </cell>
          <cell r="D637">
            <v>489588458</v>
          </cell>
          <cell r="E637">
            <v>0</v>
          </cell>
          <cell r="F637">
            <v>489588458</v>
          </cell>
          <cell r="G637">
            <v>0</v>
          </cell>
          <cell r="H637">
            <v>214400000</v>
          </cell>
        </row>
        <row r="638">
          <cell r="B638">
            <v>7604020203020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142900000</v>
          </cell>
        </row>
        <row r="639">
          <cell r="B639">
            <v>7604020203021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71500000</v>
          </cell>
        </row>
        <row r="640">
          <cell r="B640">
            <v>7604020203030</v>
          </cell>
          <cell r="D640">
            <v>104348010</v>
          </cell>
          <cell r="E640">
            <v>0</v>
          </cell>
          <cell r="F640">
            <v>104348010</v>
          </cell>
          <cell r="G640">
            <v>0</v>
          </cell>
          <cell r="H640">
            <v>0</v>
          </cell>
        </row>
        <row r="641">
          <cell r="B641">
            <v>7604020203032</v>
          </cell>
          <cell r="D641">
            <v>57276665</v>
          </cell>
          <cell r="E641">
            <v>0</v>
          </cell>
          <cell r="F641">
            <v>57276665</v>
          </cell>
          <cell r="G641">
            <v>0</v>
          </cell>
          <cell r="H641">
            <v>142900000</v>
          </cell>
        </row>
        <row r="642">
          <cell r="B642">
            <v>7604030103020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536000000</v>
          </cell>
        </row>
        <row r="643">
          <cell r="B643">
            <v>7604030103030</v>
          </cell>
          <cell r="D643">
            <v>895657161</v>
          </cell>
          <cell r="E643">
            <v>0</v>
          </cell>
          <cell r="F643">
            <v>895657161</v>
          </cell>
          <cell r="G643">
            <v>0</v>
          </cell>
          <cell r="H643">
            <v>536000000</v>
          </cell>
        </row>
        <row r="644">
          <cell r="B644">
            <v>7604030103032</v>
          </cell>
          <cell r="D644">
            <v>145521739</v>
          </cell>
          <cell r="E644">
            <v>0</v>
          </cell>
          <cell r="F644">
            <v>145521739</v>
          </cell>
          <cell r="G644">
            <v>0</v>
          </cell>
          <cell r="H644">
            <v>0</v>
          </cell>
        </row>
        <row r="645">
          <cell r="B645">
            <v>7604130103020</v>
          </cell>
          <cell r="D645">
            <v>2887935442</v>
          </cell>
          <cell r="E645">
            <v>0</v>
          </cell>
          <cell r="F645">
            <v>2887935442</v>
          </cell>
          <cell r="G645">
            <v>0</v>
          </cell>
          <cell r="H645">
            <v>1965300000</v>
          </cell>
        </row>
        <row r="646">
          <cell r="B646">
            <v>7604130103021</v>
          </cell>
          <cell r="D646">
            <v>445108469</v>
          </cell>
          <cell r="E646">
            <v>0</v>
          </cell>
          <cell r="F646">
            <v>445108469</v>
          </cell>
          <cell r="G646">
            <v>0</v>
          </cell>
          <cell r="H646">
            <v>536000000</v>
          </cell>
        </row>
        <row r="647">
          <cell r="B647">
            <v>7604130103030</v>
          </cell>
          <cell r="D647">
            <v>873453985</v>
          </cell>
          <cell r="E647">
            <v>0</v>
          </cell>
          <cell r="F647">
            <v>873453985</v>
          </cell>
          <cell r="G647">
            <v>0</v>
          </cell>
          <cell r="H647">
            <v>232100000</v>
          </cell>
        </row>
        <row r="648">
          <cell r="B648">
            <v>7604140103020</v>
          </cell>
          <cell r="D648">
            <v>239123176</v>
          </cell>
          <cell r="E648">
            <v>0</v>
          </cell>
          <cell r="F648">
            <v>239123176</v>
          </cell>
          <cell r="G648">
            <v>0</v>
          </cell>
          <cell r="H648">
            <v>536000000</v>
          </cell>
        </row>
        <row r="649">
          <cell r="B649">
            <v>7604140103021</v>
          </cell>
          <cell r="D649">
            <v>85108967</v>
          </cell>
          <cell r="E649">
            <v>0</v>
          </cell>
          <cell r="F649">
            <v>85108967</v>
          </cell>
          <cell r="G649">
            <v>0</v>
          </cell>
          <cell r="H649">
            <v>107200000</v>
          </cell>
        </row>
        <row r="650">
          <cell r="B650">
            <v>7604140103030</v>
          </cell>
          <cell r="D650">
            <v>1420170804</v>
          </cell>
          <cell r="E650">
            <v>0</v>
          </cell>
          <cell r="F650">
            <v>1420170804</v>
          </cell>
          <cell r="G650">
            <v>0</v>
          </cell>
          <cell r="H650">
            <v>160800000</v>
          </cell>
        </row>
        <row r="651">
          <cell r="B651">
            <v>7604230103020</v>
          </cell>
          <cell r="D651">
            <v>10434783</v>
          </cell>
          <cell r="E651">
            <v>0</v>
          </cell>
          <cell r="F651">
            <v>10434783</v>
          </cell>
          <cell r="G651">
            <v>0</v>
          </cell>
          <cell r="H651">
            <v>35900000</v>
          </cell>
        </row>
        <row r="652">
          <cell r="B652">
            <v>7604270103020</v>
          </cell>
          <cell r="D652">
            <v>436393745</v>
          </cell>
          <cell r="E652">
            <v>0</v>
          </cell>
          <cell r="F652">
            <v>436393745</v>
          </cell>
          <cell r="G652">
            <v>0</v>
          </cell>
          <cell r="H652">
            <v>0</v>
          </cell>
        </row>
        <row r="653">
          <cell r="B653">
            <v>7604270103030</v>
          </cell>
          <cell r="D653">
            <v>3062918697</v>
          </cell>
          <cell r="E653">
            <v>0</v>
          </cell>
          <cell r="F653">
            <v>3062918697</v>
          </cell>
          <cell r="G653">
            <v>0</v>
          </cell>
          <cell r="H653">
            <v>0</v>
          </cell>
        </row>
        <row r="654">
          <cell r="B654">
            <v>7604280103020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1072000000</v>
          </cell>
        </row>
        <row r="655">
          <cell r="B655">
            <v>7604280103030</v>
          </cell>
          <cell r="D655">
            <v>194714131</v>
          </cell>
          <cell r="E655">
            <v>0</v>
          </cell>
          <cell r="F655">
            <v>194714131</v>
          </cell>
          <cell r="G655">
            <v>0</v>
          </cell>
          <cell r="H655">
            <v>0</v>
          </cell>
        </row>
        <row r="656">
          <cell r="B656">
            <v>7604310103020</v>
          </cell>
          <cell r="D656">
            <v>11309550</v>
          </cell>
          <cell r="E656">
            <v>0</v>
          </cell>
          <cell r="F656">
            <v>11309550</v>
          </cell>
          <cell r="G656">
            <v>0</v>
          </cell>
          <cell r="H656">
            <v>0</v>
          </cell>
        </row>
        <row r="657">
          <cell r="B657">
            <v>7604330203020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367500000</v>
          </cell>
        </row>
        <row r="658">
          <cell r="B658">
            <v>7604330203021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92500000</v>
          </cell>
        </row>
        <row r="659">
          <cell r="B659">
            <v>7604410103021</v>
          </cell>
          <cell r="D659">
            <v>940426838</v>
          </cell>
          <cell r="E659">
            <v>10555811</v>
          </cell>
          <cell r="F659">
            <v>929871027</v>
          </cell>
          <cell r="G659">
            <v>0</v>
          </cell>
          <cell r="H659">
            <v>1143500000</v>
          </cell>
        </row>
        <row r="660">
          <cell r="B660">
            <v>7604510103020</v>
          </cell>
          <cell r="D660">
            <v>332537367</v>
          </cell>
          <cell r="E660">
            <v>0</v>
          </cell>
          <cell r="F660">
            <v>332537367</v>
          </cell>
          <cell r="G660">
            <v>0</v>
          </cell>
          <cell r="H660">
            <v>1000400000</v>
          </cell>
        </row>
        <row r="661">
          <cell r="B661">
            <v>7604510103021</v>
          </cell>
          <cell r="D661">
            <v>112705495</v>
          </cell>
          <cell r="E661">
            <v>0</v>
          </cell>
          <cell r="F661">
            <v>112705495</v>
          </cell>
          <cell r="G661">
            <v>0</v>
          </cell>
          <cell r="H661">
            <v>142900000</v>
          </cell>
        </row>
        <row r="662">
          <cell r="B662">
            <v>7604510103030</v>
          </cell>
          <cell r="D662">
            <v>286423137</v>
          </cell>
          <cell r="E662">
            <v>0</v>
          </cell>
          <cell r="F662">
            <v>286423137</v>
          </cell>
          <cell r="G662">
            <v>0</v>
          </cell>
          <cell r="H662">
            <v>232300000</v>
          </cell>
        </row>
        <row r="663">
          <cell r="B663">
            <v>7604510103032</v>
          </cell>
          <cell r="D663">
            <v>624981019</v>
          </cell>
          <cell r="E663">
            <v>0</v>
          </cell>
          <cell r="F663">
            <v>624981019</v>
          </cell>
          <cell r="G663">
            <v>0</v>
          </cell>
          <cell r="H663">
            <v>178700000</v>
          </cell>
        </row>
        <row r="664">
          <cell r="B664">
            <v>7604520103020</v>
          </cell>
          <cell r="D664">
            <v>36250000</v>
          </cell>
          <cell r="E664">
            <v>0</v>
          </cell>
          <cell r="F664">
            <v>36250000</v>
          </cell>
          <cell r="G664">
            <v>0</v>
          </cell>
          <cell r="H664">
            <v>35900000</v>
          </cell>
        </row>
        <row r="665">
          <cell r="B665">
            <v>7604520103030</v>
          </cell>
          <cell r="D665">
            <v>111950000</v>
          </cell>
          <cell r="E665">
            <v>0</v>
          </cell>
          <cell r="F665">
            <v>111950000</v>
          </cell>
          <cell r="G665">
            <v>0</v>
          </cell>
          <cell r="H665">
            <v>142900000</v>
          </cell>
        </row>
        <row r="666">
          <cell r="B666">
            <v>7604520103032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71500000</v>
          </cell>
        </row>
        <row r="667">
          <cell r="B667">
            <v>7604540103020</v>
          </cell>
          <cell r="D667">
            <v>3087770729</v>
          </cell>
          <cell r="E667">
            <v>113513913</v>
          </cell>
          <cell r="F667">
            <v>2974256816</v>
          </cell>
          <cell r="G667">
            <v>0</v>
          </cell>
          <cell r="H667">
            <v>2717400000</v>
          </cell>
        </row>
        <row r="668">
          <cell r="B668">
            <v>7604540103021</v>
          </cell>
          <cell r="D668">
            <v>321739135</v>
          </cell>
          <cell r="E668">
            <v>0</v>
          </cell>
          <cell r="F668">
            <v>321739135</v>
          </cell>
          <cell r="G668">
            <v>0</v>
          </cell>
          <cell r="H668">
            <v>428900000</v>
          </cell>
        </row>
        <row r="669">
          <cell r="B669">
            <v>7604610103020</v>
          </cell>
          <cell r="D669">
            <v>514181305</v>
          </cell>
          <cell r="E669">
            <v>0</v>
          </cell>
          <cell r="F669">
            <v>514181305</v>
          </cell>
          <cell r="G669">
            <v>0</v>
          </cell>
          <cell r="H669">
            <v>285800000</v>
          </cell>
        </row>
        <row r="670">
          <cell r="B670">
            <v>7604610103030</v>
          </cell>
          <cell r="D670">
            <v>100869566</v>
          </cell>
          <cell r="E670">
            <v>0</v>
          </cell>
          <cell r="F670">
            <v>100869566</v>
          </cell>
          <cell r="G670">
            <v>0</v>
          </cell>
          <cell r="H670">
            <v>321700000</v>
          </cell>
        </row>
        <row r="671">
          <cell r="B671">
            <v>7604610103032</v>
          </cell>
          <cell r="D671">
            <v>21000000</v>
          </cell>
          <cell r="E671">
            <v>0</v>
          </cell>
          <cell r="F671">
            <v>21000000</v>
          </cell>
          <cell r="G671">
            <v>0</v>
          </cell>
          <cell r="H671">
            <v>0</v>
          </cell>
        </row>
        <row r="672">
          <cell r="B672">
            <v>7604690103030</v>
          </cell>
          <cell r="D672">
            <v>7285723580</v>
          </cell>
          <cell r="E672">
            <v>0</v>
          </cell>
          <cell r="F672">
            <v>7285723580</v>
          </cell>
          <cell r="G672">
            <v>0</v>
          </cell>
          <cell r="H672">
            <v>178700000</v>
          </cell>
        </row>
        <row r="673">
          <cell r="B673">
            <v>7604990103021</v>
          </cell>
          <cell r="D673">
            <v>11235955</v>
          </cell>
          <cell r="E673">
            <v>0</v>
          </cell>
          <cell r="F673">
            <v>11235955</v>
          </cell>
          <cell r="G673">
            <v>0</v>
          </cell>
          <cell r="H673">
            <v>71500000</v>
          </cell>
        </row>
        <row r="674">
          <cell r="B674">
            <v>7604990103030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35900000</v>
          </cell>
        </row>
        <row r="675">
          <cell r="B675">
            <v>7604990203020</v>
          </cell>
          <cell r="D675">
            <v>208773353</v>
          </cell>
          <cell r="E675">
            <v>0</v>
          </cell>
          <cell r="F675">
            <v>208773353</v>
          </cell>
          <cell r="G675">
            <v>0</v>
          </cell>
          <cell r="H675">
            <v>464500000</v>
          </cell>
        </row>
        <row r="676">
          <cell r="B676">
            <v>7604990203021</v>
          </cell>
          <cell r="D676">
            <v>53667564</v>
          </cell>
          <cell r="E676">
            <v>0</v>
          </cell>
          <cell r="F676">
            <v>53667564</v>
          </cell>
          <cell r="G676">
            <v>0</v>
          </cell>
          <cell r="H676">
            <v>142900000</v>
          </cell>
        </row>
        <row r="677">
          <cell r="B677">
            <v>7604990203030</v>
          </cell>
          <cell r="D677">
            <v>521150719</v>
          </cell>
          <cell r="E677">
            <v>0</v>
          </cell>
          <cell r="F677">
            <v>521150719</v>
          </cell>
          <cell r="G677">
            <v>0</v>
          </cell>
          <cell r="H677">
            <v>214400000</v>
          </cell>
        </row>
        <row r="678">
          <cell r="B678">
            <v>7604990203032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71500000</v>
          </cell>
        </row>
        <row r="679">
          <cell r="B679">
            <v>7604999903021</v>
          </cell>
          <cell r="D679">
            <v>19564131</v>
          </cell>
          <cell r="E679">
            <v>0</v>
          </cell>
          <cell r="F679">
            <v>19564131</v>
          </cell>
          <cell r="G679">
            <v>0</v>
          </cell>
          <cell r="H679">
            <v>35900000</v>
          </cell>
        </row>
        <row r="680">
          <cell r="B680">
            <v>7604999903030</v>
          </cell>
          <cell r="D680">
            <v>70711304</v>
          </cell>
          <cell r="E680">
            <v>0</v>
          </cell>
          <cell r="F680">
            <v>70711304</v>
          </cell>
          <cell r="G680">
            <v>0</v>
          </cell>
          <cell r="H680">
            <v>0</v>
          </cell>
        </row>
        <row r="681">
          <cell r="B681">
            <v>7605470103030</v>
          </cell>
          <cell r="D681">
            <v>32881000</v>
          </cell>
          <cell r="E681">
            <v>0</v>
          </cell>
          <cell r="F681">
            <v>32881000</v>
          </cell>
          <cell r="G681">
            <v>0</v>
          </cell>
          <cell r="H681">
            <v>0</v>
          </cell>
        </row>
        <row r="682">
          <cell r="B682">
            <v>7605510103020</v>
          </cell>
          <cell r="D682">
            <v>77097779</v>
          </cell>
          <cell r="E682">
            <v>55745698</v>
          </cell>
          <cell r="F682">
            <v>21352081</v>
          </cell>
          <cell r="G682">
            <v>0</v>
          </cell>
          <cell r="H682">
            <v>0</v>
          </cell>
        </row>
        <row r="683">
          <cell r="B683">
            <v>7605520103021</v>
          </cell>
          <cell r="D683">
            <v>254580000</v>
          </cell>
          <cell r="E683">
            <v>0</v>
          </cell>
          <cell r="F683">
            <v>254580000</v>
          </cell>
          <cell r="G683">
            <v>0</v>
          </cell>
          <cell r="H683">
            <v>0</v>
          </cell>
        </row>
        <row r="684">
          <cell r="B684">
            <v>7605520103030</v>
          </cell>
          <cell r="D684">
            <v>35640000</v>
          </cell>
          <cell r="E684">
            <v>0</v>
          </cell>
          <cell r="F684">
            <v>35640000</v>
          </cell>
          <cell r="G684">
            <v>0</v>
          </cell>
          <cell r="H684">
            <v>0</v>
          </cell>
        </row>
        <row r="685">
          <cell r="B685">
            <v>7607310103020</v>
          </cell>
          <cell r="D685">
            <v>23513700</v>
          </cell>
          <cell r="E685">
            <v>0</v>
          </cell>
          <cell r="F685">
            <v>23513700</v>
          </cell>
          <cell r="G685">
            <v>0</v>
          </cell>
          <cell r="H685">
            <v>0</v>
          </cell>
        </row>
        <row r="686">
          <cell r="B686">
            <v>761993010172</v>
          </cell>
          <cell r="D686">
            <v>0</v>
          </cell>
          <cell r="E686">
            <v>329332250454</v>
          </cell>
          <cell r="F686">
            <v>0</v>
          </cell>
          <cell r="G686">
            <v>329332250454</v>
          </cell>
          <cell r="H686">
            <v>0</v>
          </cell>
        </row>
        <row r="687">
          <cell r="B687">
            <v>7700310103010</v>
          </cell>
          <cell r="D687">
            <v>12980000</v>
          </cell>
          <cell r="E687">
            <v>0</v>
          </cell>
          <cell r="F687">
            <v>12980000</v>
          </cell>
          <cell r="G687">
            <v>0</v>
          </cell>
          <cell r="H687">
            <v>0</v>
          </cell>
        </row>
        <row r="688">
          <cell r="B688">
            <v>7700310103050</v>
          </cell>
          <cell r="D688">
            <v>325538685</v>
          </cell>
          <cell r="E688">
            <v>0</v>
          </cell>
          <cell r="F688">
            <v>325538685</v>
          </cell>
          <cell r="G688">
            <v>0</v>
          </cell>
          <cell r="H688">
            <v>0</v>
          </cell>
        </row>
        <row r="689">
          <cell r="B689">
            <v>7700310203010</v>
          </cell>
          <cell r="D689">
            <v>8291000</v>
          </cell>
          <cell r="E689">
            <v>0</v>
          </cell>
          <cell r="F689">
            <v>8291000</v>
          </cell>
          <cell r="G689">
            <v>0</v>
          </cell>
          <cell r="H689">
            <v>0</v>
          </cell>
        </row>
        <row r="690">
          <cell r="B690">
            <v>7700310203050</v>
          </cell>
          <cell r="D690">
            <v>849948</v>
          </cell>
          <cell r="E690">
            <v>0</v>
          </cell>
          <cell r="F690">
            <v>849948</v>
          </cell>
          <cell r="G690">
            <v>0</v>
          </cell>
          <cell r="H690">
            <v>0</v>
          </cell>
        </row>
        <row r="691">
          <cell r="B691">
            <v>7700310903050</v>
          </cell>
          <cell r="D691">
            <v>212590</v>
          </cell>
          <cell r="E691">
            <v>0</v>
          </cell>
          <cell r="F691">
            <v>212590</v>
          </cell>
          <cell r="G691">
            <v>0</v>
          </cell>
          <cell r="H691">
            <v>0</v>
          </cell>
        </row>
        <row r="692">
          <cell r="B692">
            <v>7700319903050</v>
          </cell>
          <cell r="D692">
            <v>2750000</v>
          </cell>
          <cell r="E692">
            <v>0</v>
          </cell>
          <cell r="F692">
            <v>2750000</v>
          </cell>
          <cell r="G692">
            <v>0</v>
          </cell>
          <cell r="H692">
            <v>0</v>
          </cell>
        </row>
        <row r="693">
          <cell r="B693">
            <v>7701320103295</v>
          </cell>
          <cell r="D693">
            <v>31183568</v>
          </cell>
          <cell r="E693">
            <v>0</v>
          </cell>
          <cell r="F693">
            <v>31183568</v>
          </cell>
          <cell r="G693">
            <v>0</v>
          </cell>
          <cell r="H693">
            <v>0</v>
          </cell>
        </row>
        <row r="694">
          <cell r="B694">
            <v>7701360103295</v>
          </cell>
          <cell r="D694">
            <v>91450168</v>
          </cell>
          <cell r="E694">
            <v>0</v>
          </cell>
          <cell r="F694">
            <v>91450168</v>
          </cell>
          <cell r="G694">
            <v>0</v>
          </cell>
          <cell r="H694">
            <v>0</v>
          </cell>
        </row>
        <row r="695">
          <cell r="B695">
            <v>7702012103000</v>
          </cell>
          <cell r="D695">
            <v>18310846410</v>
          </cell>
          <cell r="E695">
            <v>0</v>
          </cell>
          <cell r="F695">
            <v>18310846410</v>
          </cell>
          <cell r="G695">
            <v>0</v>
          </cell>
          <cell r="H695">
            <v>18300000000</v>
          </cell>
        </row>
        <row r="696">
          <cell r="B696">
            <v>7702012103010</v>
          </cell>
          <cell r="D696">
            <v>13350000000</v>
          </cell>
          <cell r="E696">
            <v>0</v>
          </cell>
          <cell r="F696">
            <v>13350000000</v>
          </cell>
          <cell r="G696">
            <v>0</v>
          </cell>
          <cell r="H696">
            <v>13350000006</v>
          </cell>
        </row>
        <row r="697">
          <cell r="B697">
            <v>7702012103011</v>
          </cell>
          <cell r="D697">
            <v>11610000000</v>
          </cell>
          <cell r="E697">
            <v>0</v>
          </cell>
          <cell r="F697">
            <v>11610000000</v>
          </cell>
          <cell r="G697">
            <v>0</v>
          </cell>
          <cell r="H697">
            <v>11610000000</v>
          </cell>
        </row>
        <row r="698">
          <cell r="B698">
            <v>7702012103012</v>
          </cell>
          <cell r="D698">
            <v>3262666667</v>
          </cell>
          <cell r="E698">
            <v>0</v>
          </cell>
          <cell r="F698">
            <v>3262666667</v>
          </cell>
          <cell r="G698">
            <v>0</v>
          </cell>
          <cell r="H698">
            <v>2760000000</v>
          </cell>
        </row>
        <row r="699">
          <cell r="B699">
            <v>7702012103013</v>
          </cell>
          <cell r="D699">
            <v>6078000000</v>
          </cell>
          <cell r="E699">
            <v>0</v>
          </cell>
          <cell r="F699">
            <v>6078000000</v>
          </cell>
          <cell r="G699">
            <v>0</v>
          </cell>
          <cell r="H699">
            <v>6060000000</v>
          </cell>
        </row>
        <row r="700">
          <cell r="B700">
            <v>7702012103014</v>
          </cell>
          <cell r="D700">
            <v>9466500000</v>
          </cell>
          <cell r="E700">
            <v>0</v>
          </cell>
          <cell r="F700">
            <v>9466500000</v>
          </cell>
          <cell r="G700">
            <v>0</v>
          </cell>
          <cell r="H700">
            <v>9450000000</v>
          </cell>
        </row>
        <row r="701">
          <cell r="B701">
            <v>7702012103015</v>
          </cell>
          <cell r="D701">
            <v>21360000000</v>
          </cell>
          <cell r="E701">
            <v>0</v>
          </cell>
          <cell r="F701">
            <v>21360000000</v>
          </cell>
          <cell r="G701">
            <v>0</v>
          </cell>
          <cell r="H701">
            <v>21360000024</v>
          </cell>
        </row>
        <row r="702">
          <cell r="B702">
            <v>7702012103050</v>
          </cell>
          <cell r="D702">
            <v>31473333333</v>
          </cell>
          <cell r="E702">
            <v>0</v>
          </cell>
          <cell r="F702">
            <v>31473333333</v>
          </cell>
          <cell r="G702">
            <v>0</v>
          </cell>
          <cell r="H702">
            <v>32730000000</v>
          </cell>
        </row>
        <row r="703">
          <cell r="B703">
            <v>7702012103295</v>
          </cell>
          <cell r="D703">
            <v>3313130714</v>
          </cell>
          <cell r="E703">
            <v>0</v>
          </cell>
          <cell r="F703">
            <v>3313130714</v>
          </cell>
          <cell r="G703">
            <v>0</v>
          </cell>
          <cell r="H703">
            <v>3248079390</v>
          </cell>
        </row>
        <row r="704">
          <cell r="B704">
            <v>7702020203010</v>
          </cell>
          <cell r="D704">
            <v>157416666</v>
          </cell>
          <cell r="E704">
            <v>0</v>
          </cell>
          <cell r="F704">
            <v>157416666</v>
          </cell>
          <cell r="G704">
            <v>0</v>
          </cell>
          <cell r="H704">
            <v>0</v>
          </cell>
        </row>
        <row r="705">
          <cell r="B705">
            <v>7702020203012</v>
          </cell>
          <cell r="D705">
            <v>837199999</v>
          </cell>
          <cell r="E705">
            <v>0</v>
          </cell>
          <cell r="F705">
            <v>837199999</v>
          </cell>
          <cell r="G705">
            <v>0</v>
          </cell>
          <cell r="H705">
            <v>0</v>
          </cell>
        </row>
        <row r="706">
          <cell r="B706">
            <v>7702020203013</v>
          </cell>
          <cell r="D706">
            <v>67277778</v>
          </cell>
          <cell r="E706">
            <v>0</v>
          </cell>
          <cell r="F706">
            <v>67277778</v>
          </cell>
          <cell r="G706">
            <v>0</v>
          </cell>
          <cell r="H706">
            <v>0</v>
          </cell>
        </row>
        <row r="707">
          <cell r="B707">
            <v>7702020203014</v>
          </cell>
          <cell r="D707">
            <v>377300000</v>
          </cell>
          <cell r="E707">
            <v>0</v>
          </cell>
          <cell r="F707">
            <v>377300000</v>
          </cell>
          <cell r="G707">
            <v>0</v>
          </cell>
          <cell r="H707">
            <v>0</v>
          </cell>
        </row>
        <row r="708">
          <cell r="B708">
            <v>7702020203015</v>
          </cell>
          <cell r="D708">
            <v>458683334</v>
          </cell>
          <cell r="E708">
            <v>0</v>
          </cell>
          <cell r="F708">
            <v>458683334</v>
          </cell>
          <cell r="G708">
            <v>0</v>
          </cell>
          <cell r="H708">
            <v>0</v>
          </cell>
        </row>
        <row r="709">
          <cell r="B709">
            <v>7702020203050</v>
          </cell>
          <cell r="D709">
            <v>457711110</v>
          </cell>
          <cell r="E709">
            <v>0</v>
          </cell>
          <cell r="F709">
            <v>457711110</v>
          </cell>
          <cell r="G709">
            <v>0</v>
          </cell>
          <cell r="H709">
            <v>0</v>
          </cell>
        </row>
        <row r="710">
          <cell r="B710">
            <v>7702020203295</v>
          </cell>
          <cell r="D710">
            <v>95558137</v>
          </cell>
          <cell r="E710">
            <v>0</v>
          </cell>
          <cell r="F710">
            <v>95558137</v>
          </cell>
          <cell r="G710">
            <v>0</v>
          </cell>
          <cell r="H710">
            <v>259846351</v>
          </cell>
        </row>
        <row r="711">
          <cell r="B711">
            <v>7702040203000</v>
          </cell>
          <cell r="D711">
            <v>6100000002</v>
          </cell>
          <cell r="E711">
            <v>1</v>
          </cell>
          <cell r="F711">
            <v>6100000001</v>
          </cell>
          <cell r="G711">
            <v>0</v>
          </cell>
          <cell r="H711">
            <v>6099999996</v>
          </cell>
        </row>
        <row r="712">
          <cell r="B712">
            <v>7702040203010</v>
          </cell>
          <cell r="D712">
            <v>4449999998</v>
          </cell>
          <cell r="E712">
            <v>0</v>
          </cell>
          <cell r="F712">
            <v>4449999998</v>
          </cell>
          <cell r="G712">
            <v>0</v>
          </cell>
          <cell r="H712">
            <v>4450000002</v>
          </cell>
        </row>
        <row r="713">
          <cell r="B713">
            <v>7702040203011</v>
          </cell>
          <cell r="D713">
            <v>3870000000</v>
          </cell>
          <cell r="E713">
            <v>0</v>
          </cell>
          <cell r="F713">
            <v>3870000000</v>
          </cell>
          <cell r="G713">
            <v>0</v>
          </cell>
          <cell r="H713">
            <v>3870000000</v>
          </cell>
        </row>
        <row r="714">
          <cell r="B714">
            <v>7702040203012</v>
          </cell>
          <cell r="D714">
            <v>939333332</v>
          </cell>
          <cell r="E714">
            <v>0</v>
          </cell>
          <cell r="F714">
            <v>939333332</v>
          </cell>
          <cell r="G714">
            <v>0</v>
          </cell>
          <cell r="H714">
            <v>919999998</v>
          </cell>
        </row>
        <row r="715">
          <cell r="B715">
            <v>7702040203013</v>
          </cell>
          <cell r="D715">
            <v>2026000002</v>
          </cell>
          <cell r="E715">
            <v>1</v>
          </cell>
          <cell r="F715">
            <v>2026000001</v>
          </cell>
          <cell r="G715">
            <v>0</v>
          </cell>
          <cell r="H715">
            <v>2019999996</v>
          </cell>
        </row>
        <row r="716">
          <cell r="B716">
            <v>7702040203014</v>
          </cell>
          <cell r="D716">
            <v>3155500000</v>
          </cell>
          <cell r="E716">
            <v>0</v>
          </cell>
          <cell r="F716">
            <v>3155500000</v>
          </cell>
          <cell r="G716">
            <v>0</v>
          </cell>
          <cell r="H716">
            <v>3150000000</v>
          </cell>
        </row>
        <row r="717">
          <cell r="B717">
            <v>7702040203015</v>
          </cell>
          <cell r="D717">
            <v>7120000008</v>
          </cell>
          <cell r="E717">
            <v>1</v>
          </cell>
          <cell r="F717">
            <v>7120000007</v>
          </cell>
          <cell r="G717">
            <v>0</v>
          </cell>
          <cell r="H717">
            <v>7120000008</v>
          </cell>
        </row>
        <row r="718">
          <cell r="B718">
            <v>7702040203050</v>
          </cell>
          <cell r="D718">
            <v>10437333332</v>
          </cell>
          <cell r="E718">
            <v>0</v>
          </cell>
          <cell r="F718">
            <v>10437333332</v>
          </cell>
          <cell r="G718">
            <v>0</v>
          </cell>
          <cell r="H718">
            <v>10909999998</v>
          </cell>
        </row>
        <row r="719">
          <cell r="B719">
            <v>7702040203295</v>
          </cell>
          <cell r="D719">
            <v>1088673600</v>
          </cell>
          <cell r="E719">
            <v>11962200</v>
          </cell>
          <cell r="F719">
            <v>1076711400</v>
          </cell>
          <cell r="G719">
            <v>0</v>
          </cell>
          <cell r="H719">
            <v>1082693130</v>
          </cell>
        </row>
        <row r="720">
          <cell r="B720">
            <v>7702050103120</v>
          </cell>
          <cell r="D720">
            <v>1035564942</v>
          </cell>
          <cell r="E720">
            <v>0</v>
          </cell>
          <cell r="F720">
            <v>1035564942</v>
          </cell>
          <cell r="G720">
            <v>0</v>
          </cell>
          <cell r="H720">
            <v>1035564936</v>
          </cell>
        </row>
        <row r="721">
          <cell r="B721">
            <v>7702050103131</v>
          </cell>
          <cell r="D721">
            <v>765835354</v>
          </cell>
          <cell r="E721">
            <v>0</v>
          </cell>
          <cell r="F721">
            <v>765835354</v>
          </cell>
          <cell r="G721">
            <v>0</v>
          </cell>
          <cell r="H721">
            <v>765835350</v>
          </cell>
        </row>
        <row r="722">
          <cell r="B722">
            <v>7702050103133</v>
          </cell>
          <cell r="D722">
            <v>388529322</v>
          </cell>
          <cell r="E722">
            <v>0</v>
          </cell>
          <cell r="F722">
            <v>388529322</v>
          </cell>
          <cell r="G722">
            <v>0</v>
          </cell>
          <cell r="H722">
            <v>126227790</v>
          </cell>
        </row>
        <row r="723">
          <cell r="B723">
            <v>7702050103134</v>
          </cell>
          <cell r="D723">
            <v>258270924</v>
          </cell>
          <cell r="E723">
            <v>0</v>
          </cell>
          <cell r="F723">
            <v>258270924</v>
          </cell>
          <cell r="G723">
            <v>0</v>
          </cell>
          <cell r="H723">
            <v>258270924</v>
          </cell>
        </row>
        <row r="724">
          <cell r="B724">
            <v>7702050103136</v>
          </cell>
          <cell r="D724">
            <v>136084488</v>
          </cell>
          <cell r="E724">
            <v>0</v>
          </cell>
          <cell r="F724">
            <v>136084488</v>
          </cell>
          <cell r="G724">
            <v>0</v>
          </cell>
          <cell r="H724">
            <v>136084482</v>
          </cell>
        </row>
        <row r="725">
          <cell r="B725">
            <v>7702050103141</v>
          </cell>
          <cell r="D725">
            <v>453614682</v>
          </cell>
          <cell r="E725">
            <v>0</v>
          </cell>
          <cell r="F725">
            <v>453614682</v>
          </cell>
          <cell r="G725">
            <v>0</v>
          </cell>
          <cell r="H725">
            <v>453614676</v>
          </cell>
        </row>
        <row r="726">
          <cell r="B726">
            <v>7702050103142</v>
          </cell>
          <cell r="D726">
            <v>718211904</v>
          </cell>
          <cell r="E726">
            <v>0</v>
          </cell>
          <cell r="F726">
            <v>718211904</v>
          </cell>
          <cell r="G726">
            <v>0</v>
          </cell>
          <cell r="H726">
            <v>718211898</v>
          </cell>
        </row>
        <row r="727">
          <cell r="B727">
            <v>7702050103143</v>
          </cell>
          <cell r="D727">
            <v>291405102</v>
          </cell>
          <cell r="E727">
            <v>0</v>
          </cell>
          <cell r="F727">
            <v>291405102</v>
          </cell>
          <cell r="G727">
            <v>0</v>
          </cell>
          <cell r="H727">
            <v>291405102</v>
          </cell>
        </row>
        <row r="728">
          <cell r="B728">
            <v>7702050103220</v>
          </cell>
          <cell r="D728">
            <v>306190236</v>
          </cell>
          <cell r="E728">
            <v>0</v>
          </cell>
          <cell r="F728">
            <v>306190236</v>
          </cell>
          <cell r="G728">
            <v>0</v>
          </cell>
          <cell r="H728">
            <v>306190230</v>
          </cell>
        </row>
        <row r="729">
          <cell r="B729">
            <v>7702050103230</v>
          </cell>
          <cell r="D729">
            <v>306190236</v>
          </cell>
          <cell r="E729">
            <v>0</v>
          </cell>
          <cell r="F729">
            <v>306190236</v>
          </cell>
          <cell r="G729">
            <v>0</v>
          </cell>
          <cell r="H729">
            <v>306190230</v>
          </cell>
        </row>
        <row r="730">
          <cell r="B730">
            <v>7702050103260</v>
          </cell>
          <cell r="D730">
            <v>1102376830</v>
          </cell>
          <cell r="E730">
            <v>0</v>
          </cell>
          <cell r="F730">
            <v>1102376830</v>
          </cell>
          <cell r="G730">
            <v>0</v>
          </cell>
          <cell r="H730">
            <v>1259876262</v>
          </cell>
        </row>
        <row r="731">
          <cell r="B731">
            <v>7702050103270</v>
          </cell>
          <cell r="D731">
            <v>328870752</v>
          </cell>
          <cell r="E731">
            <v>0</v>
          </cell>
          <cell r="F731">
            <v>328870752</v>
          </cell>
          <cell r="G731">
            <v>0</v>
          </cell>
          <cell r="H731">
            <v>328870752</v>
          </cell>
        </row>
        <row r="732">
          <cell r="B732">
            <v>7702050103280</v>
          </cell>
          <cell r="D732">
            <v>62499992</v>
          </cell>
          <cell r="E732">
            <v>0</v>
          </cell>
          <cell r="F732">
            <v>62499992</v>
          </cell>
          <cell r="G732">
            <v>0</v>
          </cell>
          <cell r="H732">
            <v>0</v>
          </cell>
        </row>
        <row r="733">
          <cell r="B733">
            <v>7702050103290</v>
          </cell>
          <cell r="D733">
            <v>396405522</v>
          </cell>
          <cell r="E733">
            <v>0</v>
          </cell>
          <cell r="F733">
            <v>396405522</v>
          </cell>
          <cell r="G733">
            <v>0</v>
          </cell>
          <cell r="H733">
            <v>458905512</v>
          </cell>
        </row>
        <row r="734">
          <cell r="B734">
            <v>7702050203000</v>
          </cell>
          <cell r="D734">
            <v>5000000000</v>
          </cell>
          <cell r="E734">
            <v>0</v>
          </cell>
          <cell r="F734">
            <v>5000000000</v>
          </cell>
          <cell r="G734">
            <v>0</v>
          </cell>
          <cell r="H734">
            <v>0</v>
          </cell>
        </row>
        <row r="735">
          <cell r="B735">
            <v>7702050203010</v>
          </cell>
          <cell r="D735">
            <v>573750000</v>
          </cell>
          <cell r="E735">
            <v>0</v>
          </cell>
          <cell r="F735">
            <v>573750000</v>
          </cell>
          <cell r="G735">
            <v>0</v>
          </cell>
          <cell r="H735">
            <v>573750000</v>
          </cell>
        </row>
        <row r="736">
          <cell r="B736">
            <v>7702050203012</v>
          </cell>
          <cell r="D736">
            <v>345000000</v>
          </cell>
          <cell r="E736">
            <v>0</v>
          </cell>
          <cell r="F736">
            <v>345000000</v>
          </cell>
          <cell r="G736">
            <v>0</v>
          </cell>
          <cell r="H736">
            <v>345000000</v>
          </cell>
        </row>
        <row r="737">
          <cell r="B737">
            <v>7702050203014</v>
          </cell>
          <cell r="D737">
            <v>345000000</v>
          </cell>
          <cell r="E737">
            <v>0</v>
          </cell>
          <cell r="F737">
            <v>345000000</v>
          </cell>
          <cell r="G737">
            <v>0</v>
          </cell>
          <cell r="H737">
            <v>345000000</v>
          </cell>
        </row>
        <row r="738">
          <cell r="B738">
            <v>7702050203015</v>
          </cell>
          <cell r="D738">
            <v>536250000</v>
          </cell>
          <cell r="E738">
            <v>0</v>
          </cell>
          <cell r="F738">
            <v>536250000</v>
          </cell>
          <cell r="G738">
            <v>0</v>
          </cell>
          <cell r="H738">
            <v>536250000</v>
          </cell>
        </row>
        <row r="739">
          <cell r="B739">
            <v>7702050203050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180000000</v>
          </cell>
        </row>
        <row r="740">
          <cell r="B740">
            <v>7702110103250</v>
          </cell>
          <cell r="D740">
            <v>5902552233</v>
          </cell>
          <cell r="E740">
            <v>0</v>
          </cell>
          <cell r="F740">
            <v>5902552233</v>
          </cell>
          <cell r="G740">
            <v>0</v>
          </cell>
          <cell r="H740">
            <v>0</v>
          </cell>
        </row>
        <row r="741">
          <cell r="B741">
            <v>7702110103260</v>
          </cell>
          <cell r="D741">
            <v>1143783181</v>
          </cell>
          <cell r="E741">
            <v>0</v>
          </cell>
          <cell r="F741">
            <v>1143783181</v>
          </cell>
          <cell r="G741">
            <v>0</v>
          </cell>
          <cell r="H741">
            <v>0</v>
          </cell>
        </row>
        <row r="742">
          <cell r="B742">
            <v>7702110103290</v>
          </cell>
          <cell r="D742">
            <v>1549361465</v>
          </cell>
          <cell r="E742">
            <v>0</v>
          </cell>
          <cell r="F742">
            <v>1549361465</v>
          </cell>
          <cell r="G742">
            <v>0</v>
          </cell>
          <cell r="H742">
            <v>0</v>
          </cell>
        </row>
        <row r="743">
          <cell r="B743">
            <v>7702110203012</v>
          </cell>
          <cell r="D743">
            <v>971205912</v>
          </cell>
          <cell r="E743">
            <v>0</v>
          </cell>
          <cell r="F743">
            <v>971205912</v>
          </cell>
          <cell r="G743">
            <v>0</v>
          </cell>
          <cell r="H743">
            <v>0</v>
          </cell>
        </row>
        <row r="744">
          <cell r="B744">
            <v>7702110203013</v>
          </cell>
          <cell r="D744">
            <v>3199645414</v>
          </cell>
          <cell r="E744">
            <v>0</v>
          </cell>
          <cell r="F744">
            <v>3199645414</v>
          </cell>
          <cell r="G744">
            <v>0</v>
          </cell>
          <cell r="H744">
            <v>0</v>
          </cell>
        </row>
        <row r="745">
          <cell r="B745">
            <v>7702110203014</v>
          </cell>
          <cell r="D745">
            <v>1624222460</v>
          </cell>
          <cell r="E745">
            <v>0</v>
          </cell>
          <cell r="F745">
            <v>1624222460</v>
          </cell>
          <cell r="G745">
            <v>0</v>
          </cell>
          <cell r="H745">
            <v>0</v>
          </cell>
        </row>
        <row r="746">
          <cell r="B746">
            <v>7702110203020</v>
          </cell>
          <cell r="D746">
            <v>3244503111</v>
          </cell>
          <cell r="E746">
            <v>0</v>
          </cell>
          <cell r="F746">
            <v>3244503111</v>
          </cell>
          <cell r="G746">
            <v>0</v>
          </cell>
          <cell r="H746">
            <v>0</v>
          </cell>
        </row>
        <row r="747">
          <cell r="B747">
            <v>7702110203050</v>
          </cell>
          <cell r="D747">
            <v>2915186729</v>
          </cell>
          <cell r="E747">
            <v>0</v>
          </cell>
          <cell r="F747">
            <v>2915186729</v>
          </cell>
          <cell r="G747">
            <v>0</v>
          </cell>
          <cell r="H747">
            <v>0</v>
          </cell>
        </row>
        <row r="748">
          <cell r="B748">
            <v>7702120103250</v>
          </cell>
          <cell r="D748">
            <v>771489040</v>
          </cell>
          <cell r="E748">
            <v>0</v>
          </cell>
          <cell r="F748">
            <v>771489040</v>
          </cell>
          <cell r="G748">
            <v>0</v>
          </cell>
          <cell r="H748">
            <v>0</v>
          </cell>
        </row>
        <row r="749">
          <cell r="B749">
            <v>7702120103260</v>
          </cell>
          <cell r="D749">
            <v>370212640</v>
          </cell>
          <cell r="E749">
            <v>0</v>
          </cell>
          <cell r="F749">
            <v>370212640</v>
          </cell>
          <cell r="G749">
            <v>0</v>
          </cell>
          <cell r="H749">
            <v>0</v>
          </cell>
        </row>
        <row r="750">
          <cell r="B750">
            <v>7702120103290</v>
          </cell>
          <cell r="D750">
            <v>657714400</v>
          </cell>
          <cell r="E750">
            <v>0</v>
          </cell>
          <cell r="F750">
            <v>657714400</v>
          </cell>
          <cell r="G750">
            <v>0</v>
          </cell>
          <cell r="H750">
            <v>0</v>
          </cell>
        </row>
        <row r="751">
          <cell r="B751">
            <v>7702120203012</v>
          </cell>
          <cell r="D751">
            <v>1478434025</v>
          </cell>
          <cell r="E751">
            <v>0</v>
          </cell>
          <cell r="F751">
            <v>1478434025</v>
          </cell>
          <cell r="G751">
            <v>0</v>
          </cell>
          <cell r="H751">
            <v>0</v>
          </cell>
        </row>
        <row r="752">
          <cell r="B752">
            <v>7702120203013</v>
          </cell>
          <cell r="D752">
            <v>493106781</v>
          </cell>
          <cell r="E752">
            <v>0</v>
          </cell>
          <cell r="F752">
            <v>493106781</v>
          </cell>
          <cell r="G752">
            <v>0</v>
          </cell>
          <cell r="H752">
            <v>0</v>
          </cell>
        </row>
        <row r="753">
          <cell r="B753">
            <v>7702120203014</v>
          </cell>
          <cell r="D753">
            <v>456157009</v>
          </cell>
          <cell r="E753">
            <v>0</v>
          </cell>
          <cell r="F753">
            <v>456157009</v>
          </cell>
          <cell r="G753">
            <v>0</v>
          </cell>
          <cell r="H753">
            <v>0</v>
          </cell>
        </row>
        <row r="754">
          <cell r="B754">
            <v>7702120203020</v>
          </cell>
          <cell r="D754">
            <v>2386654260</v>
          </cell>
          <cell r="E754">
            <v>0</v>
          </cell>
          <cell r="F754">
            <v>2386654260</v>
          </cell>
          <cell r="G754">
            <v>0</v>
          </cell>
          <cell r="H754">
            <v>0</v>
          </cell>
        </row>
        <row r="755">
          <cell r="B755">
            <v>7702120203040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>
            <v>7702120203050</v>
          </cell>
          <cell r="D756">
            <v>4412713291</v>
          </cell>
          <cell r="E756">
            <v>0</v>
          </cell>
          <cell r="F756">
            <v>4412713291</v>
          </cell>
          <cell r="G756">
            <v>0</v>
          </cell>
          <cell r="H756">
            <v>0</v>
          </cell>
        </row>
        <row r="757">
          <cell r="B757">
            <v>7702190203010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561000000</v>
          </cell>
        </row>
        <row r="758">
          <cell r="B758">
            <v>7702190203011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357300000</v>
          </cell>
        </row>
        <row r="759">
          <cell r="B759">
            <v>7702190203013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142900000</v>
          </cell>
        </row>
        <row r="760">
          <cell r="B760">
            <v>7702190203015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357300000</v>
          </cell>
        </row>
        <row r="761">
          <cell r="B761">
            <v>7702190203050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357300000</v>
          </cell>
        </row>
        <row r="762">
          <cell r="B762">
            <v>7702192203000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786200000</v>
          </cell>
        </row>
        <row r="763">
          <cell r="B763">
            <v>7702192203010</v>
          </cell>
          <cell r="D763">
            <v>1050223460</v>
          </cell>
          <cell r="E763">
            <v>0</v>
          </cell>
          <cell r="F763">
            <v>1050223460</v>
          </cell>
          <cell r="G763">
            <v>0</v>
          </cell>
          <cell r="H763">
            <v>71500000</v>
          </cell>
        </row>
        <row r="764">
          <cell r="B764">
            <v>7702192203011</v>
          </cell>
          <cell r="D764">
            <v>100184404</v>
          </cell>
          <cell r="E764">
            <v>0</v>
          </cell>
          <cell r="F764">
            <v>100184404</v>
          </cell>
          <cell r="G764">
            <v>0</v>
          </cell>
          <cell r="H764">
            <v>357300000</v>
          </cell>
        </row>
        <row r="765">
          <cell r="B765">
            <v>7702192203012</v>
          </cell>
          <cell r="D765">
            <v>38629911</v>
          </cell>
          <cell r="E765">
            <v>0</v>
          </cell>
          <cell r="F765">
            <v>38629911</v>
          </cell>
          <cell r="G765">
            <v>0</v>
          </cell>
          <cell r="H765">
            <v>0</v>
          </cell>
        </row>
        <row r="766">
          <cell r="B766">
            <v>7702192203013</v>
          </cell>
          <cell r="D766">
            <v>40027198</v>
          </cell>
          <cell r="E766">
            <v>0</v>
          </cell>
          <cell r="F766">
            <v>40027198</v>
          </cell>
          <cell r="G766">
            <v>0</v>
          </cell>
          <cell r="H766">
            <v>428900000</v>
          </cell>
        </row>
        <row r="767">
          <cell r="B767">
            <v>7702192203014</v>
          </cell>
          <cell r="D767">
            <v>10123240</v>
          </cell>
          <cell r="E767">
            <v>0</v>
          </cell>
          <cell r="F767">
            <v>10123240</v>
          </cell>
          <cell r="G767">
            <v>0</v>
          </cell>
          <cell r="H767">
            <v>71500000</v>
          </cell>
        </row>
        <row r="768">
          <cell r="B768">
            <v>7702192203015</v>
          </cell>
          <cell r="D768">
            <v>9657478</v>
          </cell>
          <cell r="E768">
            <v>0</v>
          </cell>
          <cell r="F768">
            <v>9657478</v>
          </cell>
          <cell r="G768">
            <v>0</v>
          </cell>
          <cell r="H768">
            <v>142900000</v>
          </cell>
        </row>
        <row r="769">
          <cell r="B769">
            <v>7702192203050</v>
          </cell>
          <cell r="D769">
            <v>233672088</v>
          </cell>
          <cell r="E769">
            <v>0</v>
          </cell>
          <cell r="F769">
            <v>233672088</v>
          </cell>
          <cell r="G769">
            <v>0</v>
          </cell>
          <cell r="H769">
            <v>71500000</v>
          </cell>
        </row>
        <row r="770">
          <cell r="B770">
            <v>7702210203010</v>
          </cell>
          <cell r="D770">
            <v>544009368</v>
          </cell>
          <cell r="E770">
            <v>0</v>
          </cell>
          <cell r="F770">
            <v>544009368</v>
          </cell>
          <cell r="G770">
            <v>0</v>
          </cell>
          <cell r="H770">
            <v>570240000</v>
          </cell>
        </row>
        <row r="771">
          <cell r="B771">
            <v>7702210203011</v>
          </cell>
          <cell r="D771">
            <v>545771990</v>
          </cell>
          <cell r="E771">
            <v>0</v>
          </cell>
          <cell r="F771">
            <v>545771990</v>
          </cell>
          <cell r="G771">
            <v>0</v>
          </cell>
          <cell r="H771">
            <v>570240000</v>
          </cell>
        </row>
        <row r="772">
          <cell r="B772">
            <v>7702210203012</v>
          </cell>
          <cell r="D772">
            <v>181299735</v>
          </cell>
          <cell r="E772">
            <v>8726128</v>
          </cell>
          <cell r="F772">
            <v>172573607</v>
          </cell>
          <cell r="G772">
            <v>0</v>
          </cell>
          <cell r="H772">
            <v>190080000</v>
          </cell>
        </row>
        <row r="773">
          <cell r="B773">
            <v>7702210203013</v>
          </cell>
          <cell r="D773">
            <v>364973001</v>
          </cell>
          <cell r="E773">
            <v>0</v>
          </cell>
          <cell r="F773">
            <v>364973001</v>
          </cell>
          <cell r="G773">
            <v>0</v>
          </cell>
          <cell r="H773">
            <v>380160000</v>
          </cell>
        </row>
        <row r="774">
          <cell r="B774">
            <v>7702210203014</v>
          </cell>
          <cell r="D774">
            <v>728894438</v>
          </cell>
          <cell r="E774">
            <v>0</v>
          </cell>
          <cell r="F774">
            <v>728894438</v>
          </cell>
          <cell r="G774">
            <v>0</v>
          </cell>
          <cell r="H774">
            <v>760320000</v>
          </cell>
        </row>
        <row r="775">
          <cell r="B775">
            <v>7702210203015</v>
          </cell>
          <cell r="D775">
            <v>1089781358</v>
          </cell>
          <cell r="E775">
            <v>0</v>
          </cell>
          <cell r="F775">
            <v>1089781358</v>
          </cell>
          <cell r="G775">
            <v>0</v>
          </cell>
          <cell r="H775">
            <v>1140480000</v>
          </cell>
        </row>
        <row r="776">
          <cell r="B776">
            <v>7702210203050</v>
          </cell>
          <cell r="D776">
            <v>1275217247</v>
          </cell>
          <cell r="E776">
            <v>701043</v>
          </cell>
          <cell r="F776">
            <v>1274516204</v>
          </cell>
          <cell r="G776">
            <v>0</v>
          </cell>
          <cell r="H776">
            <v>1520640000</v>
          </cell>
        </row>
        <row r="777">
          <cell r="B777">
            <v>7702210203295</v>
          </cell>
          <cell r="D777">
            <v>691811573</v>
          </cell>
          <cell r="E777">
            <v>0</v>
          </cell>
          <cell r="F777">
            <v>691811573</v>
          </cell>
          <cell r="G777">
            <v>0</v>
          </cell>
          <cell r="H777">
            <v>760320000</v>
          </cell>
        </row>
        <row r="778">
          <cell r="B778">
            <v>7702230403000</v>
          </cell>
          <cell r="D778">
            <v>162241380</v>
          </cell>
          <cell r="E778">
            <v>0</v>
          </cell>
          <cell r="F778">
            <v>162241380</v>
          </cell>
          <cell r="G778">
            <v>0</v>
          </cell>
          <cell r="H778">
            <v>172800000</v>
          </cell>
        </row>
        <row r="779">
          <cell r="B779">
            <v>7702230403012</v>
          </cell>
          <cell r="D779">
            <v>3605364</v>
          </cell>
          <cell r="E779">
            <v>901341</v>
          </cell>
          <cell r="F779">
            <v>2704023</v>
          </cell>
          <cell r="G779">
            <v>0</v>
          </cell>
          <cell r="H779">
            <v>0</v>
          </cell>
        </row>
        <row r="780">
          <cell r="B780">
            <v>7702240203010</v>
          </cell>
          <cell r="D780">
            <v>405222498</v>
          </cell>
          <cell r="E780">
            <v>0</v>
          </cell>
          <cell r="F780">
            <v>405222498</v>
          </cell>
          <cell r="G780">
            <v>0</v>
          </cell>
          <cell r="H780">
            <v>400500000</v>
          </cell>
        </row>
        <row r="781">
          <cell r="B781">
            <v>7702240203011</v>
          </cell>
          <cell r="D781">
            <v>348300000</v>
          </cell>
          <cell r="E781">
            <v>0</v>
          </cell>
          <cell r="F781">
            <v>348300000</v>
          </cell>
          <cell r="G781">
            <v>0</v>
          </cell>
          <cell r="H781">
            <v>348300000</v>
          </cell>
        </row>
        <row r="782">
          <cell r="B782">
            <v>7702240203012</v>
          </cell>
          <cell r="D782">
            <v>107915995</v>
          </cell>
          <cell r="E782">
            <v>1275720</v>
          </cell>
          <cell r="F782">
            <v>106640275</v>
          </cell>
          <cell r="G782">
            <v>0</v>
          </cell>
          <cell r="H782">
            <v>82800000</v>
          </cell>
        </row>
        <row r="783">
          <cell r="B783">
            <v>7702240203013</v>
          </cell>
          <cell r="D783">
            <v>184358333</v>
          </cell>
          <cell r="E783">
            <v>0</v>
          </cell>
          <cell r="F783">
            <v>184358333</v>
          </cell>
          <cell r="G783">
            <v>0</v>
          </cell>
          <cell r="H783">
            <v>181800000</v>
          </cell>
        </row>
        <row r="784">
          <cell r="B784">
            <v>7702240203014</v>
          </cell>
          <cell r="D784">
            <v>295313999</v>
          </cell>
          <cell r="E784">
            <v>0</v>
          </cell>
          <cell r="F784">
            <v>295313999</v>
          </cell>
          <cell r="G784">
            <v>0</v>
          </cell>
          <cell r="H784">
            <v>283500000</v>
          </cell>
        </row>
        <row r="785">
          <cell r="B785">
            <v>7702240203015</v>
          </cell>
          <cell r="D785">
            <v>654560498</v>
          </cell>
          <cell r="E785">
            <v>0</v>
          </cell>
          <cell r="F785">
            <v>654560498</v>
          </cell>
          <cell r="G785">
            <v>0</v>
          </cell>
          <cell r="H785">
            <v>640800000</v>
          </cell>
        </row>
        <row r="786">
          <cell r="B786">
            <v>7702240203050</v>
          </cell>
          <cell r="D786">
            <v>953091330</v>
          </cell>
          <cell r="E786">
            <v>0</v>
          </cell>
          <cell r="F786">
            <v>953091330</v>
          </cell>
          <cell r="G786">
            <v>0</v>
          </cell>
          <cell r="H786">
            <v>981900000</v>
          </cell>
        </row>
        <row r="787">
          <cell r="B787">
            <v>7702240203295</v>
          </cell>
          <cell r="D787">
            <v>102260649</v>
          </cell>
          <cell r="E787">
            <v>0</v>
          </cell>
          <cell r="F787">
            <v>102260649</v>
          </cell>
          <cell r="G787">
            <v>0</v>
          </cell>
          <cell r="H787">
            <v>105237773</v>
          </cell>
        </row>
        <row r="788">
          <cell r="B788">
            <v>7702310103000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>
            <v>7702310103050</v>
          </cell>
          <cell r="D789">
            <v>979601469</v>
          </cell>
          <cell r="E789">
            <v>0</v>
          </cell>
          <cell r="F789">
            <v>979601469</v>
          </cell>
          <cell r="G789">
            <v>0</v>
          </cell>
          <cell r="H789">
            <v>2235000000</v>
          </cell>
        </row>
        <row r="790">
          <cell r="B790">
            <v>7702320103000</v>
          </cell>
          <cell r="D790">
            <v>101335703</v>
          </cell>
          <cell r="E790">
            <v>0</v>
          </cell>
          <cell r="F790">
            <v>101335703</v>
          </cell>
          <cell r="G790">
            <v>0</v>
          </cell>
          <cell r="H790">
            <v>132000000</v>
          </cell>
        </row>
        <row r="791">
          <cell r="B791">
            <v>7702320103010</v>
          </cell>
          <cell r="D791">
            <v>360876678</v>
          </cell>
          <cell r="E791">
            <v>0</v>
          </cell>
          <cell r="F791">
            <v>360876678</v>
          </cell>
          <cell r="G791">
            <v>0</v>
          </cell>
          <cell r="H791">
            <v>396000000</v>
          </cell>
        </row>
        <row r="792">
          <cell r="B792">
            <v>7702320103011</v>
          </cell>
          <cell r="D792">
            <v>304007111</v>
          </cell>
          <cell r="E792">
            <v>0</v>
          </cell>
          <cell r="F792">
            <v>304007111</v>
          </cell>
          <cell r="G792">
            <v>0</v>
          </cell>
          <cell r="H792">
            <v>396000000</v>
          </cell>
        </row>
        <row r="793">
          <cell r="B793">
            <v>7702320103012</v>
          </cell>
          <cell r="D793">
            <v>101335702</v>
          </cell>
          <cell r="E793">
            <v>0</v>
          </cell>
          <cell r="F793">
            <v>101335702</v>
          </cell>
          <cell r="G793">
            <v>0</v>
          </cell>
          <cell r="H793">
            <v>132000000</v>
          </cell>
        </row>
        <row r="794">
          <cell r="B794">
            <v>7702320103013</v>
          </cell>
          <cell r="D794">
            <v>202671408</v>
          </cell>
          <cell r="E794">
            <v>0</v>
          </cell>
          <cell r="F794">
            <v>202671408</v>
          </cell>
          <cell r="G794">
            <v>0</v>
          </cell>
          <cell r="H794">
            <v>264000000</v>
          </cell>
        </row>
        <row r="795">
          <cell r="B795">
            <v>7702320103014</v>
          </cell>
          <cell r="D795">
            <v>405342819</v>
          </cell>
          <cell r="E795">
            <v>0</v>
          </cell>
          <cell r="F795">
            <v>405342819</v>
          </cell>
          <cell r="G795">
            <v>0</v>
          </cell>
          <cell r="H795">
            <v>528000000</v>
          </cell>
        </row>
        <row r="796">
          <cell r="B796">
            <v>7702320103015</v>
          </cell>
          <cell r="D796">
            <v>608014227</v>
          </cell>
          <cell r="E796">
            <v>0</v>
          </cell>
          <cell r="F796">
            <v>608014227</v>
          </cell>
          <cell r="G796">
            <v>0</v>
          </cell>
          <cell r="H796">
            <v>792000000</v>
          </cell>
        </row>
        <row r="797">
          <cell r="B797">
            <v>7702320103050</v>
          </cell>
          <cell r="D797">
            <v>934088682</v>
          </cell>
          <cell r="E797">
            <v>0</v>
          </cell>
          <cell r="F797">
            <v>934088682</v>
          </cell>
          <cell r="G797">
            <v>0</v>
          </cell>
          <cell r="H797">
            <v>1056000000</v>
          </cell>
        </row>
        <row r="798">
          <cell r="B798">
            <v>7702320103295</v>
          </cell>
          <cell r="D798">
            <v>374159251</v>
          </cell>
          <cell r="E798">
            <v>0</v>
          </cell>
          <cell r="F798">
            <v>374159251</v>
          </cell>
          <cell r="G798">
            <v>0</v>
          </cell>
          <cell r="H798">
            <v>528000000</v>
          </cell>
        </row>
        <row r="799">
          <cell r="B799">
            <v>7702330103000</v>
          </cell>
          <cell r="D799">
            <v>16913043</v>
          </cell>
          <cell r="E799">
            <v>0</v>
          </cell>
          <cell r="F799">
            <v>16913043</v>
          </cell>
          <cell r="G799">
            <v>0</v>
          </cell>
          <cell r="H799">
            <v>0</v>
          </cell>
        </row>
        <row r="800">
          <cell r="B800">
            <v>7702330103050</v>
          </cell>
          <cell r="D800">
            <v>937009642</v>
          </cell>
          <cell r="E800">
            <v>0</v>
          </cell>
          <cell r="F800">
            <v>937009642</v>
          </cell>
          <cell r="G800">
            <v>0</v>
          </cell>
          <cell r="H800">
            <v>0</v>
          </cell>
        </row>
        <row r="801">
          <cell r="B801">
            <v>7702350103000</v>
          </cell>
          <cell r="D801">
            <v>253026039</v>
          </cell>
          <cell r="E801">
            <v>0</v>
          </cell>
          <cell r="F801">
            <v>253026039</v>
          </cell>
          <cell r="G801">
            <v>0</v>
          </cell>
          <cell r="H801">
            <v>60000000</v>
          </cell>
        </row>
        <row r="802">
          <cell r="B802">
            <v>7702350103010</v>
          </cell>
          <cell r="D802">
            <v>32235462</v>
          </cell>
          <cell r="E802">
            <v>0</v>
          </cell>
          <cell r="F802">
            <v>32235462</v>
          </cell>
          <cell r="G802">
            <v>0</v>
          </cell>
          <cell r="H802">
            <v>180000000</v>
          </cell>
        </row>
        <row r="803">
          <cell r="B803">
            <v>7702350103011</v>
          </cell>
          <cell r="D803">
            <v>117379834</v>
          </cell>
          <cell r="E803">
            <v>0</v>
          </cell>
          <cell r="F803">
            <v>117379834</v>
          </cell>
          <cell r="G803">
            <v>0</v>
          </cell>
          <cell r="H803">
            <v>180000000</v>
          </cell>
        </row>
        <row r="804">
          <cell r="B804">
            <v>7702350103012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60000000</v>
          </cell>
        </row>
        <row r="805">
          <cell r="B805">
            <v>7702350103013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120000000</v>
          </cell>
        </row>
        <row r="806">
          <cell r="B806">
            <v>7702350103014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240000000</v>
          </cell>
        </row>
        <row r="807">
          <cell r="B807">
            <v>7702350103015</v>
          </cell>
          <cell r="D807">
            <v>83228880</v>
          </cell>
          <cell r="E807">
            <v>0</v>
          </cell>
          <cell r="F807">
            <v>83228880</v>
          </cell>
          <cell r="G807">
            <v>0</v>
          </cell>
          <cell r="H807">
            <v>360000000</v>
          </cell>
        </row>
        <row r="808">
          <cell r="B808">
            <v>7702350103050</v>
          </cell>
          <cell r="D808">
            <v>880867604</v>
          </cell>
          <cell r="E808">
            <v>0</v>
          </cell>
          <cell r="F808">
            <v>880867604</v>
          </cell>
          <cell r="G808">
            <v>0</v>
          </cell>
          <cell r="H808">
            <v>6600000000</v>
          </cell>
        </row>
        <row r="809">
          <cell r="B809">
            <v>7702350103295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240000000</v>
          </cell>
        </row>
        <row r="810">
          <cell r="B810">
            <v>7702350203050</v>
          </cell>
          <cell r="D810">
            <v>936900000</v>
          </cell>
          <cell r="E810">
            <v>0</v>
          </cell>
          <cell r="F810">
            <v>936900000</v>
          </cell>
          <cell r="G810">
            <v>0</v>
          </cell>
          <cell r="H810">
            <v>0</v>
          </cell>
        </row>
        <row r="811">
          <cell r="B811">
            <v>7702360103010</v>
          </cell>
          <cell r="D811">
            <v>619854886</v>
          </cell>
          <cell r="E811">
            <v>0</v>
          </cell>
          <cell r="F811">
            <v>619854886</v>
          </cell>
          <cell r="G811">
            <v>0</v>
          </cell>
          <cell r="H811">
            <v>468000000</v>
          </cell>
        </row>
        <row r="812">
          <cell r="B812">
            <v>7702360103011</v>
          </cell>
          <cell r="D812">
            <v>619854886</v>
          </cell>
          <cell r="E812">
            <v>0</v>
          </cell>
          <cell r="F812">
            <v>619854886</v>
          </cell>
          <cell r="G812">
            <v>0</v>
          </cell>
          <cell r="H812">
            <v>468000000</v>
          </cell>
        </row>
        <row r="813">
          <cell r="B813">
            <v>7702360103012</v>
          </cell>
          <cell r="D813">
            <v>206618296</v>
          </cell>
          <cell r="E813">
            <v>0</v>
          </cell>
          <cell r="F813">
            <v>206618296</v>
          </cell>
          <cell r="G813">
            <v>0</v>
          </cell>
          <cell r="H813">
            <v>156000000</v>
          </cell>
        </row>
        <row r="814">
          <cell r="B814">
            <v>7702360103013</v>
          </cell>
          <cell r="D814">
            <v>413236599</v>
          </cell>
          <cell r="E814">
            <v>0</v>
          </cell>
          <cell r="F814">
            <v>413236599</v>
          </cell>
          <cell r="G814">
            <v>0</v>
          </cell>
          <cell r="H814">
            <v>312000000</v>
          </cell>
        </row>
        <row r="815">
          <cell r="B815">
            <v>7702360103014</v>
          </cell>
          <cell r="D815">
            <v>826473182</v>
          </cell>
          <cell r="E815">
            <v>0</v>
          </cell>
          <cell r="F815">
            <v>826473182</v>
          </cell>
          <cell r="G815">
            <v>0</v>
          </cell>
          <cell r="H815">
            <v>624000000</v>
          </cell>
        </row>
        <row r="816">
          <cell r="B816">
            <v>7702360103015</v>
          </cell>
          <cell r="D816">
            <v>1239709772</v>
          </cell>
          <cell r="E816">
            <v>0</v>
          </cell>
          <cell r="F816">
            <v>1239709772</v>
          </cell>
          <cell r="G816">
            <v>0</v>
          </cell>
          <cell r="H816">
            <v>936000000</v>
          </cell>
        </row>
        <row r="817">
          <cell r="B817">
            <v>7702360103050</v>
          </cell>
          <cell r="D817">
            <v>1239709772</v>
          </cell>
          <cell r="E817">
            <v>0</v>
          </cell>
          <cell r="F817">
            <v>1239709772</v>
          </cell>
          <cell r="G817">
            <v>0</v>
          </cell>
          <cell r="H817">
            <v>1431000000</v>
          </cell>
        </row>
        <row r="818">
          <cell r="B818">
            <v>7702360103295</v>
          </cell>
          <cell r="D818">
            <v>735023008</v>
          </cell>
          <cell r="E818">
            <v>0</v>
          </cell>
          <cell r="F818">
            <v>735023008</v>
          </cell>
          <cell r="G818">
            <v>0</v>
          </cell>
          <cell r="H818">
            <v>624000000</v>
          </cell>
        </row>
        <row r="819">
          <cell r="B819">
            <v>7702490103050</v>
          </cell>
          <cell r="D819">
            <v>8531248969</v>
          </cell>
          <cell r="E819">
            <v>0</v>
          </cell>
          <cell r="F819">
            <v>8531248969</v>
          </cell>
          <cell r="G819">
            <v>0</v>
          </cell>
          <cell r="H819">
            <v>3750000000</v>
          </cell>
        </row>
        <row r="820">
          <cell r="B820">
            <v>7702490203050</v>
          </cell>
          <cell r="D820">
            <v>2415016671</v>
          </cell>
          <cell r="E820">
            <v>0</v>
          </cell>
          <cell r="F820">
            <v>2415016671</v>
          </cell>
          <cell r="G820">
            <v>0</v>
          </cell>
          <cell r="H820">
            <v>0</v>
          </cell>
        </row>
        <row r="821">
          <cell r="B821">
            <v>7703040103050</v>
          </cell>
          <cell r="D821">
            <v>3862694190</v>
          </cell>
          <cell r="E821">
            <v>0</v>
          </cell>
          <cell r="F821">
            <v>3862694190</v>
          </cell>
          <cell r="G821">
            <v>0</v>
          </cell>
          <cell r="H821">
            <v>2001000000</v>
          </cell>
        </row>
        <row r="822">
          <cell r="B822">
            <v>7703110103050</v>
          </cell>
          <cell r="D822">
            <v>1861156326</v>
          </cell>
          <cell r="E822">
            <v>0</v>
          </cell>
          <cell r="F822">
            <v>1861156326</v>
          </cell>
          <cell r="G822">
            <v>0</v>
          </cell>
          <cell r="H822">
            <v>1500800000</v>
          </cell>
        </row>
        <row r="823">
          <cell r="B823">
            <v>7703110203050</v>
          </cell>
          <cell r="D823">
            <v>870572674</v>
          </cell>
          <cell r="E823">
            <v>0</v>
          </cell>
          <cell r="F823">
            <v>870572674</v>
          </cell>
          <cell r="G823">
            <v>0</v>
          </cell>
          <cell r="H823">
            <v>0</v>
          </cell>
        </row>
        <row r="824">
          <cell r="B824">
            <v>7703120103000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>
            <v>7703120103050</v>
          </cell>
          <cell r="D825">
            <v>3438064821</v>
          </cell>
          <cell r="E825">
            <v>0</v>
          </cell>
          <cell r="F825">
            <v>3438064821</v>
          </cell>
          <cell r="G825">
            <v>0</v>
          </cell>
          <cell r="H825">
            <v>4287900000</v>
          </cell>
        </row>
        <row r="826">
          <cell r="B826">
            <v>7703120203050</v>
          </cell>
          <cell r="D826">
            <v>830227600</v>
          </cell>
          <cell r="E826">
            <v>0</v>
          </cell>
          <cell r="F826">
            <v>830227600</v>
          </cell>
          <cell r="G826">
            <v>0</v>
          </cell>
          <cell r="H826">
            <v>0</v>
          </cell>
        </row>
        <row r="827">
          <cell r="B827">
            <v>7703130103015</v>
          </cell>
          <cell r="D827">
            <v>29280000</v>
          </cell>
          <cell r="E827">
            <v>0</v>
          </cell>
          <cell r="F827">
            <v>29280000</v>
          </cell>
          <cell r="G827">
            <v>0</v>
          </cell>
          <cell r="H827">
            <v>0</v>
          </cell>
        </row>
        <row r="828">
          <cell r="B828">
            <v>7703130103050</v>
          </cell>
          <cell r="D828">
            <v>608307250</v>
          </cell>
          <cell r="E828">
            <v>0</v>
          </cell>
          <cell r="F828">
            <v>608307250</v>
          </cell>
          <cell r="G828">
            <v>0</v>
          </cell>
          <cell r="H828">
            <v>1429300000</v>
          </cell>
        </row>
        <row r="829">
          <cell r="B829">
            <v>7703160103000</v>
          </cell>
          <cell r="D829">
            <v>73074305</v>
          </cell>
          <cell r="E829">
            <v>0</v>
          </cell>
          <cell r="F829">
            <v>73074305</v>
          </cell>
          <cell r="G829">
            <v>0</v>
          </cell>
          <cell r="H829">
            <v>357300000</v>
          </cell>
        </row>
        <row r="830">
          <cell r="B830">
            <v>7703160103050</v>
          </cell>
          <cell r="D830">
            <v>128617956</v>
          </cell>
          <cell r="E830">
            <v>0</v>
          </cell>
          <cell r="F830">
            <v>128617956</v>
          </cell>
          <cell r="G830">
            <v>0</v>
          </cell>
          <cell r="H830">
            <v>214400000</v>
          </cell>
        </row>
        <row r="831">
          <cell r="B831">
            <v>7703180103000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285800000</v>
          </cell>
        </row>
        <row r="832">
          <cell r="B832">
            <v>7703180103050</v>
          </cell>
          <cell r="D832">
            <v>280139421</v>
          </cell>
          <cell r="E832">
            <v>0</v>
          </cell>
          <cell r="F832">
            <v>280139421</v>
          </cell>
          <cell r="G832">
            <v>0</v>
          </cell>
          <cell r="H832">
            <v>178700000</v>
          </cell>
        </row>
        <row r="833">
          <cell r="B833">
            <v>7703210103000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</row>
        <row r="834">
          <cell r="B834">
            <v>7703210103050</v>
          </cell>
          <cell r="D834">
            <v>21935192500</v>
          </cell>
          <cell r="E834">
            <v>0</v>
          </cell>
          <cell r="F834">
            <v>21935192500</v>
          </cell>
          <cell r="G834">
            <v>0</v>
          </cell>
          <cell r="H834">
            <v>19469700000</v>
          </cell>
        </row>
        <row r="835">
          <cell r="B835">
            <v>7703230103000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357300000</v>
          </cell>
        </row>
        <row r="836">
          <cell r="B836">
            <v>7703230103012</v>
          </cell>
          <cell r="D836">
            <v>448871999</v>
          </cell>
          <cell r="E836">
            <v>0</v>
          </cell>
          <cell r="F836">
            <v>448871999</v>
          </cell>
          <cell r="G836">
            <v>0</v>
          </cell>
          <cell r="H836">
            <v>285800000</v>
          </cell>
        </row>
        <row r="837">
          <cell r="B837">
            <v>7703230103013</v>
          </cell>
          <cell r="D837">
            <v>31500000</v>
          </cell>
          <cell r="E837">
            <v>0</v>
          </cell>
          <cell r="F837">
            <v>31500000</v>
          </cell>
          <cell r="G837">
            <v>0</v>
          </cell>
          <cell r="H837">
            <v>0</v>
          </cell>
        </row>
        <row r="838">
          <cell r="B838">
            <v>7703230103050</v>
          </cell>
          <cell r="D838">
            <v>134500000</v>
          </cell>
          <cell r="E838">
            <v>0</v>
          </cell>
          <cell r="F838">
            <v>134500000</v>
          </cell>
          <cell r="G838">
            <v>0</v>
          </cell>
          <cell r="H838">
            <v>0</v>
          </cell>
        </row>
        <row r="839">
          <cell r="B839">
            <v>7703230203000</v>
          </cell>
          <cell r="D839">
            <v>3513933670</v>
          </cell>
          <cell r="E839">
            <v>0</v>
          </cell>
          <cell r="F839">
            <v>3513933670</v>
          </cell>
          <cell r="G839">
            <v>0</v>
          </cell>
          <cell r="H839">
            <v>3750000000</v>
          </cell>
        </row>
        <row r="840">
          <cell r="B840">
            <v>7703239903000</v>
          </cell>
          <cell r="D840">
            <v>134250000</v>
          </cell>
          <cell r="E840">
            <v>0</v>
          </cell>
          <cell r="F840">
            <v>134250000</v>
          </cell>
          <cell r="G840">
            <v>0</v>
          </cell>
          <cell r="H840">
            <v>0</v>
          </cell>
        </row>
        <row r="841">
          <cell r="B841">
            <v>7703290103012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71500000</v>
          </cell>
        </row>
        <row r="842">
          <cell r="B842">
            <v>7703310103050</v>
          </cell>
          <cell r="D842">
            <v>1379629575</v>
          </cell>
          <cell r="E842">
            <v>0</v>
          </cell>
          <cell r="F842">
            <v>1379629575</v>
          </cell>
          <cell r="G842">
            <v>0</v>
          </cell>
          <cell r="H842">
            <v>214400000</v>
          </cell>
        </row>
        <row r="843">
          <cell r="B843">
            <v>7703320103012</v>
          </cell>
          <cell r="D843">
            <v>33707865</v>
          </cell>
          <cell r="E843">
            <v>0</v>
          </cell>
          <cell r="F843">
            <v>33707865</v>
          </cell>
          <cell r="G843">
            <v>0</v>
          </cell>
          <cell r="H843">
            <v>0</v>
          </cell>
        </row>
        <row r="844">
          <cell r="B844">
            <v>7703320103050</v>
          </cell>
          <cell r="D844">
            <v>46067414</v>
          </cell>
          <cell r="E844">
            <v>0</v>
          </cell>
          <cell r="F844">
            <v>46067414</v>
          </cell>
          <cell r="G844">
            <v>0</v>
          </cell>
          <cell r="H844">
            <v>178700000</v>
          </cell>
        </row>
        <row r="845">
          <cell r="B845">
            <v>7704010103000</v>
          </cell>
          <cell r="D845">
            <v>62643475</v>
          </cell>
          <cell r="E845">
            <v>0</v>
          </cell>
          <cell r="F845">
            <v>62643475</v>
          </cell>
          <cell r="G845">
            <v>0</v>
          </cell>
          <cell r="H845">
            <v>71500000</v>
          </cell>
        </row>
        <row r="846">
          <cell r="B846">
            <v>7704010103010</v>
          </cell>
          <cell r="D846">
            <v>600845648</v>
          </cell>
          <cell r="E846">
            <v>0</v>
          </cell>
          <cell r="F846">
            <v>600845648</v>
          </cell>
          <cell r="G846">
            <v>0</v>
          </cell>
          <cell r="H846">
            <v>750400000</v>
          </cell>
        </row>
        <row r="847">
          <cell r="B847">
            <v>7704010103011</v>
          </cell>
          <cell r="D847">
            <v>158763041</v>
          </cell>
          <cell r="E847">
            <v>0</v>
          </cell>
          <cell r="F847">
            <v>158763041</v>
          </cell>
          <cell r="G847">
            <v>0</v>
          </cell>
          <cell r="H847">
            <v>357300000</v>
          </cell>
        </row>
        <row r="848">
          <cell r="B848">
            <v>7704010103012</v>
          </cell>
          <cell r="D848">
            <v>211130433</v>
          </cell>
          <cell r="E848">
            <v>0</v>
          </cell>
          <cell r="F848">
            <v>211130433</v>
          </cell>
          <cell r="G848">
            <v>0</v>
          </cell>
          <cell r="H848">
            <v>178700000</v>
          </cell>
        </row>
        <row r="849">
          <cell r="B849">
            <v>7704010103013</v>
          </cell>
          <cell r="D849">
            <v>86006520</v>
          </cell>
          <cell r="E849">
            <v>0</v>
          </cell>
          <cell r="F849">
            <v>86006520</v>
          </cell>
          <cell r="G849">
            <v>0</v>
          </cell>
          <cell r="H849">
            <v>214400000</v>
          </cell>
        </row>
        <row r="850">
          <cell r="B850">
            <v>7704010103014</v>
          </cell>
          <cell r="D850">
            <v>28400000</v>
          </cell>
          <cell r="E850">
            <v>0</v>
          </cell>
          <cell r="F850">
            <v>28400000</v>
          </cell>
          <cell r="G850">
            <v>0</v>
          </cell>
          <cell r="H850">
            <v>107200000</v>
          </cell>
        </row>
        <row r="851">
          <cell r="B851">
            <v>7704010103015</v>
          </cell>
          <cell r="D851">
            <v>110026827</v>
          </cell>
          <cell r="E851">
            <v>0</v>
          </cell>
          <cell r="F851">
            <v>110026827</v>
          </cell>
          <cell r="G851">
            <v>0</v>
          </cell>
          <cell r="H851">
            <v>142900000</v>
          </cell>
        </row>
        <row r="852">
          <cell r="B852">
            <v>7704010103050</v>
          </cell>
          <cell r="D852">
            <v>1112210647</v>
          </cell>
          <cell r="E852">
            <v>0</v>
          </cell>
          <cell r="F852">
            <v>1112210647</v>
          </cell>
          <cell r="G852">
            <v>0</v>
          </cell>
          <cell r="H852">
            <v>857600000</v>
          </cell>
        </row>
        <row r="853">
          <cell r="B853">
            <v>7704020103000</v>
          </cell>
          <cell r="D853">
            <v>39434783</v>
          </cell>
          <cell r="E853">
            <v>0</v>
          </cell>
          <cell r="F853">
            <v>39434783</v>
          </cell>
          <cell r="G853">
            <v>0</v>
          </cell>
          <cell r="H853">
            <v>357300000</v>
          </cell>
        </row>
        <row r="854">
          <cell r="B854">
            <v>7704020103010</v>
          </cell>
          <cell r="D854">
            <v>296253912</v>
          </cell>
          <cell r="E854">
            <v>0</v>
          </cell>
          <cell r="F854">
            <v>296253912</v>
          </cell>
          <cell r="G854">
            <v>0</v>
          </cell>
          <cell r="H854">
            <v>321700000</v>
          </cell>
        </row>
        <row r="855">
          <cell r="B855">
            <v>7704020103011</v>
          </cell>
          <cell r="D855">
            <v>17695652</v>
          </cell>
          <cell r="E855">
            <v>0</v>
          </cell>
          <cell r="F855">
            <v>17695652</v>
          </cell>
          <cell r="G855">
            <v>0</v>
          </cell>
          <cell r="H855">
            <v>714700000</v>
          </cell>
        </row>
        <row r="856">
          <cell r="B856">
            <v>7704020103012</v>
          </cell>
          <cell r="D856">
            <v>38652174</v>
          </cell>
          <cell r="E856">
            <v>0</v>
          </cell>
          <cell r="F856">
            <v>38652174</v>
          </cell>
          <cell r="G856">
            <v>0</v>
          </cell>
          <cell r="H856">
            <v>142900000</v>
          </cell>
        </row>
        <row r="857">
          <cell r="B857">
            <v>7704020103013</v>
          </cell>
          <cell r="D857">
            <v>63367390</v>
          </cell>
          <cell r="E857">
            <v>0</v>
          </cell>
          <cell r="F857">
            <v>63367390</v>
          </cell>
          <cell r="G857">
            <v>0</v>
          </cell>
          <cell r="H857">
            <v>214400000</v>
          </cell>
        </row>
        <row r="858">
          <cell r="B858">
            <v>7704020103014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71500000</v>
          </cell>
        </row>
        <row r="859">
          <cell r="B859">
            <v>7704020103015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250200000</v>
          </cell>
        </row>
        <row r="860">
          <cell r="B860">
            <v>7704020103050</v>
          </cell>
          <cell r="D860">
            <v>127739130</v>
          </cell>
          <cell r="E860">
            <v>0</v>
          </cell>
          <cell r="F860">
            <v>127739130</v>
          </cell>
          <cell r="G860">
            <v>0</v>
          </cell>
          <cell r="H860">
            <v>35900000</v>
          </cell>
        </row>
        <row r="861">
          <cell r="B861">
            <v>7704020203000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214400000</v>
          </cell>
        </row>
        <row r="862">
          <cell r="B862">
            <v>7704020203010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214400000</v>
          </cell>
        </row>
        <row r="863">
          <cell r="B863">
            <v>7704020203011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357300000</v>
          </cell>
        </row>
        <row r="864">
          <cell r="B864">
            <v>7704020203012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107200000</v>
          </cell>
        </row>
        <row r="865">
          <cell r="B865">
            <v>7704020203013</v>
          </cell>
          <cell r="D865">
            <v>14675595</v>
          </cell>
          <cell r="E865">
            <v>0</v>
          </cell>
          <cell r="F865">
            <v>14675595</v>
          </cell>
          <cell r="G865">
            <v>0</v>
          </cell>
          <cell r="H865">
            <v>71500000</v>
          </cell>
        </row>
        <row r="866">
          <cell r="B866">
            <v>7704020203014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71500000</v>
          </cell>
        </row>
        <row r="867">
          <cell r="B867">
            <v>7704020203015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107200000</v>
          </cell>
        </row>
        <row r="868">
          <cell r="B868">
            <v>7704020203050</v>
          </cell>
          <cell r="D868">
            <v>46504348</v>
          </cell>
          <cell r="E868">
            <v>0</v>
          </cell>
          <cell r="F868">
            <v>46504348</v>
          </cell>
          <cell r="G868">
            <v>0</v>
          </cell>
          <cell r="H868">
            <v>71500000</v>
          </cell>
        </row>
        <row r="869">
          <cell r="B869">
            <v>7704030103000</v>
          </cell>
          <cell r="D869">
            <v>228395652</v>
          </cell>
          <cell r="E869">
            <v>0</v>
          </cell>
          <cell r="F869">
            <v>228395652</v>
          </cell>
          <cell r="G869">
            <v>0</v>
          </cell>
          <cell r="H869">
            <v>357300000</v>
          </cell>
        </row>
        <row r="870">
          <cell r="B870">
            <v>7704030103010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193100000</v>
          </cell>
        </row>
        <row r="871">
          <cell r="B871">
            <v>7704030103011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428900000</v>
          </cell>
        </row>
        <row r="872">
          <cell r="B872">
            <v>7704030103012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357300000</v>
          </cell>
        </row>
        <row r="873">
          <cell r="B873">
            <v>7704030103013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142900000</v>
          </cell>
        </row>
        <row r="874">
          <cell r="B874">
            <v>7704030103015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214400000</v>
          </cell>
        </row>
        <row r="875">
          <cell r="B875">
            <v>7704110103000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142900000</v>
          </cell>
        </row>
        <row r="876">
          <cell r="B876">
            <v>7704110103050</v>
          </cell>
          <cell r="D876">
            <v>265970000</v>
          </cell>
          <cell r="E876">
            <v>0</v>
          </cell>
          <cell r="F876">
            <v>265970000</v>
          </cell>
          <cell r="G876">
            <v>0</v>
          </cell>
          <cell r="H876">
            <v>357300000</v>
          </cell>
        </row>
        <row r="877">
          <cell r="B877">
            <v>7704120103090</v>
          </cell>
          <cell r="D877">
            <v>1575000</v>
          </cell>
          <cell r="E877">
            <v>0</v>
          </cell>
          <cell r="F877">
            <v>1575000</v>
          </cell>
          <cell r="G877">
            <v>0</v>
          </cell>
          <cell r="H877">
            <v>0</v>
          </cell>
        </row>
        <row r="878">
          <cell r="B878">
            <v>7704130103000</v>
          </cell>
          <cell r="D878">
            <v>333555434</v>
          </cell>
          <cell r="E878">
            <v>0</v>
          </cell>
          <cell r="F878">
            <v>333555434</v>
          </cell>
          <cell r="G878">
            <v>0</v>
          </cell>
          <cell r="H878">
            <v>214400000</v>
          </cell>
        </row>
        <row r="879">
          <cell r="B879">
            <v>7704130103010</v>
          </cell>
          <cell r="D879">
            <v>805136884</v>
          </cell>
          <cell r="E879">
            <v>0</v>
          </cell>
          <cell r="F879">
            <v>805136884</v>
          </cell>
          <cell r="G879">
            <v>0</v>
          </cell>
          <cell r="H879">
            <v>500200000</v>
          </cell>
        </row>
        <row r="880">
          <cell r="B880">
            <v>7704130103011</v>
          </cell>
          <cell r="D880">
            <v>746050653</v>
          </cell>
          <cell r="E880">
            <v>0</v>
          </cell>
          <cell r="F880">
            <v>746050653</v>
          </cell>
          <cell r="G880">
            <v>0</v>
          </cell>
          <cell r="H880">
            <v>0</v>
          </cell>
        </row>
        <row r="881">
          <cell r="B881">
            <v>7704130103015</v>
          </cell>
          <cell r="D881">
            <v>773924568</v>
          </cell>
          <cell r="E881">
            <v>0</v>
          </cell>
          <cell r="F881">
            <v>773924568</v>
          </cell>
          <cell r="G881">
            <v>0</v>
          </cell>
          <cell r="H881">
            <v>0</v>
          </cell>
        </row>
        <row r="882">
          <cell r="B882">
            <v>7704130103050</v>
          </cell>
          <cell r="D882">
            <v>1956272272</v>
          </cell>
          <cell r="E882">
            <v>0</v>
          </cell>
          <cell r="F882">
            <v>1956272272</v>
          </cell>
          <cell r="G882">
            <v>0</v>
          </cell>
          <cell r="H882">
            <v>5002500000</v>
          </cell>
        </row>
        <row r="883">
          <cell r="B883">
            <v>7704140103000</v>
          </cell>
          <cell r="D883">
            <v>748056</v>
          </cell>
          <cell r="E883">
            <v>0</v>
          </cell>
          <cell r="F883">
            <v>748056</v>
          </cell>
          <cell r="G883">
            <v>0</v>
          </cell>
          <cell r="H883">
            <v>214400000</v>
          </cell>
        </row>
        <row r="884">
          <cell r="B884">
            <v>7704140103010</v>
          </cell>
          <cell r="D884">
            <v>1339000</v>
          </cell>
          <cell r="E884">
            <v>0</v>
          </cell>
          <cell r="F884">
            <v>1339000</v>
          </cell>
          <cell r="G884">
            <v>0</v>
          </cell>
          <cell r="H884">
            <v>285800000</v>
          </cell>
        </row>
        <row r="885">
          <cell r="B885">
            <v>7704140103011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</row>
        <row r="886">
          <cell r="B886">
            <v>7704140103014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21400000</v>
          </cell>
        </row>
        <row r="887">
          <cell r="B887">
            <v>7704140103020</v>
          </cell>
          <cell r="D887">
            <v>59794544</v>
          </cell>
          <cell r="E887">
            <v>0</v>
          </cell>
          <cell r="F887">
            <v>59794544</v>
          </cell>
          <cell r="G887">
            <v>0</v>
          </cell>
          <cell r="H887">
            <v>0</v>
          </cell>
        </row>
        <row r="888">
          <cell r="B888">
            <v>7704140103021</v>
          </cell>
          <cell r="D888">
            <v>1262332</v>
          </cell>
          <cell r="E888">
            <v>0</v>
          </cell>
          <cell r="F888">
            <v>1262332</v>
          </cell>
          <cell r="G888">
            <v>0</v>
          </cell>
          <cell r="H888">
            <v>0</v>
          </cell>
        </row>
        <row r="889">
          <cell r="B889">
            <v>7704140103050</v>
          </cell>
          <cell r="D889">
            <v>4935684328</v>
          </cell>
          <cell r="E889">
            <v>0</v>
          </cell>
          <cell r="F889">
            <v>4935684328</v>
          </cell>
          <cell r="G889">
            <v>0</v>
          </cell>
          <cell r="H889">
            <v>3930500000</v>
          </cell>
        </row>
        <row r="890">
          <cell r="B890">
            <v>7704210103000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357300000</v>
          </cell>
        </row>
        <row r="891">
          <cell r="B891">
            <v>7704230103000</v>
          </cell>
          <cell r="D891">
            <v>60000000</v>
          </cell>
          <cell r="E891">
            <v>0</v>
          </cell>
          <cell r="F891">
            <v>60000000</v>
          </cell>
          <cell r="G891">
            <v>0</v>
          </cell>
          <cell r="H891">
            <v>357300000</v>
          </cell>
        </row>
        <row r="892">
          <cell r="B892">
            <v>7704230103050</v>
          </cell>
          <cell r="D892">
            <v>16469650</v>
          </cell>
          <cell r="E892">
            <v>0</v>
          </cell>
          <cell r="F892">
            <v>16469650</v>
          </cell>
          <cell r="G892">
            <v>0</v>
          </cell>
          <cell r="H892">
            <v>71500000</v>
          </cell>
        </row>
        <row r="893">
          <cell r="B893">
            <v>7704260103000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</row>
        <row r="894">
          <cell r="B894">
            <v>7704260103010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>
            <v>7704260103050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250200000</v>
          </cell>
        </row>
        <row r="896">
          <cell r="B896">
            <v>7704270103030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</row>
        <row r="897">
          <cell r="B897">
            <v>7704270103050</v>
          </cell>
          <cell r="D897">
            <v>30000000</v>
          </cell>
          <cell r="E897">
            <v>0</v>
          </cell>
          <cell r="F897">
            <v>30000000</v>
          </cell>
          <cell r="G897">
            <v>0</v>
          </cell>
          <cell r="H897">
            <v>0</v>
          </cell>
        </row>
        <row r="898">
          <cell r="B898">
            <v>7704280103000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357300000</v>
          </cell>
        </row>
        <row r="899">
          <cell r="B899">
            <v>7704280103010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71500000</v>
          </cell>
        </row>
        <row r="900">
          <cell r="B900">
            <v>7704280103050</v>
          </cell>
          <cell r="D900">
            <v>284977873</v>
          </cell>
          <cell r="E900">
            <v>0</v>
          </cell>
          <cell r="F900">
            <v>284977873</v>
          </cell>
          <cell r="G900">
            <v>0</v>
          </cell>
          <cell r="H900">
            <v>214400000</v>
          </cell>
        </row>
        <row r="901">
          <cell r="B901">
            <v>7704290103000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178700000</v>
          </cell>
        </row>
        <row r="902">
          <cell r="B902">
            <v>7704310103050</v>
          </cell>
          <cell r="D902">
            <v>13110852220</v>
          </cell>
          <cell r="E902">
            <v>1356234221</v>
          </cell>
          <cell r="F902">
            <v>11754617999</v>
          </cell>
          <cell r="G902">
            <v>0</v>
          </cell>
          <cell r="H902">
            <v>0</v>
          </cell>
        </row>
        <row r="903">
          <cell r="B903">
            <v>7704320103050</v>
          </cell>
          <cell r="D903">
            <v>185998000</v>
          </cell>
          <cell r="E903">
            <v>0</v>
          </cell>
          <cell r="F903">
            <v>185998000</v>
          </cell>
          <cell r="G903">
            <v>0</v>
          </cell>
          <cell r="H903">
            <v>140300000</v>
          </cell>
        </row>
        <row r="904">
          <cell r="B904">
            <v>7704330103050</v>
          </cell>
          <cell r="D904">
            <v>482315253</v>
          </cell>
          <cell r="E904">
            <v>0</v>
          </cell>
          <cell r="F904">
            <v>482315253</v>
          </cell>
          <cell r="G904">
            <v>0</v>
          </cell>
          <cell r="H904">
            <v>0</v>
          </cell>
        </row>
        <row r="905">
          <cell r="B905">
            <v>7704330203000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214400000</v>
          </cell>
        </row>
        <row r="906">
          <cell r="B906">
            <v>7704330203050</v>
          </cell>
          <cell r="D906">
            <v>293528942</v>
          </cell>
          <cell r="E906">
            <v>0</v>
          </cell>
          <cell r="F906">
            <v>293528942</v>
          </cell>
          <cell r="G906">
            <v>0</v>
          </cell>
          <cell r="H906">
            <v>175300000</v>
          </cell>
        </row>
        <row r="907">
          <cell r="B907">
            <v>7704340103050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15778700000</v>
          </cell>
        </row>
        <row r="908">
          <cell r="B908">
            <v>7704480103050</v>
          </cell>
          <cell r="D908">
            <v>7627742068</v>
          </cell>
          <cell r="E908">
            <v>0</v>
          </cell>
          <cell r="F908">
            <v>7627742068</v>
          </cell>
          <cell r="G908">
            <v>0</v>
          </cell>
          <cell r="H908">
            <v>39833300000</v>
          </cell>
        </row>
        <row r="909">
          <cell r="B909">
            <v>7704490103050</v>
          </cell>
          <cell r="D909">
            <v>107608695</v>
          </cell>
          <cell r="E909">
            <v>0</v>
          </cell>
          <cell r="F909">
            <v>107608695</v>
          </cell>
          <cell r="G909">
            <v>0</v>
          </cell>
          <cell r="H909">
            <v>107200000</v>
          </cell>
        </row>
        <row r="910">
          <cell r="B910">
            <v>7704490103090</v>
          </cell>
          <cell r="D910">
            <v>379991305</v>
          </cell>
          <cell r="E910">
            <v>0</v>
          </cell>
          <cell r="F910">
            <v>379991305</v>
          </cell>
          <cell r="G910">
            <v>0</v>
          </cell>
          <cell r="H910">
            <v>0</v>
          </cell>
        </row>
        <row r="911">
          <cell r="B911">
            <v>7704510103000</v>
          </cell>
          <cell r="D911">
            <v>704275741</v>
          </cell>
          <cell r="E911">
            <v>0</v>
          </cell>
          <cell r="F911">
            <v>704275741</v>
          </cell>
          <cell r="G911">
            <v>0</v>
          </cell>
          <cell r="H911">
            <v>428900000</v>
          </cell>
        </row>
        <row r="912">
          <cell r="B912">
            <v>7704510103010</v>
          </cell>
          <cell r="D912">
            <v>1696116954</v>
          </cell>
          <cell r="E912">
            <v>0</v>
          </cell>
          <cell r="F912">
            <v>1696116954</v>
          </cell>
          <cell r="G912">
            <v>0</v>
          </cell>
          <cell r="H912">
            <v>1072000000</v>
          </cell>
        </row>
        <row r="913">
          <cell r="B913">
            <v>7704510103011</v>
          </cell>
          <cell r="D913">
            <v>214171832</v>
          </cell>
          <cell r="E913">
            <v>0</v>
          </cell>
          <cell r="F913">
            <v>214171832</v>
          </cell>
          <cell r="G913">
            <v>0</v>
          </cell>
          <cell r="H913">
            <v>214400000</v>
          </cell>
        </row>
        <row r="914">
          <cell r="B914">
            <v>7704510103013</v>
          </cell>
          <cell r="D914">
            <v>159581902</v>
          </cell>
          <cell r="E914">
            <v>0</v>
          </cell>
          <cell r="F914">
            <v>159581902</v>
          </cell>
          <cell r="G914">
            <v>0</v>
          </cell>
          <cell r="H914">
            <v>250200000</v>
          </cell>
        </row>
        <row r="915">
          <cell r="B915">
            <v>7704510103014</v>
          </cell>
          <cell r="D915">
            <v>184056824</v>
          </cell>
          <cell r="E915">
            <v>0</v>
          </cell>
          <cell r="F915">
            <v>184056824</v>
          </cell>
          <cell r="G915">
            <v>0</v>
          </cell>
          <cell r="H915">
            <v>285800000</v>
          </cell>
        </row>
        <row r="916">
          <cell r="B916">
            <v>7704510103015</v>
          </cell>
          <cell r="D916">
            <v>797003402</v>
          </cell>
          <cell r="E916">
            <v>0</v>
          </cell>
          <cell r="F916">
            <v>797003402</v>
          </cell>
          <cell r="G916">
            <v>0</v>
          </cell>
          <cell r="H916">
            <v>321700000</v>
          </cell>
        </row>
        <row r="917">
          <cell r="B917">
            <v>7704510103050</v>
          </cell>
          <cell r="D917">
            <v>1940010744</v>
          </cell>
          <cell r="E917">
            <v>35670000</v>
          </cell>
          <cell r="F917">
            <v>1904340744</v>
          </cell>
          <cell r="G917">
            <v>0</v>
          </cell>
          <cell r="H917">
            <v>1429300000</v>
          </cell>
        </row>
        <row r="918">
          <cell r="B918">
            <v>7704520103000</v>
          </cell>
          <cell r="D918">
            <v>83704008</v>
          </cell>
          <cell r="E918">
            <v>0</v>
          </cell>
          <cell r="F918">
            <v>83704008</v>
          </cell>
          <cell r="G918">
            <v>0</v>
          </cell>
          <cell r="H918">
            <v>71500000</v>
          </cell>
        </row>
        <row r="919">
          <cell r="B919">
            <v>7704520103010</v>
          </cell>
          <cell r="D919">
            <v>127705500</v>
          </cell>
          <cell r="E919">
            <v>0</v>
          </cell>
          <cell r="F919">
            <v>127705500</v>
          </cell>
          <cell r="G919">
            <v>0</v>
          </cell>
          <cell r="H919">
            <v>71500000</v>
          </cell>
        </row>
        <row r="920">
          <cell r="B920">
            <v>7704520103011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71500000</v>
          </cell>
        </row>
        <row r="921">
          <cell r="B921">
            <v>7704520103013</v>
          </cell>
          <cell r="D921">
            <v>43959540</v>
          </cell>
          <cell r="E921">
            <v>0</v>
          </cell>
          <cell r="F921">
            <v>43959540</v>
          </cell>
          <cell r="G921">
            <v>0</v>
          </cell>
          <cell r="H921">
            <v>96600000</v>
          </cell>
        </row>
        <row r="922">
          <cell r="B922">
            <v>7704520103050</v>
          </cell>
          <cell r="D922">
            <v>238580564</v>
          </cell>
          <cell r="E922">
            <v>0</v>
          </cell>
          <cell r="F922">
            <v>238580564</v>
          </cell>
          <cell r="G922">
            <v>0</v>
          </cell>
          <cell r="H922">
            <v>285800000</v>
          </cell>
        </row>
        <row r="923">
          <cell r="B923">
            <v>7704530103050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250200000</v>
          </cell>
        </row>
        <row r="924">
          <cell r="B924">
            <v>7704540103000</v>
          </cell>
          <cell r="D924">
            <v>418493696</v>
          </cell>
          <cell r="E924">
            <v>0</v>
          </cell>
          <cell r="F924">
            <v>418493696</v>
          </cell>
          <cell r="G924">
            <v>0</v>
          </cell>
          <cell r="H924">
            <v>107200000</v>
          </cell>
        </row>
        <row r="925">
          <cell r="B925">
            <v>7704540103005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>
            <v>7704540103050</v>
          </cell>
          <cell r="D926">
            <v>972356500</v>
          </cell>
          <cell r="E926">
            <v>0</v>
          </cell>
          <cell r="F926">
            <v>972356500</v>
          </cell>
          <cell r="G926">
            <v>0</v>
          </cell>
          <cell r="H926">
            <v>929100000</v>
          </cell>
        </row>
        <row r="927">
          <cell r="B927">
            <v>7704610103000</v>
          </cell>
          <cell r="D927">
            <v>18043478</v>
          </cell>
          <cell r="E927">
            <v>0</v>
          </cell>
          <cell r="F927">
            <v>18043478</v>
          </cell>
          <cell r="G927">
            <v>0</v>
          </cell>
          <cell r="H927">
            <v>500200000</v>
          </cell>
        </row>
        <row r="928">
          <cell r="B928">
            <v>7704610103010</v>
          </cell>
          <cell r="D928">
            <v>13043478</v>
          </cell>
          <cell r="E928">
            <v>0</v>
          </cell>
          <cell r="F928">
            <v>13043478</v>
          </cell>
          <cell r="G928">
            <v>0</v>
          </cell>
          <cell r="H928">
            <v>142900000</v>
          </cell>
        </row>
        <row r="929">
          <cell r="B929">
            <v>7704610103050</v>
          </cell>
          <cell r="D929">
            <v>176086956</v>
          </cell>
          <cell r="E929">
            <v>0</v>
          </cell>
          <cell r="F929">
            <v>176086956</v>
          </cell>
          <cell r="G929">
            <v>0</v>
          </cell>
          <cell r="H929">
            <v>536000000</v>
          </cell>
        </row>
        <row r="930">
          <cell r="B930">
            <v>7704990203000</v>
          </cell>
          <cell r="D930">
            <v>20869565</v>
          </cell>
          <cell r="E930">
            <v>0</v>
          </cell>
          <cell r="F930">
            <v>20869565</v>
          </cell>
          <cell r="G930">
            <v>0</v>
          </cell>
          <cell r="H930">
            <v>71500000</v>
          </cell>
        </row>
        <row r="931">
          <cell r="B931">
            <v>7704990203010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142900000</v>
          </cell>
        </row>
        <row r="932">
          <cell r="B932">
            <v>7704990203011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142900000</v>
          </cell>
        </row>
        <row r="933">
          <cell r="B933">
            <v>7704990203013</v>
          </cell>
          <cell r="D933">
            <v>29652173</v>
          </cell>
          <cell r="E933">
            <v>0</v>
          </cell>
          <cell r="F933">
            <v>29652173</v>
          </cell>
          <cell r="G933">
            <v>0</v>
          </cell>
          <cell r="H933">
            <v>71500000</v>
          </cell>
        </row>
        <row r="934">
          <cell r="B934">
            <v>7704990203015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71500000</v>
          </cell>
        </row>
        <row r="935">
          <cell r="B935">
            <v>7704990203050</v>
          </cell>
          <cell r="D935">
            <v>470521741</v>
          </cell>
          <cell r="E935">
            <v>0</v>
          </cell>
          <cell r="F935">
            <v>470521741</v>
          </cell>
          <cell r="G935">
            <v>0</v>
          </cell>
          <cell r="H935">
            <v>285800000</v>
          </cell>
        </row>
        <row r="936">
          <cell r="B936">
            <v>7704999903000</v>
          </cell>
          <cell r="D936">
            <v>19862826</v>
          </cell>
          <cell r="E936">
            <v>0</v>
          </cell>
          <cell r="F936">
            <v>19862826</v>
          </cell>
          <cell r="G936">
            <v>0</v>
          </cell>
          <cell r="H936">
            <v>71500000</v>
          </cell>
        </row>
        <row r="937">
          <cell r="B937">
            <v>7704999903010</v>
          </cell>
          <cell r="D937">
            <v>100426969</v>
          </cell>
          <cell r="E937">
            <v>0</v>
          </cell>
          <cell r="F937">
            <v>100426969</v>
          </cell>
          <cell r="G937">
            <v>0</v>
          </cell>
          <cell r="H937">
            <v>0</v>
          </cell>
        </row>
        <row r="938">
          <cell r="B938">
            <v>7704999903050</v>
          </cell>
          <cell r="D938">
            <v>496393463</v>
          </cell>
          <cell r="E938">
            <v>0</v>
          </cell>
          <cell r="F938">
            <v>496393463</v>
          </cell>
          <cell r="G938">
            <v>0</v>
          </cell>
          <cell r="H938">
            <v>0</v>
          </cell>
        </row>
        <row r="939">
          <cell r="B939">
            <v>7705440103050</v>
          </cell>
          <cell r="D939">
            <v>36484155</v>
          </cell>
          <cell r="E939">
            <v>0</v>
          </cell>
          <cell r="F939">
            <v>36484155</v>
          </cell>
          <cell r="G939">
            <v>0</v>
          </cell>
          <cell r="H939">
            <v>0</v>
          </cell>
        </row>
        <row r="940">
          <cell r="B940">
            <v>7705460103050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57200000</v>
          </cell>
        </row>
        <row r="941">
          <cell r="B941">
            <v>7705470103000</v>
          </cell>
          <cell r="D941">
            <v>4447000</v>
          </cell>
          <cell r="E941">
            <v>0</v>
          </cell>
          <cell r="F941">
            <v>4447000</v>
          </cell>
          <cell r="G941">
            <v>0</v>
          </cell>
          <cell r="H941">
            <v>0</v>
          </cell>
        </row>
        <row r="942">
          <cell r="B942">
            <v>7705470103050</v>
          </cell>
          <cell r="D942">
            <v>3282000</v>
          </cell>
          <cell r="E942">
            <v>0</v>
          </cell>
          <cell r="F942">
            <v>3282000</v>
          </cell>
          <cell r="G942">
            <v>0</v>
          </cell>
          <cell r="H942">
            <v>0</v>
          </cell>
        </row>
        <row r="943">
          <cell r="B943">
            <v>7705520103050</v>
          </cell>
          <cell r="D943">
            <v>130950000</v>
          </cell>
          <cell r="E943">
            <v>0</v>
          </cell>
          <cell r="F943">
            <v>130950000</v>
          </cell>
          <cell r="G943">
            <v>0</v>
          </cell>
          <cell r="H943">
            <v>643100000</v>
          </cell>
        </row>
        <row r="944">
          <cell r="B944">
            <v>7706210103050</v>
          </cell>
          <cell r="D944">
            <v>48555303</v>
          </cell>
          <cell r="E944">
            <v>0</v>
          </cell>
          <cell r="F944">
            <v>48555303</v>
          </cell>
          <cell r="G944">
            <v>0</v>
          </cell>
          <cell r="H944">
            <v>0</v>
          </cell>
        </row>
        <row r="945">
          <cell r="B945">
            <v>7706220103050</v>
          </cell>
          <cell r="D945">
            <v>1688961687</v>
          </cell>
          <cell r="E945">
            <v>0</v>
          </cell>
          <cell r="F945">
            <v>1688961687</v>
          </cell>
          <cell r="G945">
            <v>0</v>
          </cell>
          <cell r="H945">
            <v>0</v>
          </cell>
        </row>
        <row r="946">
          <cell r="B946">
            <v>7706230103050</v>
          </cell>
          <cell r="D946">
            <v>3525142031</v>
          </cell>
          <cell r="E946">
            <v>0</v>
          </cell>
          <cell r="F946">
            <v>3525142031</v>
          </cell>
          <cell r="G946">
            <v>0</v>
          </cell>
          <cell r="H946">
            <v>0</v>
          </cell>
        </row>
        <row r="947">
          <cell r="B947">
            <v>7706240103050</v>
          </cell>
          <cell r="D947">
            <v>1850642970</v>
          </cell>
          <cell r="E947">
            <v>0</v>
          </cell>
          <cell r="F947">
            <v>1850642970</v>
          </cell>
          <cell r="G947">
            <v>0</v>
          </cell>
          <cell r="H947">
            <v>0</v>
          </cell>
        </row>
        <row r="948">
          <cell r="B948">
            <v>7706250103050</v>
          </cell>
          <cell r="D948">
            <v>34631062</v>
          </cell>
          <cell r="E948">
            <v>0</v>
          </cell>
          <cell r="F948">
            <v>34631062</v>
          </cell>
          <cell r="G948">
            <v>0</v>
          </cell>
          <cell r="H948">
            <v>0</v>
          </cell>
        </row>
        <row r="949">
          <cell r="B949">
            <v>7706270103050</v>
          </cell>
          <cell r="D949">
            <v>497069883</v>
          </cell>
          <cell r="E949">
            <v>0</v>
          </cell>
          <cell r="F949">
            <v>497069883</v>
          </cell>
          <cell r="G949">
            <v>0</v>
          </cell>
          <cell r="H949">
            <v>0</v>
          </cell>
        </row>
        <row r="950">
          <cell r="B950">
            <v>7706280103050</v>
          </cell>
          <cell r="D950">
            <v>3789299357</v>
          </cell>
          <cell r="E950">
            <v>0</v>
          </cell>
          <cell r="F950">
            <v>3789299357</v>
          </cell>
          <cell r="G950">
            <v>0</v>
          </cell>
          <cell r="H950">
            <v>5745000000</v>
          </cell>
        </row>
        <row r="951">
          <cell r="B951">
            <v>7706340103050</v>
          </cell>
          <cell r="D951">
            <v>538674000</v>
          </cell>
          <cell r="E951">
            <v>0</v>
          </cell>
          <cell r="F951">
            <v>538674000</v>
          </cell>
          <cell r="G951">
            <v>0</v>
          </cell>
          <cell r="H951">
            <v>0</v>
          </cell>
        </row>
        <row r="952">
          <cell r="B952">
            <v>7706360103050</v>
          </cell>
          <cell r="D952">
            <v>211870355</v>
          </cell>
          <cell r="E952">
            <v>0</v>
          </cell>
          <cell r="F952">
            <v>211870355</v>
          </cell>
          <cell r="G952">
            <v>0</v>
          </cell>
          <cell r="H952">
            <v>0</v>
          </cell>
        </row>
        <row r="953">
          <cell r="B953">
            <v>7707310103050</v>
          </cell>
          <cell r="D953">
            <v>19393619</v>
          </cell>
          <cell r="E953">
            <v>0</v>
          </cell>
          <cell r="F953">
            <v>19393619</v>
          </cell>
          <cell r="G953">
            <v>0</v>
          </cell>
          <cell r="H953">
            <v>0</v>
          </cell>
        </row>
        <row r="954">
          <cell r="B954">
            <v>771994010172</v>
          </cell>
          <cell r="D954">
            <v>0</v>
          </cell>
          <cell r="E954">
            <v>335091779240</v>
          </cell>
          <cell r="F954">
            <v>0</v>
          </cell>
          <cell r="G954">
            <v>335091779240</v>
          </cell>
          <cell r="H954">
            <v>0</v>
          </cell>
        </row>
        <row r="955">
          <cell r="B955">
            <v>7807330103050</v>
          </cell>
          <cell r="D955">
            <v>68288487646</v>
          </cell>
          <cell r="E955">
            <v>0</v>
          </cell>
          <cell r="F955">
            <v>68288487646</v>
          </cell>
          <cell r="G955">
            <v>0</v>
          </cell>
          <cell r="H955">
            <v>0</v>
          </cell>
        </row>
        <row r="956">
          <cell r="B956">
            <v>781995010172</v>
          </cell>
          <cell r="D956">
            <v>0</v>
          </cell>
          <cell r="E956">
            <v>68288487646</v>
          </cell>
          <cell r="F956">
            <v>0</v>
          </cell>
          <cell r="G956">
            <v>68288487646</v>
          </cell>
          <cell r="H956">
            <v>0</v>
          </cell>
        </row>
        <row r="957">
          <cell r="B957">
            <v>921111010172</v>
          </cell>
          <cell r="D957">
            <v>1500000</v>
          </cell>
          <cell r="E957">
            <v>0</v>
          </cell>
          <cell r="F957">
            <v>1500000</v>
          </cell>
          <cell r="G957">
            <v>0</v>
          </cell>
          <cell r="H957">
            <v>0</v>
          </cell>
        </row>
        <row r="958">
          <cell r="B958">
            <v>921121010172</v>
          </cell>
          <cell r="D958">
            <v>0</v>
          </cell>
          <cell r="E958">
            <v>1500000</v>
          </cell>
          <cell r="F958">
            <v>0</v>
          </cell>
          <cell r="G958">
            <v>1500000</v>
          </cell>
          <cell r="H958">
            <v>0</v>
          </cell>
        </row>
        <row r="959">
          <cell r="B959">
            <v>921411010172</v>
          </cell>
          <cell r="D959">
            <v>144400000</v>
          </cell>
          <cell r="E959">
            <v>0</v>
          </cell>
          <cell r="F959">
            <v>144400000</v>
          </cell>
          <cell r="G959">
            <v>0</v>
          </cell>
          <cell r="H959">
            <v>0</v>
          </cell>
        </row>
        <row r="960">
          <cell r="B960">
            <v>921421010172</v>
          </cell>
          <cell r="D960">
            <v>0</v>
          </cell>
          <cell r="E960">
            <v>144400000</v>
          </cell>
          <cell r="F960">
            <v>0</v>
          </cell>
          <cell r="G960">
            <v>144400000</v>
          </cell>
          <cell r="H960">
            <v>0</v>
          </cell>
        </row>
      </sheetData>
      <sheetData sheetId="25" refreshError="1">
        <row r="6">
          <cell r="B6">
            <v>600801010178</v>
          </cell>
          <cell r="D6">
            <v>0</v>
          </cell>
          <cell r="E6">
            <v>698748311102</v>
          </cell>
          <cell r="F6">
            <v>0</v>
          </cell>
          <cell r="G6">
            <v>698748311102</v>
          </cell>
          <cell r="H6">
            <v>0</v>
          </cell>
        </row>
        <row r="7">
          <cell r="B7">
            <v>600801011178</v>
          </cell>
          <cell r="D7">
            <v>0</v>
          </cell>
          <cell r="E7">
            <v>315634935807</v>
          </cell>
          <cell r="F7">
            <v>0</v>
          </cell>
          <cell r="G7">
            <v>315634935807</v>
          </cell>
          <cell r="H7">
            <v>0</v>
          </cell>
        </row>
        <row r="8">
          <cell r="B8">
            <v>600801020178</v>
          </cell>
          <cell r="D8">
            <v>0</v>
          </cell>
          <cell r="E8">
            <v>10273843895</v>
          </cell>
          <cell r="F8">
            <v>0</v>
          </cell>
          <cell r="G8">
            <v>10273843895</v>
          </cell>
          <cell r="H8">
            <v>0</v>
          </cell>
        </row>
        <row r="9">
          <cell r="B9">
            <v>600801030178</v>
          </cell>
          <cell r="D9">
            <v>426937600</v>
          </cell>
          <cell r="E9">
            <v>4350609600</v>
          </cell>
          <cell r="F9">
            <v>0</v>
          </cell>
          <cell r="G9">
            <v>3923672000</v>
          </cell>
          <cell r="H9">
            <v>0</v>
          </cell>
        </row>
        <row r="10">
          <cell r="B10">
            <v>600801031178</v>
          </cell>
          <cell r="D10">
            <v>0</v>
          </cell>
          <cell r="E10">
            <v>1308830000</v>
          </cell>
          <cell r="F10">
            <v>0</v>
          </cell>
          <cell r="G10">
            <v>1308830000</v>
          </cell>
          <cell r="H10">
            <v>0</v>
          </cell>
        </row>
        <row r="11">
          <cell r="B11">
            <v>600801040178</v>
          </cell>
          <cell r="D11">
            <v>0</v>
          </cell>
          <cell r="E11">
            <v>33333173119</v>
          </cell>
          <cell r="F11">
            <v>0</v>
          </cell>
          <cell r="G11">
            <v>33333173119</v>
          </cell>
          <cell r="H11">
            <v>0</v>
          </cell>
        </row>
        <row r="12">
          <cell r="B12">
            <v>600801041178</v>
          </cell>
          <cell r="D12">
            <v>0</v>
          </cell>
          <cell r="E12">
            <v>924687508</v>
          </cell>
          <cell r="F12">
            <v>0</v>
          </cell>
          <cell r="G12">
            <v>924687508</v>
          </cell>
          <cell r="H12">
            <v>0</v>
          </cell>
        </row>
        <row r="13">
          <cell r="B13">
            <v>600801050178</v>
          </cell>
          <cell r="D13">
            <v>0</v>
          </cell>
          <cell r="E13">
            <v>451076364918</v>
          </cell>
          <cell r="F13">
            <v>0</v>
          </cell>
          <cell r="G13">
            <v>451076364918</v>
          </cell>
          <cell r="H13">
            <v>0</v>
          </cell>
        </row>
        <row r="14">
          <cell r="B14">
            <v>600801051178</v>
          </cell>
          <cell r="D14">
            <v>0</v>
          </cell>
          <cell r="E14">
            <v>4390385980</v>
          </cell>
          <cell r="F14">
            <v>0</v>
          </cell>
          <cell r="G14">
            <v>4390385980</v>
          </cell>
          <cell r="H14">
            <v>0</v>
          </cell>
        </row>
        <row r="15">
          <cell r="B15">
            <v>600801060178</v>
          </cell>
          <cell r="D15">
            <v>0</v>
          </cell>
          <cell r="E15">
            <v>244000000</v>
          </cell>
          <cell r="F15">
            <v>0</v>
          </cell>
          <cell r="G15">
            <v>244000000</v>
          </cell>
          <cell r="H15">
            <v>0</v>
          </cell>
        </row>
        <row r="16">
          <cell r="B16">
            <v>600801100178</v>
          </cell>
          <cell r="D16">
            <v>0</v>
          </cell>
          <cell r="E16">
            <v>83149280305</v>
          </cell>
          <cell r="F16">
            <v>0</v>
          </cell>
          <cell r="G16">
            <v>83149280305</v>
          </cell>
          <cell r="H16">
            <v>0</v>
          </cell>
        </row>
        <row r="17">
          <cell r="B17">
            <v>600801120178</v>
          </cell>
          <cell r="D17">
            <v>0</v>
          </cell>
          <cell r="E17">
            <v>67983714640</v>
          </cell>
          <cell r="F17">
            <v>0</v>
          </cell>
          <cell r="G17">
            <v>67983714640</v>
          </cell>
          <cell r="H17">
            <v>0</v>
          </cell>
        </row>
        <row r="18">
          <cell r="B18">
            <v>600801130178</v>
          </cell>
          <cell r="D18">
            <v>0</v>
          </cell>
          <cell r="E18">
            <v>465020000</v>
          </cell>
          <cell r="F18">
            <v>0</v>
          </cell>
          <cell r="G18">
            <v>465020000</v>
          </cell>
          <cell r="H18">
            <v>0</v>
          </cell>
        </row>
        <row r="19">
          <cell r="B19">
            <v>600801131178</v>
          </cell>
          <cell r="D19">
            <v>0</v>
          </cell>
          <cell r="E19">
            <v>10395427385</v>
          </cell>
          <cell r="F19">
            <v>0</v>
          </cell>
          <cell r="G19">
            <v>10395427385</v>
          </cell>
          <cell r="H19">
            <v>0</v>
          </cell>
        </row>
        <row r="20">
          <cell r="B20">
            <v>600801140178</v>
          </cell>
          <cell r="D20">
            <v>0</v>
          </cell>
          <cell r="E20">
            <v>34498853294</v>
          </cell>
          <cell r="F20">
            <v>0</v>
          </cell>
          <cell r="G20">
            <v>34498853294</v>
          </cell>
          <cell r="H20">
            <v>0</v>
          </cell>
        </row>
        <row r="21">
          <cell r="B21">
            <v>600801190178</v>
          </cell>
          <cell r="D21">
            <v>0</v>
          </cell>
          <cell r="E21">
            <v>37965775270</v>
          </cell>
          <cell r="F21">
            <v>0</v>
          </cell>
          <cell r="G21">
            <v>37965775270</v>
          </cell>
          <cell r="H21">
            <v>0</v>
          </cell>
        </row>
        <row r="22">
          <cell r="B22">
            <v>600808010178</v>
          </cell>
          <cell r="D22">
            <v>0</v>
          </cell>
          <cell r="E22">
            <v>12089017000</v>
          </cell>
          <cell r="F22">
            <v>0</v>
          </cell>
          <cell r="G22">
            <v>12089017000</v>
          </cell>
          <cell r="H22">
            <v>0</v>
          </cell>
        </row>
        <row r="23">
          <cell r="B23">
            <v>601801010178</v>
          </cell>
          <cell r="D23">
            <v>0</v>
          </cell>
          <cell r="E23">
            <v>155656848349</v>
          </cell>
          <cell r="F23">
            <v>0</v>
          </cell>
          <cell r="G23">
            <v>155656848349</v>
          </cell>
          <cell r="H23">
            <v>0</v>
          </cell>
        </row>
        <row r="24">
          <cell r="B24">
            <v>601801100178</v>
          </cell>
          <cell r="D24">
            <v>0</v>
          </cell>
          <cell r="E24">
            <v>3635913523</v>
          </cell>
          <cell r="F24">
            <v>0</v>
          </cell>
          <cell r="G24">
            <v>3635913523</v>
          </cell>
          <cell r="H24">
            <v>0</v>
          </cell>
        </row>
        <row r="25">
          <cell r="B25">
            <v>601801140178</v>
          </cell>
          <cell r="D25">
            <v>0</v>
          </cell>
          <cell r="E25">
            <v>897913417</v>
          </cell>
          <cell r="F25">
            <v>0</v>
          </cell>
          <cell r="G25">
            <v>897913417</v>
          </cell>
          <cell r="H25">
            <v>0</v>
          </cell>
        </row>
        <row r="26">
          <cell r="B26">
            <v>610816010178</v>
          </cell>
          <cell r="D26">
            <v>2229125515</v>
          </cell>
          <cell r="E26">
            <v>0</v>
          </cell>
          <cell r="F26">
            <v>2229125515</v>
          </cell>
          <cell r="G26">
            <v>0</v>
          </cell>
          <cell r="H26">
            <v>0</v>
          </cell>
        </row>
        <row r="27">
          <cell r="B27">
            <v>610816020178</v>
          </cell>
          <cell r="D27">
            <v>62717100</v>
          </cell>
          <cell r="E27">
            <v>0</v>
          </cell>
          <cell r="F27">
            <v>62717100</v>
          </cell>
          <cell r="G27">
            <v>0</v>
          </cell>
          <cell r="H27">
            <v>0</v>
          </cell>
        </row>
        <row r="28">
          <cell r="B28">
            <v>610816040178</v>
          </cell>
          <cell r="D28">
            <v>464930047</v>
          </cell>
          <cell r="E28">
            <v>0</v>
          </cell>
          <cell r="F28">
            <v>464930047</v>
          </cell>
          <cell r="G28">
            <v>0</v>
          </cell>
          <cell r="H28">
            <v>0</v>
          </cell>
        </row>
        <row r="29">
          <cell r="B29">
            <v>610816050178</v>
          </cell>
          <cell r="D29">
            <v>2371627760</v>
          </cell>
          <cell r="E29">
            <v>0</v>
          </cell>
          <cell r="F29">
            <v>2371627760</v>
          </cell>
          <cell r="G29">
            <v>0</v>
          </cell>
          <cell r="H29">
            <v>0</v>
          </cell>
        </row>
        <row r="30">
          <cell r="B30">
            <v>610816100178</v>
          </cell>
          <cell r="D30">
            <v>232320000</v>
          </cell>
          <cell r="E30">
            <v>0</v>
          </cell>
          <cell r="F30">
            <v>232320000</v>
          </cell>
          <cell r="G30">
            <v>0</v>
          </cell>
          <cell r="H30">
            <v>0</v>
          </cell>
        </row>
        <row r="31">
          <cell r="B31">
            <v>611816010178</v>
          </cell>
          <cell r="D31">
            <v>488539917</v>
          </cell>
          <cell r="E31">
            <v>0</v>
          </cell>
          <cell r="F31">
            <v>488539917</v>
          </cell>
          <cell r="G31">
            <v>0</v>
          </cell>
          <cell r="H31">
            <v>0</v>
          </cell>
        </row>
        <row r="32">
          <cell r="B32">
            <v>611816031178</v>
          </cell>
          <cell r="D32">
            <v>10727000</v>
          </cell>
          <cell r="E32">
            <v>0</v>
          </cell>
          <cell r="F32">
            <v>10727000</v>
          </cell>
          <cell r="G32">
            <v>0</v>
          </cell>
          <cell r="H32">
            <v>0</v>
          </cell>
        </row>
        <row r="33">
          <cell r="B33">
            <v>611816050178</v>
          </cell>
          <cell r="D33">
            <v>565698500</v>
          </cell>
          <cell r="E33">
            <v>0</v>
          </cell>
          <cell r="F33">
            <v>565698500</v>
          </cell>
          <cell r="G33">
            <v>0</v>
          </cell>
          <cell r="H33">
            <v>0</v>
          </cell>
        </row>
        <row r="34">
          <cell r="B34">
            <v>620852010178</v>
          </cell>
          <cell r="D34">
            <v>1501140473872</v>
          </cell>
          <cell r="E34">
            <v>7891562360</v>
          </cell>
          <cell r="F34">
            <v>1493248911512</v>
          </cell>
          <cell r="G34">
            <v>0</v>
          </cell>
          <cell r="H34">
            <v>0</v>
          </cell>
        </row>
        <row r="35">
          <cell r="B35">
            <v>620852040178</v>
          </cell>
          <cell r="D35">
            <v>8445063059</v>
          </cell>
          <cell r="E35">
            <v>0</v>
          </cell>
          <cell r="F35">
            <v>8445063059</v>
          </cell>
          <cell r="G35">
            <v>0</v>
          </cell>
          <cell r="H35">
            <v>0</v>
          </cell>
        </row>
        <row r="36">
          <cell r="B36">
            <v>621859010178</v>
          </cell>
          <cell r="D36">
            <v>11239277162</v>
          </cell>
          <cell r="E36">
            <v>0</v>
          </cell>
          <cell r="F36">
            <v>11239277162</v>
          </cell>
          <cell r="G36">
            <v>0</v>
          </cell>
          <cell r="H36">
            <v>0</v>
          </cell>
        </row>
        <row r="37">
          <cell r="B37">
            <v>631993010178</v>
          </cell>
          <cell r="D37">
            <v>96513370868</v>
          </cell>
          <cell r="E37">
            <v>0</v>
          </cell>
          <cell r="F37">
            <v>96513370868</v>
          </cell>
          <cell r="G37">
            <v>0</v>
          </cell>
          <cell r="H37">
            <v>0</v>
          </cell>
        </row>
        <row r="38">
          <cell r="B38">
            <v>6324780104120</v>
          </cell>
          <cell r="D38">
            <v>15350291618</v>
          </cell>
          <cell r="E38">
            <v>0</v>
          </cell>
          <cell r="F38">
            <v>15350291618</v>
          </cell>
          <cell r="G38">
            <v>0</v>
          </cell>
          <cell r="H38">
            <v>9159546228</v>
          </cell>
        </row>
        <row r="39">
          <cell r="B39">
            <v>6324780104131</v>
          </cell>
          <cell r="D39">
            <v>1947535500</v>
          </cell>
          <cell r="E39">
            <v>0</v>
          </cell>
          <cell r="F39">
            <v>1947535500</v>
          </cell>
          <cell r="G39">
            <v>0</v>
          </cell>
          <cell r="H39">
            <v>2921303250</v>
          </cell>
        </row>
        <row r="40">
          <cell r="B40">
            <v>6324780104133</v>
          </cell>
          <cell r="D40">
            <v>1973158676</v>
          </cell>
          <cell r="E40">
            <v>0</v>
          </cell>
          <cell r="F40">
            <v>1973158676</v>
          </cell>
          <cell r="G40">
            <v>0</v>
          </cell>
          <cell r="H40">
            <v>2959738014</v>
          </cell>
        </row>
        <row r="41">
          <cell r="B41">
            <v>6324780104134</v>
          </cell>
          <cell r="D41">
            <v>1258838016</v>
          </cell>
          <cell r="E41">
            <v>0</v>
          </cell>
          <cell r="F41">
            <v>1258838016</v>
          </cell>
          <cell r="G41">
            <v>0</v>
          </cell>
          <cell r="H41">
            <v>1888257024</v>
          </cell>
        </row>
        <row r="42">
          <cell r="B42">
            <v>6324780104135</v>
          </cell>
          <cell r="D42">
            <v>1920489272</v>
          </cell>
          <cell r="E42">
            <v>0</v>
          </cell>
          <cell r="F42">
            <v>1920489272</v>
          </cell>
          <cell r="G42">
            <v>0</v>
          </cell>
          <cell r="H42">
            <v>2880733908</v>
          </cell>
        </row>
        <row r="43">
          <cell r="B43">
            <v>6324780104230</v>
          </cell>
          <cell r="D43">
            <v>687369860</v>
          </cell>
          <cell r="E43">
            <v>0</v>
          </cell>
          <cell r="F43">
            <v>687369860</v>
          </cell>
          <cell r="G43">
            <v>0</v>
          </cell>
          <cell r="H43">
            <v>1031054790</v>
          </cell>
        </row>
        <row r="44">
          <cell r="B44">
            <v>6324780104250</v>
          </cell>
          <cell r="D44">
            <v>584213356</v>
          </cell>
          <cell r="E44">
            <v>0</v>
          </cell>
          <cell r="F44">
            <v>584213356</v>
          </cell>
          <cell r="G44">
            <v>0</v>
          </cell>
          <cell r="H44">
            <v>876320034</v>
          </cell>
        </row>
        <row r="45">
          <cell r="B45">
            <v>6324780104260</v>
          </cell>
          <cell r="D45">
            <v>1280743832</v>
          </cell>
          <cell r="E45">
            <v>0</v>
          </cell>
          <cell r="F45">
            <v>1280743832</v>
          </cell>
          <cell r="G45">
            <v>0</v>
          </cell>
          <cell r="H45">
            <v>1921115748</v>
          </cell>
        </row>
        <row r="46">
          <cell r="B46">
            <v>6324780104270</v>
          </cell>
          <cell r="D46">
            <v>473091096</v>
          </cell>
          <cell r="E46">
            <v>0</v>
          </cell>
          <cell r="F46">
            <v>473091096</v>
          </cell>
          <cell r="G46">
            <v>0</v>
          </cell>
          <cell r="H46">
            <v>709636644</v>
          </cell>
        </row>
        <row r="47">
          <cell r="B47">
            <v>6324780104280</v>
          </cell>
          <cell r="D47">
            <v>656568948</v>
          </cell>
          <cell r="E47">
            <v>0</v>
          </cell>
          <cell r="F47">
            <v>656568948</v>
          </cell>
          <cell r="G47">
            <v>0</v>
          </cell>
          <cell r="H47">
            <v>984853422</v>
          </cell>
        </row>
        <row r="48">
          <cell r="B48">
            <v>6324780104290</v>
          </cell>
          <cell r="D48">
            <v>3268427512</v>
          </cell>
          <cell r="E48">
            <v>0</v>
          </cell>
          <cell r="F48">
            <v>3268427512</v>
          </cell>
          <cell r="G48">
            <v>0</v>
          </cell>
          <cell r="H48">
            <v>4902641268</v>
          </cell>
        </row>
        <row r="49">
          <cell r="B49">
            <v>6324780204000</v>
          </cell>
          <cell r="D49">
            <v>551458332</v>
          </cell>
          <cell r="E49">
            <v>0</v>
          </cell>
          <cell r="F49">
            <v>551458332</v>
          </cell>
          <cell r="G49">
            <v>0</v>
          </cell>
          <cell r="H49">
            <v>827187498</v>
          </cell>
        </row>
        <row r="50">
          <cell r="B50">
            <v>6324780204010</v>
          </cell>
          <cell r="D50">
            <v>1509427056</v>
          </cell>
          <cell r="E50">
            <v>0</v>
          </cell>
          <cell r="F50">
            <v>1509427056</v>
          </cell>
          <cell r="G50">
            <v>0</v>
          </cell>
          <cell r="H50">
            <v>2264140584</v>
          </cell>
        </row>
        <row r="51">
          <cell r="B51">
            <v>6324780204011</v>
          </cell>
          <cell r="D51">
            <v>2053554680</v>
          </cell>
          <cell r="E51">
            <v>0</v>
          </cell>
          <cell r="F51">
            <v>2053554680</v>
          </cell>
          <cell r="G51">
            <v>0</v>
          </cell>
          <cell r="H51">
            <v>3080332020</v>
          </cell>
        </row>
        <row r="52">
          <cell r="B52">
            <v>6324780204013</v>
          </cell>
          <cell r="D52">
            <v>1296351712</v>
          </cell>
          <cell r="E52">
            <v>0</v>
          </cell>
          <cell r="F52">
            <v>1296351712</v>
          </cell>
          <cell r="G52">
            <v>0</v>
          </cell>
          <cell r="H52">
            <v>1944527568</v>
          </cell>
        </row>
        <row r="53">
          <cell r="B53">
            <v>6324780204014</v>
          </cell>
          <cell r="D53">
            <v>1621980936</v>
          </cell>
          <cell r="E53">
            <v>0</v>
          </cell>
          <cell r="F53">
            <v>1621980936</v>
          </cell>
          <cell r="G53">
            <v>0</v>
          </cell>
          <cell r="H53">
            <v>2432971404</v>
          </cell>
        </row>
        <row r="54">
          <cell r="B54">
            <v>6324780204015</v>
          </cell>
          <cell r="D54">
            <v>1245062844</v>
          </cell>
          <cell r="E54">
            <v>0</v>
          </cell>
          <cell r="F54">
            <v>1245062844</v>
          </cell>
          <cell r="G54">
            <v>0</v>
          </cell>
          <cell r="H54">
            <v>2490125688</v>
          </cell>
        </row>
        <row r="55">
          <cell r="B55">
            <v>6324780204020</v>
          </cell>
          <cell r="D55">
            <v>3622335160</v>
          </cell>
          <cell r="E55">
            <v>0</v>
          </cell>
          <cell r="F55">
            <v>3622335160</v>
          </cell>
          <cell r="G55">
            <v>0</v>
          </cell>
          <cell r="H55">
            <v>5433502740</v>
          </cell>
        </row>
        <row r="56">
          <cell r="B56">
            <v>6324780204021</v>
          </cell>
          <cell r="D56">
            <v>510524944</v>
          </cell>
          <cell r="E56">
            <v>0</v>
          </cell>
          <cell r="F56">
            <v>510524944</v>
          </cell>
          <cell r="G56">
            <v>0</v>
          </cell>
          <cell r="H56">
            <v>286511988</v>
          </cell>
        </row>
        <row r="57">
          <cell r="B57">
            <v>6324780204032</v>
          </cell>
          <cell r="D57">
            <v>552520436</v>
          </cell>
          <cell r="E57">
            <v>0</v>
          </cell>
          <cell r="F57">
            <v>552520436</v>
          </cell>
          <cell r="G57">
            <v>0</v>
          </cell>
          <cell r="H57">
            <v>828780654</v>
          </cell>
        </row>
        <row r="58">
          <cell r="B58">
            <v>6324780204050</v>
          </cell>
          <cell r="D58">
            <v>9865178894</v>
          </cell>
          <cell r="E58">
            <v>0</v>
          </cell>
          <cell r="F58">
            <v>9865178894</v>
          </cell>
          <cell r="G58">
            <v>0</v>
          </cell>
          <cell r="H58">
            <v>3140871750</v>
          </cell>
        </row>
        <row r="59">
          <cell r="B59">
            <v>632994010178</v>
          </cell>
          <cell r="D59">
            <v>188571998279</v>
          </cell>
          <cell r="E59">
            <v>0</v>
          </cell>
          <cell r="F59">
            <v>188571998279</v>
          </cell>
          <cell r="G59">
            <v>0</v>
          </cell>
          <cell r="H59">
            <v>0</v>
          </cell>
        </row>
        <row r="60">
          <cell r="B60">
            <v>642915010178</v>
          </cell>
          <cell r="D60">
            <v>2135075258</v>
          </cell>
          <cell r="E60">
            <v>41094000650</v>
          </cell>
          <cell r="F60">
            <v>0</v>
          </cell>
          <cell r="G60">
            <v>38958925392</v>
          </cell>
          <cell r="H60">
            <v>0</v>
          </cell>
        </row>
        <row r="61">
          <cell r="B61">
            <v>6449470104050</v>
          </cell>
          <cell r="D61">
            <v>0</v>
          </cell>
          <cell r="E61">
            <v>21296147831</v>
          </cell>
          <cell r="F61">
            <v>0</v>
          </cell>
          <cell r="G61">
            <v>21296147831</v>
          </cell>
          <cell r="H61">
            <v>0</v>
          </cell>
        </row>
        <row r="62">
          <cell r="B62">
            <v>644947020</v>
          </cell>
          <cell r="D62">
            <v>0</v>
          </cell>
          <cell r="E62">
            <v>408808791</v>
          </cell>
          <cell r="F62">
            <v>0</v>
          </cell>
          <cell r="G62">
            <v>408808791</v>
          </cell>
          <cell r="H62">
            <v>0</v>
          </cell>
        </row>
        <row r="63">
          <cell r="B63">
            <v>6449470204050</v>
          </cell>
          <cell r="D63">
            <v>0</v>
          </cell>
          <cell r="E63">
            <v>3473563751</v>
          </cell>
          <cell r="F63">
            <v>0</v>
          </cell>
          <cell r="G63">
            <v>3473563751</v>
          </cell>
          <cell r="H63">
            <v>0</v>
          </cell>
        </row>
        <row r="64">
          <cell r="B64">
            <v>646935010</v>
          </cell>
          <cell r="D64">
            <v>0</v>
          </cell>
          <cell r="E64">
            <v>32001614</v>
          </cell>
          <cell r="F64">
            <v>0</v>
          </cell>
          <cell r="G64">
            <v>32001614</v>
          </cell>
          <cell r="H64">
            <v>0</v>
          </cell>
        </row>
        <row r="65">
          <cell r="B65">
            <v>647916010</v>
          </cell>
          <cell r="D65">
            <v>0</v>
          </cell>
          <cell r="E65">
            <v>21236189901</v>
          </cell>
          <cell r="F65">
            <v>0</v>
          </cell>
          <cell r="G65">
            <v>21236189901</v>
          </cell>
          <cell r="H65">
            <v>0</v>
          </cell>
        </row>
        <row r="66">
          <cell r="B66">
            <v>647916020</v>
          </cell>
          <cell r="D66">
            <v>0</v>
          </cell>
          <cell r="E66">
            <v>14746315698</v>
          </cell>
          <cell r="F66">
            <v>0</v>
          </cell>
          <cell r="G66">
            <v>14746315698</v>
          </cell>
          <cell r="H66">
            <v>0</v>
          </cell>
        </row>
        <row r="67">
          <cell r="B67">
            <v>649889010178</v>
          </cell>
          <cell r="D67">
            <v>2265790000</v>
          </cell>
          <cell r="E67">
            <v>2265790000</v>
          </cell>
          <cell r="F67">
            <v>0</v>
          </cell>
          <cell r="G67">
            <v>0</v>
          </cell>
          <cell r="H67">
            <v>0</v>
          </cell>
        </row>
        <row r="68">
          <cell r="B68">
            <v>649889030178</v>
          </cell>
          <cell r="D68">
            <v>0</v>
          </cell>
          <cell r="E68">
            <v>881520000</v>
          </cell>
          <cell r="F68">
            <v>0</v>
          </cell>
          <cell r="G68">
            <v>881520000</v>
          </cell>
          <cell r="H68">
            <v>0</v>
          </cell>
        </row>
        <row r="69">
          <cell r="B69">
            <v>6544960104050</v>
          </cell>
          <cell r="D69">
            <v>4688679150</v>
          </cell>
          <cell r="E69">
            <v>0</v>
          </cell>
          <cell r="F69">
            <v>4688679150</v>
          </cell>
          <cell r="G69">
            <v>0</v>
          </cell>
          <cell r="H69">
            <v>0</v>
          </cell>
        </row>
        <row r="70">
          <cell r="B70">
            <v>657736010</v>
          </cell>
          <cell r="D70">
            <v>12629728517</v>
          </cell>
          <cell r="E70">
            <v>0</v>
          </cell>
          <cell r="F70">
            <v>12629728517</v>
          </cell>
          <cell r="G70">
            <v>0</v>
          </cell>
          <cell r="H70">
            <v>0</v>
          </cell>
        </row>
        <row r="71">
          <cell r="B71">
            <v>657736020</v>
          </cell>
          <cell r="D71">
            <v>22166276881</v>
          </cell>
          <cell r="E71">
            <v>0</v>
          </cell>
          <cell r="F71">
            <v>22166276881</v>
          </cell>
          <cell r="G71">
            <v>0</v>
          </cell>
          <cell r="H71">
            <v>0</v>
          </cell>
        </row>
        <row r="72">
          <cell r="B72">
            <v>6594770104050</v>
          </cell>
          <cell r="D72">
            <v>86308000</v>
          </cell>
          <cell r="E72">
            <v>0</v>
          </cell>
          <cell r="F72">
            <v>86308000</v>
          </cell>
          <cell r="G72">
            <v>0</v>
          </cell>
          <cell r="H72">
            <v>0</v>
          </cell>
        </row>
        <row r="73">
          <cell r="B73">
            <v>6595410104050</v>
          </cell>
          <cell r="D73">
            <v>733555500</v>
          </cell>
          <cell r="E73">
            <v>0</v>
          </cell>
          <cell r="F73">
            <v>733555500</v>
          </cell>
          <cell r="G73">
            <v>0</v>
          </cell>
          <cell r="H73">
            <v>1393600000</v>
          </cell>
        </row>
        <row r="74">
          <cell r="B74">
            <v>6595430104050</v>
          </cell>
          <cell r="D74">
            <v>23375000</v>
          </cell>
          <cell r="E74">
            <v>0</v>
          </cell>
          <cell r="F74">
            <v>23375000</v>
          </cell>
          <cell r="G74">
            <v>0</v>
          </cell>
          <cell r="H74">
            <v>71500000</v>
          </cell>
        </row>
        <row r="75">
          <cell r="B75">
            <v>6595560104050</v>
          </cell>
          <cell r="D75">
            <v>336684000</v>
          </cell>
          <cell r="E75">
            <v>0</v>
          </cell>
          <cell r="F75">
            <v>336684000</v>
          </cell>
          <cell r="G75">
            <v>0</v>
          </cell>
          <cell r="H75">
            <v>0</v>
          </cell>
        </row>
        <row r="76">
          <cell r="B76">
            <v>659735010178</v>
          </cell>
          <cell r="D76">
            <v>48032300750</v>
          </cell>
          <cell r="E76">
            <v>0</v>
          </cell>
          <cell r="F76">
            <v>48032300750</v>
          </cell>
          <cell r="G76">
            <v>0</v>
          </cell>
          <cell r="H76">
            <v>0</v>
          </cell>
        </row>
        <row r="77">
          <cell r="B77">
            <v>659899010178</v>
          </cell>
          <cell r="D77">
            <v>2397610592</v>
          </cell>
          <cell r="E77">
            <v>2397610592</v>
          </cell>
          <cell r="F77">
            <v>0</v>
          </cell>
          <cell r="G77">
            <v>0</v>
          </cell>
          <cell r="H77">
            <v>0</v>
          </cell>
        </row>
        <row r="78">
          <cell r="B78">
            <v>661995010178</v>
          </cell>
          <cell r="D78">
            <v>24370160329</v>
          </cell>
          <cell r="E78">
            <v>0</v>
          </cell>
          <cell r="F78">
            <v>24370160329</v>
          </cell>
          <cell r="G78">
            <v>0</v>
          </cell>
          <cell r="H78">
            <v>0</v>
          </cell>
        </row>
        <row r="79">
          <cell r="B79">
            <v>6799490204050</v>
          </cell>
          <cell r="D79">
            <v>0</v>
          </cell>
          <cell r="E79">
            <v>11220000</v>
          </cell>
          <cell r="F79">
            <v>0</v>
          </cell>
          <cell r="G79">
            <v>11220000</v>
          </cell>
          <cell r="H79">
            <v>0</v>
          </cell>
        </row>
        <row r="80">
          <cell r="B80">
            <v>6894760104000</v>
          </cell>
          <cell r="D80">
            <v>74500000</v>
          </cell>
          <cell r="E80">
            <v>0</v>
          </cell>
          <cell r="F80">
            <v>74500000</v>
          </cell>
          <cell r="G80">
            <v>0</v>
          </cell>
          <cell r="H80">
            <v>89300000</v>
          </cell>
        </row>
        <row r="81">
          <cell r="B81">
            <v>6894870104050</v>
          </cell>
          <cell r="D81">
            <v>11325680092</v>
          </cell>
          <cell r="E81">
            <v>0</v>
          </cell>
          <cell r="F81">
            <v>11325680092</v>
          </cell>
          <cell r="G81">
            <v>0</v>
          </cell>
          <cell r="H81">
            <v>0</v>
          </cell>
        </row>
        <row r="82">
          <cell r="B82">
            <v>7100010104120</v>
          </cell>
          <cell r="D82">
            <v>11960513796</v>
          </cell>
          <cell r="E82">
            <v>0</v>
          </cell>
          <cell r="F82">
            <v>11960513796</v>
          </cell>
          <cell r="G82">
            <v>0</v>
          </cell>
          <cell r="H82">
            <v>0</v>
          </cell>
        </row>
        <row r="83">
          <cell r="B83">
            <v>7100010104220</v>
          </cell>
          <cell r="D83">
            <v>4527932180</v>
          </cell>
          <cell r="E83">
            <v>0</v>
          </cell>
          <cell r="F83">
            <v>4527932180</v>
          </cell>
          <cell r="G83">
            <v>0</v>
          </cell>
          <cell r="H83">
            <v>0</v>
          </cell>
        </row>
        <row r="84">
          <cell r="B84">
            <v>7100010204120</v>
          </cell>
          <cell r="D84">
            <v>54585506521</v>
          </cell>
          <cell r="E84">
            <v>0</v>
          </cell>
          <cell r="F84">
            <v>54585506521</v>
          </cell>
          <cell r="G84">
            <v>0</v>
          </cell>
          <cell r="H84">
            <v>0</v>
          </cell>
        </row>
        <row r="85">
          <cell r="B85">
            <v>7100010304120</v>
          </cell>
          <cell r="D85">
            <v>90512325692</v>
          </cell>
          <cell r="E85">
            <v>0</v>
          </cell>
          <cell r="F85">
            <v>90512325692</v>
          </cell>
          <cell r="G85">
            <v>0</v>
          </cell>
          <cell r="H85">
            <v>0</v>
          </cell>
        </row>
        <row r="86">
          <cell r="B86">
            <v>7100010404120</v>
          </cell>
          <cell r="D86">
            <v>1780607177</v>
          </cell>
          <cell r="E86">
            <v>0</v>
          </cell>
          <cell r="F86">
            <v>1780607177</v>
          </cell>
          <cell r="G86">
            <v>0</v>
          </cell>
          <cell r="H86">
            <v>0</v>
          </cell>
        </row>
        <row r="87">
          <cell r="B87">
            <v>7100010404220</v>
          </cell>
          <cell r="D87">
            <v>38141680959</v>
          </cell>
          <cell r="E87">
            <v>0</v>
          </cell>
          <cell r="F87">
            <v>38141680959</v>
          </cell>
          <cell r="G87">
            <v>0</v>
          </cell>
          <cell r="H87">
            <v>0</v>
          </cell>
        </row>
        <row r="88">
          <cell r="B88">
            <v>7100010504120</v>
          </cell>
          <cell r="D88">
            <v>180774736374</v>
          </cell>
          <cell r="E88">
            <v>0</v>
          </cell>
          <cell r="F88">
            <v>180774736374</v>
          </cell>
          <cell r="G88">
            <v>0</v>
          </cell>
          <cell r="H88">
            <v>0</v>
          </cell>
        </row>
        <row r="89">
          <cell r="B89">
            <v>7100011604220</v>
          </cell>
          <cell r="D89">
            <v>8140354359</v>
          </cell>
          <cell r="E89">
            <v>0</v>
          </cell>
          <cell r="F89">
            <v>8140354359</v>
          </cell>
          <cell r="G89">
            <v>0</v>
          </cell>
          <cell r="H89">
            <v>0</v>
          </cell>
        </row>
        <row r="90">
          <cell r="B90">
            <v>7100011704220</v>
          </cell>
          <cell r="D90">
            <v>1248752206</v>
          </cell>
          <cell r="E90">
            <v>0</v>
          </cell>
          <cell r="F90">
            <v>1248752206</v>
          </cell>
          <cell r="G90">
            <v>0</v>
          </cell>
          <cell r="H90">
            <v>0</v>
          </cell>
        </row>
        <row r="91">
          <cell r="B91">
            <v>7100011804120</v>
          </cell>
          <cell r="D91">
            <v>7390714707</v>
          </cell>
          <cell r="E91">
            <v>0</v>
          </cell>
          <cell r="F91">
            <v>7390714707</v>
          </cell>
          <cell r="G91">
            <v>0</v>
          </cell>
          <cell r="H91">
            <v>0</v>
          </cell>
        </row>
        <row r="92">
          <cell r="B92">
            <v>7100011804220</v>
          </cell>
          <cell r="D92">
            <v>24539986381</v>
          </cell>
          <cell r="E92">
            <v>0</v>
          </cell>
          <cell r="F92">
            <v>24539986381</v>
          </cell>
          <cell r="G92">
            <v>0</v>
          </cell>
          <cell r="H92">
            <v>0</v>
          </cell>
        </row>
        <row r="93">
          <cell r="B93">
            <v>7100012004220</v>
          </cell>
          <cell r="D93">
            <v>57725968077</v>
          </cell>
          <cell r="E93">
            <v>0</v>
          </cell>
          <cell r="F93">
            <v>57725968077</v>
          </cell>
          <cell r="G93">
            <v>0</v>
          </cell>
          <cell r="H93">
            <v>0</v>
          </cell>
        </row>
        <row r="94">
          <cell r="B94">
            <v>7100012904120</v>
          </cell>
          <cell r="D94">
            <v>14498405673</v>
          </cell>
          <cell r="E94">
            <v>0</v>
          </cell>
          <cell r="F94">
            <v>14498405673</v>
          </cell>
          <cell r="G94">
            <v>0</v>
          </cell>
          <cell r="H94">
            <v>0</v>
          </cell>
        </row>
        <row r="95">
          <cell r="B95">
            <v>7100013004120</v>
          </cell>
          <cell r="D95">
            <v>1799819768</v>
          </cell>
          <cell r="E95">
            <v>0</v>
          </cell>
          <cell r="F95">
            <v>1799819768</v>
          </cell>
          <cell r="G95">
            <v>0</v>
          </cell>
          <cell r="H95">
            <v>0</v>
          </cell>
        </row>
        <row r="96">
          <cell r="B96">
            <v>7100013104220</v>
          </cell>
          <cell r="D96">
            <v>29255273609</v>
          </cell>
          <cell r="E96">
            <v>0</v>
          </cell>
          <cell r="F96">
            <v>29255273609</v>
          </cell>
          <cell r="G96">
            <v>0</v>
          </cell>
          <cell r="H96">
            <v>0</v>
          </cell>
        </row>
        <row r="97">
          <cell r="B97">
            <v>7100013404220</v>
          </cell>
          <cell r="D97">
            <v>4953712891</v>
          </cell>
          <cell r="E97">
            <v>0</v>
          </cell>
          <cell r="F97">
            <v>4953712891</v>
          </cell>
          <cell r="G97">
            <v>0</v>
          </cell>
          <cell r="H97">
            <v>0</v>
          </cell>
        </row>
        <row r="98">
          <cell r="B98">
            <v>7100013604120</v>
          </cell>
          <cell r="D98">
            <v>1846100000</v>
          </cell>
          <cell r="E98">
            <v>0</v>
          </cell>
          <cell r="F98">
            <v>1846100000</v>
          </cell>
          <cell r="G98">
            <v>0</v>
          </cell>
          <cell r="H98">
            <v>0</v>
          </cell>
        </row>
        <row r="99">
          <cell r="B99">
            <v>7100014004120</v>
          </cell>
          <cell r="D99">
            <v>31849207146</v>
          </cell>
          <cell r="E99">
            <v>0</v>
          </cell>
          <cell r="F99">
            <v>31849207146</v>
          </cell>
          <cell r="G99">
            <v>0</v>
          </cell>
          <cell r="H99">
            <v>0</v>
          </cell>
        </row>
        <row r="100">
          <cell r="B100">
            <v>7100014204120</v>
          </cell>
          <cell r="D100">
            <v>23276539086</v>
          </cell>
          <cell r="E100">
            <v>0</v>
          </cell>
          <cell r="F100">
            <v>23276539086</v>
          </cell>
          <cell r="G100">
            <v>0</v>
          </cell>
          <cell r="H100">
            <v>0</v>
          </cell>
        </row>
        <row r="101">
          <cell r="B101">
            <v>7100014604220</v>
          </cell>
          <cell r="D101">
            <v>47626259868</v>
          </cell>
          <cell r="E101">
            <v>0</v>
          </cell>
          <cell r="F101">
            <v>47626259868</v>
          </cell>
          <cell r="G101">
            <v>0</v>
          </cell>
          <cell r="H101">
            <v>0</v>
          </cell>
        </row>
        <row r="102">
          <cell r="B102">
            <v>7100014704120</v>
          </cell>
          <cell r="D102">
            <v>13740052360</v>
          </cell>
          <cell r="E102">
            <v>0</v>
          </cell>
          <cell r="F102">
            <v>13740052360</v>
          </cell>
          <cell r="G102">
            <v>0</v>
          </cell>
          <cell r="H102">
            <v>0</v>
          </cell>
        </row>
        <row r="103">
          <cell r="B103">
            <v>7100014704220</v>
          </cell>
          <cell r="D103">
            <v>33521146992</v>
          </cell>
          <cell r="E103">
            <v>0</v>
          </cell>
          <cell r="F103">
            <v>33521146992</v>
          </cell>
          <cell r="G103">
            <v>0</v>
          </cell>
          <cell r="H103">
            <v>0</v>
          </cell>
        </row>
        <row r="104">
          <cell r="B104">
            <v>7100014904120</v>
          </cell>
          <cell r="D104">
            <v>6290284794</v>
          </cell>
          <cell r="E104">
            <v>0</v>
          </cell>
          <cell r="F104">
            <v>6290284794</v>
          </cell>
          <cell r="G104">
            <v>0</v>
          </cell>
          <cell r="H104">
            <v>0</v>
          </cell>
        </row>
        <row r="105">
          <cell r="B105">
            <v>7100014904220</v>
          </cell>
          <cell r="D105">
            <v>88832925668</v>
          </cell>
          <cell r="E105">
            <v>0</v>
          </cell>
          <cell r="F105">
            <v>88832925668</v>
          </cell>
          <cell r="G105">
            <v>0</v>
          </cell>
          <cell r="H105">
            <v>0</v>
          </cell>
        </row>
        <row r="106">
          <cell r="B106">
            <v>7100015104220</v>
          </cell>
          <cell r="D106">
            <v>49726129284</v>
          </cell>
          <cell r="E106">
            <v>0</v>
          </cell>
          <cell r="F106">
            <v>49726129284</v>
          </cell>
          <cell r="G106">
            <v>0</v>
          </cell>
          <cell r="H106">
            <v>0</v>
          </cell>
        </row>
        <row r="107">
          <cell r="B107">
            <v>7100015604120</v>
          </cell>
          <cell r="D107">
            <v>362090939</v>
          </cell>
          <cell r="E107">
            <v>0</v>
          </cell>
          <cell r="F107">
            <v>362090939</v>
          </cell>
          <cell r="G107">
            <v>0</v>
          </cell>
          <cell r="H107">
            <v>0</v>
          </cell>
        </row>
        <row r="108">
          <cell r="B108">
            <v>7100015804120</v>
          </cell>
          <cell r="D108">
            <v>626983631</v>
          </cell>
          <cell r="E108">
            <v>0</v>
          </cell>
          <cell r="F108">
            <v>626983631</v>
          </cell>
          <cell r="G108">
            <v>0</v>
          </cell>
          <cell r="H108">
            <v>0</v>
          </cell>
        </row>
        <row r="109">
          <cell r="B109">
            <v>7100016604120</v>
          </cell>
          <cell r="D109">
            <v>299962699</v>
          </cell>
          <cell r="E109">
            <v>0</v>
          </cell>
          <cell r="F109">
            <v>299962699</v>
          </cell>
          <cell r="G109">
            <v>0</v>
          </cell>
          <cell r="H109">
            <v>0</v>
          </cell>
        </row>
        <row r="110">
          <cell r="B110">
            <v>7100016804120</v>
          </cell>
          <cell r="D110">
            <v>4743097824</v>
          </cell>
          <cell r="E110">
            <v>0</v>
          </cell>
          <cell r="F110">
            <v>4743097824</v>
          </cell>
          <cell r="G110">
            <v>0</v>
          </cell>
          <cell r="H110">
            <v>0</v>
          </cell>
        </row>
        <row r="111">
          <cell r="B111">
            <v>7100017304120</v>
          </cell>
          <cell r="D111">
            <v>1443077845</v>
          </cell>
          <cell r="E111">
            <v>0</v>
          </cell>
          <cell r="F111">
            <v>1443077845</v>
          </cell>
          <cell r="G111">
            <v>0</v>
          </cell>
          <cell r="H111">
            <v>0</v>
          </cell>
        </row>
        <row r="112">
          <cell r="B112">
            <v>7100017504120</v>
          </cell>
          <cell r="D112">
            <v>7065606146</v>
          </cell>
          <cell r="E112">
            <v>0</v>
          </cell>
          <cell r="F112">
            <v>7065606146</v>
          </cell>
          <cell r="G112">
            <v>0</v>
          </cell>
          <cell r="H112">
            <v>0</v>
          </cell>
        </row>
        <row r="113">
          <cell r="B113">
            <v>7100017604220</v>
          </cell>
          <cell r="D113">
            <v>6741470129</v>
          </cell>
          <cell r="E113">
            <v>0</v>
          </cell>
          <cell r="F113">
            <v>6741470129</v>
          </cell>
          <cell r="G113">
            <v>0</v>
          </cell>
          <cell r="H113">
            <v>0</v>
          </cell>
        </row>
        <row r="114">
          <cell r="B114">
            <v>7100017904220</v>
          </cell>
          <cell r="D114">
            <v>9317109672</v>
          </cell>
          <cell r="E114">
            <v>0</v>
          </cell>
          <cell r="F114">
            <v>9317109672</v>
          </cell>
          <cell r="G114">
            <v>0</v>
          </cell>
          <cell r="H114">
            <v>0</v>
          </cell>
        </row>
        <row r="115">
          <cell r="B115">
            <v>7100018004120</v>
          </cell>
          <cell r="D115">
            <v>17813177530</v>
          </cell>
          <cell r="E115">
            <v>0</v>
          </cell>
          <cell r="F115">
            <v>17813177530</v>
          </cell>
          <cell r="G115">
            <v>0</v>
          </cell>
          <cell r="H115">
            <v>0</v>
          </cell>
        </row>
        <row r="116">
          <cell r="B116">
            <v>7100018204220</v>
          </cell>
          <cell r="D116">
            <v>6193281340</v>
          </cell>
          <cell r="E116">
            <v>0</v>
          </cell>
          <cell r="F116">
            <v>6193281340</v>
          </cell>
          <cell r="G116">
            <v>0</v>
          </cell>
          <cell r="H116">
            <v>0</v>
          </cell>
        </row>
        <row r="117">
          <cell r="B117">
            <v>7100018404120</v>
          </cell>
          <cell r="D117">
            <v>1146664449</v>
          </cell>
          <cell r="E117">
            <v>0</v>
          </cell>
          <cell r="F117">
            <v>1146664449</v>
          </cell>
          <cell r="G117">
            <v>0</v>
          </cell>
          <cell r="H117">
            <v>0</v>
          </cell>
        </row>
        <row r="118">
          <cell r="B118">
            <v>7100018604220</v>
          </cell>
          <cell r="D118">
            <v>7110639234</v>
          </cell>
          <cell r="E118">
            <v>0</v>
          </cell>
          <cell r="F118">
            <v>7110639234</v>
          </cell>
          <cell r="G118">
            <v>0</v>
          </cell>
          <cell r="H118">
            <v>0</v>
          </cell>
        </row>
        <row r="119">
          <cell r="B119">
            <v>7100018904220</v>
          </cell>
          <cell r="D119">
            <v>8127923411</v>
          </cell>
          <cell r="E119">
            <v>0</v>
          </cell>
          <cell r="F119">
            <v>8127923411</v>
          </cell>
          <cell r="G119">
            <v>0</v>
          </cell>
          <cell r="H119">
            <v>0</v>
          </cell>
        </row>
        <row r="120">
          <cell r="B120">
            <v>7100019504120</v>
          </cell>
          <cell r="D120">
            <v>80307198762</v>
          </cell>
          <cell r="E120">
            <v>0</v>
          </cell>
          <cell r="F120">
            <v>80307198762</v>
          </cell>
          <cell r="G120">
            <v>0</v>
          </cell>
          <cell r="H120">
            <v>0</v>
          </cell>
        </row>
        <row r="121">
          <cell r="B121">
            <v>7100019504220</v>
          </cell>
          <cell r="D121">
            <v>499558294</v>
          </cell>
          <cell r="E121">
            <v>0</v>
          </cell>
          <cell r="F121">
            <v>499558294</v>
          </cell>
          <cell r="G121">
            <v>0</v>
          </cell>
          <cell r="H121">
            <v>0</v>
          </cell>
        </row>
        <row r="122">
          <cell r="B122">
            <v>7100019704120</v>
          </cell>
          <cell r="D122">
            <v>52230253711</v>
          </cell>
          <cell r="E122">
            <v>0</v>
          </cell>
          <cell r="F122">
            <v>52230253711</v>
          </cell>
          <cell r="G122">
            <v>0</v>
          </cell>
          <cell r="H122">
            <v>0</v>
          </cell>
        </row>
        <row r="123">
          <cell r="B123">
            <v>7100019704220</v>
          </cell>
          <cell r="D123">
            <v>1292964484</v>
          </cell>
          <cell r="E123">
            <v>0</v>
          </cell>
          <cell r="F123">
            <v>1292964484</v>
          </cell>
          <cell r="G123">
            <v>0</v>
          </cell>
          <cell r="H123">
            <v>0</v>
          </cell>
        </row>
        <row r="124">
          <cell r="B124">
            <v>7100019804120</v>
          </cell>
          <cell r="D124">
            <v>43194047984</v>
          </cell>
          <cell r="E124">
            <v>0</v>
          </cell>
          <cell r="F124">
            <v>43194047984</v>
          </cell>
          <cell r="G124">
            <v>0</v>
          </cell>
          <cell r="H124">
            <v>0</v>
          </cell>
        </row>
        <row r="125">
          <cell r="B125">
            <v>7100019804220</v>
          </cell>
          <cell r="D125">
            <v>113138123</v>
          </cell>
          <cell r="E125">
            <v>0</v>
          </cell>
          <cell r="F125">
            <v>113138123</v>
          </cell>
          <cell r="G125">
            <v>0</v>
          </cell>
          <cell r="H125">
            <v>0</v>
          </cell>
        </row>
        <row r="126">
          <cell r="B126">
            <v>7100019904120</v>
          </cell>
          <cell r="D126">
            <v>3651065137</v>
          </cell>
          <cell r="E126">
            <v>0</v>
          </cell>
          <cell r="F126">
            <v>3651065137</v>
          </cell>
          <cell r="G126">
            <v>0</v>
          </cell>
          <cell r="H126">
            <v>0</v>
          </cell>
        </row>
        <row r="127">
          <cell r="B127">
            <v>7100019904220</v>
          </cell>
          <cell r="D127">
            <v>6762566235</v>
          </cell>
          <cell r="E127">
            <v>0</v>
          </cell>
          <cell r="F127">
            <v>6762566235</v>
          </cell>
          <cell r="G127">
            <v>0</v>
          </cell>
          <cell r="H127">
            <v>0</v>
          </cell>
        </row>
        <row r="128">
          <cell r="B128">
            <v>7100050104131</v>
          </cell>
          <cell r="D128">
            <v>7865862151</v>
          </cell>
          <cell r="E128">
            <v>0</v>
          </cell>
          <cell r="F128">
            <v>7865862151</v>
          </cell>
          <cell r="G128">
            <v>0</v>
          </cell>
          <cell r="H128">
            <v>0</v>
          </cell>
        </row>
        <row r="129">
          <cell r="B129">
            <v>7100050104132</v>
          </cell>
          <cell r="D129">
            <v>7351047163</v>
          </cell>
          <cell r="E129">
            <v>0</v>
          </cell>
          <cell r="F129">
            <v>7351047163</v>
          </cell>
          <cell r="G129">
            <v>0</v>
          </cell>
          <cell r="H129">
            <v>0</v>
          </cell>
        </row>
        <row r="130">
          <cell r="B130">
            <v>7100050104133</v>
          </cell>
          <cell r="D130">
            <v>14562494176</v>
          </cell>
          <cell r="E130">
            <v>0</v>
          </cell>
          <cell r="F130">
            <v>14562494176</v>
          </cell>
          <cell r="G130">
            <v>0</v>
          </cell>
          <cell r="H130">
            <v>0</v>
          </cell>
        </row>
        <row r="131">
          <cell r="B131">
            <v>7100050104134</v>
          </cell>
          <cell r="D131">
            <v>4878737500</v>
          </cell>
          <cell r="E131">
            <v>0</v>
          </cell>
          <cell r="F131">
            <v>4878737500</v>
          </cell>
          <cell r="G131">
            <v>0</v>
          </cell>
          <cell r="H131">
            <v>0</v>
          </cell>
        </row>
        <row r="132">
          <cell r="B132">
            <v>7100050304120</v>
          </cell>
          <cell r="D132">
            <v>37779225000</v>
          </cell>
          <cell r="E132">
            <v>0</v>
          </cell>
          <cell r="F132">
            <v>37779225000</v>
          </cell>
          <cell r="G132">
            <v>0</v>
          </cell>
          <cell r="H132">
            <v>0</v>
          </cell>
        </row>
        <row r="133">
          <cell r="B133">
            <v>7100050404120</v>
          </cell>
          <cell r="D133">
            <v>494287582</v>
          </cell>
          <cell r="E133">
            <v>0</v>
          </cell>
          <cell r="F133">
            <v>494287582</v>
          </cell>
          <cell r="G133">
            <v>0</v>
          </cell>
          <cell r="H133">
            <v>0</v>
          </cell>
        </row>
        <row r="134">
          <cell r="B134">
            <v>7100050404132</v>
          </cell>
          <cell r="D134">
            <v>1338036423</v>
          </cell>
          <cell r="E134">
            <v>0</v>
          </cell>
          <cell r="F134">
            <v>1338036423</v>
          </cell>
          <cell r="G134">
            <v>0</v>
          </cell>
          <cell r="H134">
            <v>0</v>
          </cell>
        </row>
        <row r="135">
          <cell r="B135">
            <v>7100050404133</v>
          </cell>
          <cell r="D135">
            <v>527951170</v>
          </cell>
          <cell r="E135">
            <v>0</v>
          </cell>
          <cell r="F135">
            <v>527951170</v>
          </cell>
          <cell r="G135">
            <v>0</v>
          </cell>
          <cell r="H135">
            <v>0</v>
          </cell>
        </row>
        <row r="136">
          <cell r="B136">
            <v>7100050504135</v>
          </cell>
          <cell r="D136">
            <v>532031988</v>
          </cell>
          <cell r="E136">
            <v>0</v>
          </cell>
          <cell r="F136">
            <v>532031988</v>
          </cell>
          <cell r="G136">
            <v>0</v>
          </cell>
          <cell r="H136">
            <v>0</v>
          </cell>
        </row>
        <row r="137">
          <cell r="B137">
            <v>7100051204120</v>
          </cell>
          <cell r="D137">
            <v>534776204</v>
          </cell>
          <cell r="E137">
            <v>0</v>
          </cell>
          <cell r="F137">
            <v>534776204</v>
          </cell>
          <cell r="G137">
            <v>0</v>
          </cell>
          <cell r="H137">
            <v>0</v>
          </cell>
        </row>
        <row r="138">
          <cell r="B138">
            <v>7100052204120</v>
          </cell>
          <cell r="D138">
            <v>679840972</v>
          </cell>
          <cell r="E138">
            <v>0</v>
          </cell>
          <cell r="F138">
            <v>679840972</v>
          </cell>
          <cell r="G138">
            <v>0</v>
          </cell>
          <cell r="H138">
            <v>0</v>
          </cell>
        </row>
        <row r="139">
          <cell r="B139">
            <v>711981010178</v>
          </cell>
          <cell r="D139">
            <v>0</v>
          </cell>
          <cell r="E139">
            <v>1126807455512</v>
          </cell>
          <cell r="F139">
            <v>0</v>
          </cell>
          <cell r="G139">
            <v>1126807455512</v>
          </cell>
          <cell r="H139">
            <v>0</v>
          </cell>
        </row>
        <row r="140">
          <cell r="B140">
            <v>711981020178</v>
          </cell>
          <cell r="D140">
            <v>0</v>
          </cell>
          <cell r="E140">
            <v>37323647964</v>
          </cell>
          <cell r="F140">
            <v>0</v>
          </cell>
          <cell r="G140">
            <v>37323647964</v>
          </cell>
          <cell r="H140">
            <v>0</v>
          </cell>
        </row>
        <row r="141">
          <cell r="B141">
            <v>7201011104120</v>
          </cell>
          <cell r="D141">
            <v>21709474362</v>
          </cell>
          <cell r="E141">
            <v>0</v>
          </cell>
          <cell r="F141">
            <v>21709474362</v>
          </cell>
          <cell r="G141">
            <v>0</v>
          </cell>
          <cell r="H141">
            <v>18562927410</v>
          </cell>
        </row>
        <row r="142">
          <cell r="B142">
            <v>7201011104131</v>
          </cell>
          <cell r="D142">
            <v>5317950106</v>
          </cell>
          <cell r="E142">
            <v>0</v>
          </cell>
          <cell r="F142">
            <v>5317950106</v>
          </cell>
          <cell r="G142">
            <v>0</v>
          </cell>
          <cell r="H142">
            <v>6293160945</v>
          </cell>
        </row>
        <row r="143">
          <cell r="B143">
            <v>7201011104133</v>
          </cell>
          <cell r="D143">
            <v>4435830029</v>
          </cell>
          <cell r="E143">
            <v>0</v>
          </cell>
          <cell r="F143">
            <v>4435830029</v>
          </cell>
          <cell r="G143">
            <v>0</v>
          </cell>
          <cell r="H143">
            <v>6597669915</v>
          </cell>
        </row>
        <row r="144">
          <cell r="B144">
            <v>7201011104134</v>
          </cell>
          <cell r="D144">
            <v>4391527530</v>
          </cell>
          <cell r="E144">
            <v>0</v>
          </cell>
          <cell r="F144">
            <v>4391527530</v>
          </cell>
          <cell r="G144">
            <v>0</v>
          </cell>
          <cell r="H144">
            <v>4296938190</v>
          </cell>
        </row>
        <row r="145">
          <cell r="B145">
            <v>7201011104135</v>
          </cell>
          <cell r="D145">
            <v>2809548520</v>
          </cell>
          <cell r="E145">
            <v>0</v>
          </cell>
          <cell r="F145">
            <v>2809548520</v>
          </cell>
          <cell r="G145">
            <v>0</v>
          </cell>
          <cell r="H145">
            <v>5267235750</v>
          </cell>
        </row>
        <row r="146">
          <cell r="B146">
            <v>7201011104136</v>
          </cell>
          <cell r="D146">
            <v>1211301000</v>
          </cell>
          <cell r="E146">
            <v>0</v>
          </cell>
          <cell r="F146">
            <v>1211301000</v>
          </cell>
          <cell r="G146">
            <v>0</v>
          </cell>
          <cell r="H146">
            <v>0</v>
          </cell>
        </row>
        <row r="147">
          <cell r="B147">
            <v>7201020104120</v>
          </cell>
          <cell r="D147">
            <v>4642940838</v>
          </cell>
          <cell r="E147">
            <v>0</v>
          </cell>
          <cell r="F147">
            <v>4642940838</v>
          </cell>
          <cell r="G147">
            <v>0</v>
          </cell>
          <cell r="H147">
            <v>1485034193</v>
          </cell>
        </row>
        <row r="148">
          <cell r="B148">
            <v>7201020104131</v>
          </cell>
          <cell r="D148">
            <v>1537119209</v>
          </cell>
          <cell r="E148">
            <v>0</v>
          </cell>
          <cell r="F148">
            <v>1537119209</v>
          </cell>
          <cell r="G148">
            <v>0</v>
          </cell>
          <cell r="H148">
            <v>503452877</v>
          </cell>
        </row>
        <row r="149">
          <cell r="B149">
            <v>7201020104133</v>
          </cell>
          <cell r="D149">
            <v>1027138607</v>
          </cell>
          <cell r="E149">
            <v>0</v>
          </cell>
          <cell r="F149">
            <v>1027138607</v>
          </cell>
          <cell r="G149">
            <v>0</v>
          </cell>
          <cell r="H149">
            <v>527813593</v>
          </cell>
        </row>
        <row r="150">
          <cell r="B150">
            <v>7201020104134</v>
          </cell>
          <cell r="D150">
            <v>1048784783</v>
          </cell>
          <cell r="E150">
            <v>0</v>
          </cell>
          <cell r="F150">
            <v>1048784783</v>
          </cell>
          <cell r="G150">
            <v>0</v>
          </cell>
          <cell r="H150">
            <v>343755055</v>
          </cell>
        </row>
        <row r="151">
          <cell r="B151">
            <v>7201020104135</v>
          </cell>
          <cell r="D151">
            <v>619054032</v>
          </cell>
          <cell r="E151">
            <v>0</v>
          </cell>
          <cell r="F151">
            <v>619054032</v>
          </cell>
          <cell r="G151">
            <v>0</v>
          </cell>
          <cell r="H151">
            <v>421378860</v>
          </cell>
        </row>
        <row r="152">
          <cell r="B152">
            <v>7201020104136</v>
          </cell>
          <cell r="D152">
            <v>331088940</v>
          </cell>
          <cell r="E152">
            <v>0</v>
          </cell>
          <cell r="F152">
            <v>331088940</v>
          </cell>
          <cell r="G152">
            <v>0</v>
          </cell>
          <cell r="H152">
            <v>0</v>
          </cell>
        </row>
        <row r="153">
          <cell r="B153">
            <v>7201040104120</v>
          </cell>
          <cell r="D153">
            <v>6857245002</v>
          </cell>
          <cell r="E153">
            <v>0</v>
          </cell>
          <cell r="F153">
            <v>6857245002</v>
          </cell>
          <cell r="G153">
            <v>0</v>
          </cell>
          <cell r="H153">
            <v>6187642470</v>
          </cell>
        </row>
        <row r="154">
          <cell r="B154">
            <v>7201040104131</v>
          </cell>
          <cell r="D154">
            <v>1842748500</v>
          </cell>
          <cell r="E154">
            <v>29721750</v>
          </cell>
          <cell r="F154">
            <v>1813026750</v>
          </cell>
          <cell r="G154">
            <v>0</v>
          </cell>
          <cell r="H154">
            <v>2097720315</v>
          </cell>
        </row>
        <row r="155">
          <cell r="B155">
            <v>7201040104133</v>
          </cell>
          <cell r="D155">
            <v>1529828610</v>
          </cell>
          <cell r="E155">
            <v>24674655</v>
          </cell>
          <cell r="F155">
            <v>1505153955</v>
          </cell>
          <cell r="G155">
            <v>0</v>
          </cell>
          <cell r="H155">
            <v>2199223305</v>
          </cell>
        </row>
        <row r="156">
          <cell r="B156">
            <v>7201040104134</v>
          </cell>
          <cell r="D156">
            <v>1506649290</v>
          </cell>
          <cell r="E156">
            <v>24300795</v>
          </cell>
          <cell r="F156">
            <v>1482348495</v>
          </cell>
          <cell r="G156">
            <v>0</v>
          </cell>
          <cell r="H156">
            <v>1432312730</v>
          </cell>
        </row>
        <row r="157">
          <cell r="B157">
            <v>7201040104135</v>
          </cell>
          <cell r="D157">
            <v>973528182</v>
          </cell>
          <cell r="E157">
            <v>15702066</v>
          </cell>
          <cell r="F157">
            <v>957826116</v>
          </cell>
          <cell r="G157">
            <v>0</v>
          </cell>
          <cell r="H157">
            <v>1755745250</v>
          </cell>
        </row>
        <row r="158">
          <cell r="B158">
            <v>7201040104136</v>
          </cell>
          <cell r="D158">
            <v>417225900</v>
          </cell>
          <cell r="E158">
            <v>6729450</v>
          </cell>
          <cell r="F158">
            <v>410496450</v>
          </cell>
          <cell r="G158">
            <v>0</v>
          </cell>
          <cell r="H158">
            <v>0</v>
          </cell>
        </row>
        <row r="159">
          <cell r="B159">
            <v>7201210104120</v>
          </cell>
          <cell r="D159">
            <v>3791837743</v>
          </cell>
          <cell r="E159">
            <v>0</v>
          </cell>
          <cell r="F159">
            <v>3791837743</v>
          </cell>
          <cell r="G159">
            <v>0</v>
          </cell>
          <cell r="H159">
            <v>3421440000</v>
          </cell>
        </row>
        <row r="160">
          <cell r="B160">
            <v>7201210104131</v>
          </cell>
          <cell r="D160">
            <v>889924016</v>
          </cell>
          <cell r="E160">
            <v>0</v>
          </cell>
          <cell r="F160">
            <v>889924016</v>
          </cell>
          <cell r="G160">
            <v>0</v>
          </cell>
          <cell r="H160">
            <v>1140480000</v>
          </cell>
        </row>
        <row r="161">
          <cell r="B161">
            <v>7201210104133</v>
          </cell>
          <cell r="D161">
            <v>718268630</v>
          </cell>
          <cell r="E161">
            <v>0</v>
          </cell>
          <cell r="F161">
            <v>718268630</v>
          </cell>
          <cell r="G161">
            <v>0</v>
          </cell>
          <cell r="H161">
            <v>1140480000</v>
          </cell>
        </row>
        <row r="162">
          <cell r="B162">
            <v>7201210104134</v>
          </cell>
          <cell r="D162">
            <v>718769374</v>
          </cell>
          <cell r="E162">
            <v>0</v>
          </cell>
          <cell r="F162">
            <v>718769374</v>
          </cell>
          <cell r="G162">
            <v>0</v>
          </cell>
          <cell r="H162">
            <v>760320000</v>
          </cell>
        </row>
        <row r="163">
          <cell r="B163">
            <v>7201210104135</v>
          </cell>
          <cell r="D163">
            <v>535997450</v>
          </cell>
          <cell r="E163">
            <v>0</v>
          </cell>
          <cell r="F163">
            <v>535997450</v>
          </cell>
          <cell r="G163">
            <v>0</v>
          </cell>
          <cell r="H163">
            <v>950400000</v>
          </cell>
        </row>
        <row r="164">
          <cell r="B164">
            <v>7201210104136</v>
          </cell>
          <cell r="D164">
            <v>178665817</v>
          </cell>
          <cell r="E164">
            <v>0</v>
          </cell>
          <cell r="F164">
            <v>178665817</v>
          </cell>
          <cell r="G164">
            <v>0</v>
          </cell>
          <cell r="H164">
            <v>0</v>
          </cell>
        </row>
        <row r="165">
          <cell r="B165">
            <v>7201240104120</v>
          </cell>
          <cell r="D165">
            <v>788551370</v>
          </cell>
          <cell r="E165">
            <v>0</v>
          </cell>
          <cell r="F165">
            <v>788551370</v>
          </cell>
          <cell r="G165">
            <v>0</v>
          </cell>
          <cell r="H165">
            <v>601438847</v>
          </cell>
        </row>
        <row r="166">
          <cell r="B166">
            <v>7201240104131</v>
          </cell>
          <cell r="D166">
            <v>205652067</v>
          </cell>
          <cell r="E166">
            <v>0</v>
          </cell>
          <cell r="F166">
            <v>205652067</v>
          </cell>
          <cell r="G166">
            <v>0</v>
          </cell>
          <cell r="H166">
            <v>203898414</v>
          </cell>
        </row>
        <row r="167">
          <cell r="B167">
            <v>7201240104133</v>
          </cell>
          <cell r="D167">
            <v>163889047</v>
          </cell>
          <cell r="E167">
            <v>0</v>
          </cell>
          <cell r="F167">
            <v>163889047</v>
          </cell>
          <cell r="G167">
            <v>0</v>
          </cell>
          <cell r="H167">
            <v>213764504</v>
          </cell>
        </row>
        <row r="168">
          <cell r="B168">
            <v>7201240104134</v>
          </cell>
          <cell r="D168">
            <v>163209359</v>
          </cell>
          <cell r="E168">
            <v>0</v>
          </cell>
          <cell r="F168">
            <v>163209359</v>
          </cell>
          <cell r="G168">
            <v>0</v>
          </cell>
          <cell r="H168">
            <v>139220797</v>
          </cell>
        </row>
        <row r="169">
          <cell r="B169">
            <v>7201240104135</v>
          </cell>
          <cell r="D169">
            <v>102858068</v>
          </cell>
          <cell r="E169">
            <v>0</v>
          </cell>
          <cell r="F169">
            <v>102858068</v>
          </cell>
          <cell r="G169">
            <v>0</v>
          </cell>
          <cell r="H169">
            <v>170658437</v>
          </cell>
        </row>
        <row r="170">
          <cell r="B170">
            <v>7201240104136</v>
          </cell>
          <cell r="D170">
            <v>7590819</v>
          </cell>
          <cell r="E170">
            <v>0</v>
          </cell>
          <cell r="F170">
            <v>7590819</v>
          </cell>
          <cell r="G170">
            <v>0</v>
          </cell>
          <cell r="H170">
            <v>0</v>
          </cell>
        </row>
        <row r="171">
          <cell r="B171">
            <v>721982010178</v>
          </cell>
          <cell r="D171">
            <v>0</v>
          </cell>
          <cell r="E171">
            <v>37790049315</v>
          </cell>
          <cell r="F171">
            <v>0</v>
          </cell>
          <cell r="G171">
            <v>37790049315</v>
          </cell>
          <cell r="H171">
            <v>0</v>
          </cell>
        </row>
        <row r="172">
          <cell r="B172">
            <v>721982020178</v>
          </cell>
          <cell r="D172">
            <v>0</v>
          </cell>
          <cell r="E172">
            <v>32583019169</v>
          </cell>
          <cell r="F172">
            <v>0</v>
          </cell>
          <cell r="G172">
            <v>32583019169</v>
          </cell>
          <cell r="H172">
            <v>0</v>
          </cell>
        </row>
        <row r="173">
          <cell r="B173">
            <v>7300110104251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>
            <v>7300110204251</v>
          </cell>
          <cell r="D174">
            <v>3988334086</v>
          </cell>
          <cell r="E174">
            <v>0</v>
          </cell>
          <cell r="F174">
            <v>3988334086</v>
          </cell>
          <cell r="G174">
            <v>0</v>
          </cell>
          <cell r="H174">
            <v>0</v>
          </cell>
        </row>
        <row r="175">
          <cell r="B175">
            <v>7300110304250</v>
          </cell>
          <cell r="D175">
            <v>896299684</v>
          </cell>
          <cell r="E175">
            <v>0</v>
          </cell>
          <cell r="F175">
            <v>896299684</v>
          </cell>
          <cell r="G175">
            <v>0</v>
          </cell>
          <cell r="H175">
            <v>0</v>
          </cell>
        </row>
        <row r="176">
          <cell r="B176">
            <v>7300110504120</v>
          </cell>
          <cell r="D176">
            <v>2421127990</v>
          </cell>
          <cell r="E176">
            <v>0</v>
          </cell>
          <cell r="F176">
            <v>2421127990</v>
          </cell>
          <cell r="G176">
            <v>0</v>
          </cell>
          <cell r="H176">
            <v>0</v>
          </cell>
        </row>
        <row r="177">
          <cell r="B177">
            <v>7300110504131</v>
          </cell>
          <cell r="D177">
            <v>494424692</v>
          </cell>
          <cell r="E177">
            <v>0</v>
          </cell>
          <cell r="F177">
            <v>494424692</v>
          </cell>
          <cell r="G177">
            <v>0</v>
          </cell>
          <cell r="H177">
            <v>0</v>
          </cell>
        </row>
        <row r="178">
          <cell r="B178">
            <v>7300110604120</v>
          </cell>
          <cell r="D178">
            <v>340650100</v>
          </cell>
          <cell r="E178">
            <v>0</v>
          </cell>
          <cell r="F178">
            <v>340650100</v>
          </cell>
          <cell r="G178">
            <v>0</v>
          </cell>
          <cell r="H178">
            <v>0</v>
          </cell>
        </row>
        <row r="179">
          <cell r="B179">
            <v>7300110604131</v>
          </cell>
          <cell r="D179">
            <v>50947352</v>
          </cell>
          <cell r="E179">
            <v>0</v>
          </cell>
          <cell r="F179">
            <v>50947352</v>
          </cell>
          <cell r="G179">
            <v>0</v>
          </cell>
          <cell r="H179">
            <v>0</v>
          </cell>
        </row>
        <row r="180">
          <cell r="B180">
            <v>7300110604132</v>
          </cell>
          <cell r="D180">
            <v>154213692</v>
          </cell>
          <cell r="E180">
            <v>0</v>
          </cell>
          <cell r="F180">
            <v>154213692</v>
          </cell>
          <cell r="G180">
            <v>0</v>
          </cell>
          <cell r="H180">
            <v>0</v>
          </cell>
        </row>
        <row r="181">
          <cell r="B181">
            <v>7300110604133</v>
          </cell>
          <cell r="D181">
            <v>5352002</v>
          </cell>
          <cell r="E181">
            <v>0</v>
          </cell>
          <cell r="F181">
            <v>5352002</v>
          </cell>
          <cell r="G181">
            <v>0</v>
          </cell>
          <cell r="H181">
            <v>0</v>
          </cell>
        </row>
        <row r="182">
          <cell r="B182">
            <v>7300110604134</v>
          </cell>
          <cell r="D182">
            <v>252812618</v>
          </cell>
          <cell r="E182">
            <v>0</v>
          </cell>
          <cell r="F182">
            <v>252812618</v>
          </cell>
          <cell r="G182">
            <v>0</v>
          </cell>
          <cell r="H182">
            <v>0</v>
          </cell>
        </row>
        <row r="183">
          <cell r="B183">
            <v>7300110604250</v>
          </cell>
          <cell r="D183">
            <v>129926541</v>
          </cell>
          <cell r="E183">
            <v>0</v>
          </cell>
          <cell r="F183">
            <v>129926541</v>
          </cell>
          <cell r="G183">
            <v>0</v>
          </cell>
          <cell r="H183">
            <v>0</v>
          </cell>
        </row>
        <row r="184">
          <cell r="B184">
            <v>7300110604251</v>
          </cell>
          <cell r="D184">
            <v>118282613</v>
          </cell>
          <cell r="E184">
            <v>0</v>
          </cell>
          <cell r="F184">
            <v>118282613</v>
          </cell>
          <cell r="G184">
            <v>0</v>
          </cell>
          <cell r="H184">
            <v>0</v>
          </cell>
        </row>
        <row r="185">
          <cell r="B185">
            <v>7300110704251</v>
          </cell>
          <cell r="D185">
            <v>88076070</v>
          </cell>
          <cell r="E185">
            <v>0</v>
          </cell>
          <cell r="F185">
            <v>88076070</v>
          </cell>
          <cell r="G185">
            <v>0</v>
          </cell>
          <cell r="H185">
            <v>0</v>
          </cell>
        </row>
        <row r="186">
          <cell r="B186">
            <v>7300110804131</v>
          </cell>
          <cell r="D186">
            <v>8999290329</v>
          </cell>
          <cell r="E186">
            <v>0</v>
          </cell>
          <cell r="F186">
            <v>8999290329</v>
          </cell>
          <cell r="G186">
            <v>0</v>
          </cell>
          <cell r="H186">
            <v>0</v>
          </cell>
        </row>
        <row r="187">
          <cell r="B187">
            <v>7300110804132</v>
          </cell>
          <cell r="D187">
            <v>2044390446</v>
          </cell>
          <cell r="E187">
            <v>0</v>
          </cell>
          <cell r="F187">
            <v>2044390446</v>
          </cell>
          <cell r="G187">
            <v>0</v>
          </cell>
          <cell r="H187">
            <v>0</v>
          </cell>
        </row>
        <row r="188">
          <cell r="B188">
            <v>7300110804136</v>
          </cell>
          <cell r="D188">
            <v>474400000</v>
          </cell>
          <cell r="E188">
            <v>0</v>
          </cell>
          <cell r="F188">
            <v>474400000</v>
          </cell>
          <cell r="G188">
            <v>0</v>
          </cell>
          <cell r="H188">
            <v>0</v>
          </cell>
        </row>
        <row r="189">
          <cell r="B189">
            <v>7300119804270</v>
          </cell>
          <cell r="D189">
            <v>784959824</v>
          </cell>
          <cell r="E189">
            <v>0</v>
          </cell>
          <cell r="F189">
            <v>784959824</v>
          </cell>
          <cell r="G189">
            <v>0</v>
          </cell>
          <cell r="H189">
            <v>0</v>
          </cell>
        </row>
        <row r="190">
          <cell r="B190">
            <v>7300119904120</v>
          </cell>
          <cell r="D190">
            <v>280443022</v>
          </cell>
          <cell r="E190">
            <v>0</v>
          </cell>
          <cell r="F190">
            <v>280443022</v>
          </cell>
          <cell r="G190">
            <v>0</v>
          </cell>
          <cell r="H190">
            <v>0</v>
          </cell>
        </row>
        <row r="191">
          <cell r="B191">
            <v>7300119904131</v>
          </cell>
          <cell r="D191">
            <v>314807365</v>
          </cell>
          <cell r="E191">
            <v>0</v>
          </cell>
          <cell r="F191">
            <v>314807365</v>
          </cell>
          <cell r="G191">
            <v>0</v>
          </cell>
          <cell r="H191">
            <v>0</v>
          </cell>
        </row>
        <row r="192">
          <cell r="B192">
            <v>7300119904132</v>
          </cell>
          <cell r="D192">
            <v>327157653</v>
          </cell>
          <cell r="E192">
            <v>0</v>
          </cell>
          <cell r="F192">
            <v>327157653</v>
          </cell>
          <cell r="G192">
            <v>0</v>
          </cell>
          <cell r="H192">
            <v>0</v>
          </cell>
        </row>
        <row r="193">
          <cell r="B193">
            <v>7300119904270</v>
          </cell>
          <cell r="D193">
            <v>27256474438</v>
          </cell>
          <cell r="E193">
            <v>0</v>
          </cell>
          <cell r="F193">
            <v>27256474438</v>
          </cell>
          <cell r="G193">
            <v>0</v>
          </cell>
          <cell r="H193">
            <v>0</v>
          </cell>
        </row>
        <row r="194">
          <cell r="B194">
            <v>7300150104120</v>
          </cell>
          <cell r="D194">
            <v>128266942</v>
          </cell>
          <cell r="E194">
            <v>0</v>
          </cell>
          <cell r="F194">
            <v>128266942</v>
          </cell>
          <cell r="G194">
            <v>0</v>
          </cell>
          <cell r="H194">
            <v>0</v>
          </cell>
        </row>
        <row r="195">
          <cell r="B195">
            <v>7300150104131</v>
          </cell>
          <cell r="D195">
            <v>203475000</v>
          </cell>
          <cell r="E195">
            <v>0</v>
          </cell>
          <cell r="F195">
            <v>203475000</v>
          </cell>
          <cell r="G195">
            <v>0</v>
          </cell>
          <cell r="H195">
            <v>0</v>
          </cell>
        </row>
        <row r="196">
          <cell r="B196">
            <v>7300150104132</v>
          </cell>
          <cell r="D196">
            <v>933838187</v>
          </cell>
          <cell r="E196">
            <v>0</v>
          </cell>
          <cell r="F196">
            <v>933838187</v>
          </cell>
          <cell r="G196">
            <v>0</v>
          </cell>
          <cell r="H196">
            <v>0</v>
          </cell>
        </row>
        <row r="197">
          <cell r="B197">
            <v>7300150104230</v>
          </cell>
          <cell r="D197">
            <v>4498788698</v>
          </cell>
          <cell r="E197">
            <v>0</v>
          </cell>
          <cell r="F197">
            <v>4498788698</v>
          </cell>
          <cell r="G197">
            <v>0</v>
          </cell>
          <cell r="H197">
            <v>0</v>
          </cell>
        </row>
        <row r="198">
          <cell r="B198">
            <v>7300150304132</v>
          </cell>
          <cell r="D198">
            <v>42810600</v>
          </cell>
          <cell r="E198">
            <v>0</v>
          </cell>
          <cell r="F198">
            <v>42810600</v>
          </cell>
          <cell r="G198">
            <v>0</v>
          </cell>
          <cell r="H198">
            <v>0</v>
          </cell>
        </row>
        <row r="199">
          <cell r="B199">
            <v>7300150304133</v>
          </cell>
          <cell r="D199">
            <v>68496962</v>
          </cell>
          <cell r="E199">
            <v>0</v>
          </cell>
          <cell r="F199">
            <v>68496962</v>
          </cell>
          <cell r="G199">
            <v>0</v>
          </cell>
          <cell r="H199">
            <v>0</v>
          </cell>
        </row>
        <row r="200">
          <cell r="B200">
            <v>7300150404230</v>
          </cell>
          <cell r="D200">
            <v>5114611017</v>
          </cell>
          <cell r="E200">
            <v>0</v>
          </cell>
          <cell r="F200">
            <v>5114611017</v>
          </cell>
          <cell r="G200">
            <v>0</v>
          </cell>
          <cell r="H200">
            <v>0</v>
          </cell>
        </row>
        <row r="201">
          <cell r="B201">
            <v>7300150504131</v>
          </cell>
          <cell r="D201">
            <v>1714660670</v>
          </cell>
          <cell r="E201">
            <v>0</v>
          </cell>
          <cell r="F201">
            <v>1714660670</v>
          </cell>
          <cell r="G201">
            <v>0</v>
          </cell>
          <cell r="H201">
            <v>0</v>
          </cell>
        </row>
        <row r="202">
          <cell r="B202">
            <v>7300150504132</v>
          </cell>
          <cell r="D202">
            <v>2806817818</v>
          </cell>
          <cell r="E202">
            <v>0</v>
          </cell>
          <cell r="F202">
            <v>2806817818</v>
          </cell>
          <cell r="G202">
            <v>0</v>
          </cell>
          <cell r="H202">
            <v>0</v>
          </cell>
        </row>
        <row r="203">
          <cell r="B203">
            <v>7300150504133</v>
          </cell>
          <cell r="D203">
            <v>2351598721</v>
          </cell>
          <cell r="E203">
            <v>0</v>
          </cell>
          <cell r="F203">
            <v>2351598721</v>
          </cell>
          <cell r="G203">
            <v>0</v>
          </cell>
          <cell r="H203">
            <v>0</v>
          </cell>
        </row>
        <row r="204">
          <cell r="B204">
            <v>7300150504134</v>
          </cell>
          <cell r="D204">
            <v>1275544528</v>
          </cell>
          <cell r="E204">
            <v>0</v>
          </cell>
          <cell r="F204">
            <v>1275544528</v>
          </cell>
          <cell r="G204">
            <v>0</v>
          </cell>
          <cell r="H204">
            <v>0</v>
          </cell>
        </row>
        <row r="205">
          <cell r="B205">
            <v>7300159904250</v>
          </cell>
          <cell r="D205">
            <v>19030000</v>
          </cell>
          <cell r="E205">
            <v>0</v>
          </cell>
          <cell r="F205">
            <v>19030000</v>
          </cell>
          <cell r="G205">
            <v>0</v>
          </cell>
          <cell r="H205">
            <v>0</v>
          </cell>
        </row>
        <row r="206">
          <cell r="B206">
            <v>7300159904300</v>
          </cell>
          <cell r="D206">
            <v>951078751</v>
          </cell>
          <cell r="E206">
            <v>0</v>
          </cell>
          <cell r="F206">
            <v>951078751</v>
          </cell>
          <cell r="G206">
            <v>0</v>
          </cell>
          <cell r="H206">
            <v>0</v>
          </cell>
        </row>
        <row r="207">
          <cell r="B207">
            <v>7303020104120</v>
          </cell>
          <cell r="D207">
            <v>17550075461</v>
          </cell>
          <cell r="E207">
            <v>0</v>
          </cell>
          <cell r="F207">
            <v>17550075461</v>
          </cell>
          <cell r="G207">
            <v>0</v>
          </cell>
          <cell r="H207">
            <v>0</v>
          </cell>
        </row>
        <row r="208">
          <cell r="B208">
            <v>7303040104120</v>
          </cell>
          <cell r="D208">
            <v>7717576283</v>
          </cell>
          <cell r="E208">
            <v>0</v>
          </cell>
          <cell r="F208">
            <v>7717576283</v>
          </cell>
          <cell r="G208">
            <v>0</v>
          </cell>
          <cell r="H208">
            <v>0</v>
          </cell>
        </row>
        <row r="209">
          <cell r="B209">
            <v>7303040104131</v>
          </cell>
          <cell r="D209">
            <v>9432593238</v>
          </cell>
          <cell r="E209">
            <v>0</v>
          </cell>
          <cell r="F209">
            <v>9432593238</v>
          </cell>
          <cell r="G209">
            <v>0</v>
          </cell>
          <cell r="H209">
            <v>0</v>
          </cell>
        </row>
        <row r="210">
          <cell r="B210">
            <v>731983010178</v>
          </cell>
          <cell r="D210">
            <v>0</v>
          </cell>
          <cell r="E210">
            <v>28438139798</v>
          </cell>
          <cell r="F210">
            <v>0</v>
          </cell>
          <cell r="G210">
            <v>28438139798</v>
          </cell>
          <cell r="H210">
            <v>0</v>
          </cell>
        </row>
        <row r="211">
          <cell r="B211">
            <v>731983020</v>
          </cell>
          <cell r="D211">
            <v>0</v>
          </cell>
          <cell r="E211">
            <v>75793493595</v>
          </cell>
          <cell r="F211">
            <v>0</v>
          </cell>
          <cell r="G211">
            <v>75793493595</v>
          </cell>
          <cell r="H211">
            <v>0</v>
          </cell>
        </row>
        <row r="212">
          <cell r="B212">
            <v>7350211104120</v>
          </cell>
          <cell r="D212">
            <v>562645997</v>
          </cell>
          <cell r="E212">
            <v>0</v>
          </cell>
          <cell r="F212">
            <v>562645997</v>
          </cell>
          <cell r="G212">
            <v>0</v>
          </cell>
          <cell r="H212">
            <v>0</v>
          </cell>
        </row>
        <row r="213">
          <cell r="B213">
            <v>7350211104131</v>
          </cell>
          <cell r="D213">
            <v>18374466</v>
          </cell>
          <cell r="E213">
            <v>0</v>
          </cell>
          <cell r="F213">
            <v>18374466</v>
          </cell>
          <cell r="G213">
            <v>0</v>
          </cell>
          <cell r="H213">
            <v>0</v>
          </cell>
        </row>
        <row r="214">
          <cell r="B214">
            <v>7350211104132</v>
          </cell>
          <cell r="D214">
            <v>19801109</v>
          </cell>
          <cell r="E214">
            <v>0</v>
          </cell>
          <cell r="F214">
            <v>19801109</v>
          </cell>
          <cell r="G214">
            <v>0</v>
          </cell>
          <cell r="H214">
            <v>0</v>
          </cell>
        </row>
        <row r="215">
          <cell r="B215">
            <v>7350211104250</v>
          </cell>
          <cell r="D215">
            <v>91092047</v>
          </cell>
          <cell r="E215">
            <v>0</v>
          </cell>
          <cell r="F215">
            <v>91092047</v>
          </cell>
          <cell r="G215">
            <v>0</v>
          </cell>
          <cell r="H215">
            <v>0</v>
          </cell>
        </row>
        <row r="216">
          <cell r="B216">
            <v>7350211104251</v>
          </cell>
          <cell r="D216">
            <v>5170000</v>
          </cell>
          <cell r="E216">
            <v>0</v>
          </cell>
          <cell r="F216">
            <v>5170000</v>
          </cell>
          <cell r="G216">
            <v>0</v>
          </cell>
          <cell r="H216">
            <v>0</v>
          </cell>
        </row>
        <row r="217">
          <cell r="B217">
            <v>7350211404250</v>
          </cell>
          <cell r="D217">
            <v>1336494692</v>
          </cell>
          <cell r="E217">
            <v>0</v>
          </cell>
          <cell r="F217">
            <v>1336494692</v>
          </cell>
          <cell r="G217">
            <v>0</v>
          </cell>
          <cell r="H217">
            <v>0</v>
          </cell>
        </row>
        <row r="218">
          <cell r="B218">
            <v>7350211604120</v>
          </cell>
          <cell r="D218">
            <v>74675110</v>
          </cell>
          <cell r="E218">
            <v>0</v>
          </cell>
          <cell r="F218">
            <v>74675110</v>
          </cell>
          <cell r="G218">
            <v>0</v>
          </cell>
          <cell r="H218">
            <v>0</v>
          </cell>
        </row>
        <row r="219">
          <cell r="B219">
            <v>7350211604131</v>
          </cell>
          <cell r="D219">
            <v>411296</v>
          </cell>
          <cell r="E219">
            <v>0</v>
          </cell>
          <cell r="F219">
            <v>411296</v>
          </cell>
          <cell r="G219">
            <v>0</v>
          </cell>
          <cell r="H219">
            <v>0</v>
          </cell>
        </row>
        <row r="220">
          <cell r="B220">
            <v>7350211604251</v>
          </cell>
          <cell r="D220">
            <v>5135624</v>
          </cell>
          <cell r="E220">
            <v>0</v>
          </cell>
          <cell r="F220">
            <v>5135624</v>
          </cell>
          <cell r="G220">
            <v>0</v>
          </cell>
          <cell r="H220">
            <v>0</v>
          </cell>
        </row>
        <row r="221">
          <cell r="B221">
            <v>7350211704120</v>
          </cell>
          <cell r="D221">
            <v>2129250282</v>
          </cell>
          <cell r="E221">
            <v>0</v>
          </cell>
          <cell r="F221">
            <v>2129250282</v>
          </cell>
          <cell r="G221">
            <v>0</v>
          </cell>
          <cell r="H221">
            <v>0</v>
          </cell>
        </row>
        <row r="222">
          <cell r="B222">
            <v>7350211704131</v>
          </cell>
          <cell r="D222">
            <v>4759699425</v>
          </cell>
          <cell r="E222">
            <v>0</v>
          </cell>
          <cell r="F222">
            <v>4759699425</v>
          </cell>
          <cell r="G222">
            <v>0</v>
          </cell>
          <cell r="H222">
            <v>0</v>
          </cell>
        </row>
        <row r="223">
          <cell r="B223">
            <v>7350211704132</v>
          </cell>
          <cell r="D223">
            <v>1677654224</v>
          </cell>
          <cell r="E223">
            <v>0</v>
          </cell>
          <cell r="F223">
            <v>1677654224</v>
          </cell>
          <cell r="G223">
            <v>0</v>
          </cell>
          <cell r="H223">
            <v>0</v>
          </cell>
        </row>
        <row r="224">
          <cell r="B224">
            <v>7350211704133</v>
          </cell>
          <cell r="D224">
            <v>319967935</v>
          </cell>
          <cell r="E224">
            <v>0</v>
          </cell>
          <cell r="F224">
            <v>319967935</v>
          </cell>
          <cell r="G224">
            <v>0</v>
          </cell>
          <cell r="H224">
            <v>0</v>
          </cell>
        </row>
        <row r="225">
          <cell r="B225">
            <v>7350211704134</v>
          </cell>
          <cell r="D225">
            <v>792260250</v>
          </cell>
          <cell r="E225">
            <v>0</v>
          </cell>
          <cell r="F225">
            <v>792260250</v>
          </cell>
          <cell r="G225">
            <v>0</v>
          </cell>
          <cell r="H225">
            <v>0</v>
          </cell>
        </row>
        <row r="226">
          <cell r="B226">
            <v>7350211704135</v>
          </cell>
          <cell r="D226">
            <v>88545283</v>
          </cell>
          <cell r="E226">
            <v>0</v>
          </cell>
          <cell r="F226">
            <v>88545283</v>
          </cell>
          <cell r="G226">
            <v>0</v>
          </cell>
          <cell r="H226">
            <v>0</v>
          </cell>
        </row>
        <row r="227">
          <cell r="B227">
            <v>7350211704136</v>
          </cell>
          <cell r="D227">
            <v>131618446</v>
          </cell>
          <cell r="E227">
            <v>0</v>
          </cell>
          <cell r="F227">
            <v>131618446</v>
          </cell>
          <cell r="G227">
            <v>0</v>
          </cell>
          <cell r="H227">
            <v>0</v>
          </cell>
        </row>
        <row r="228">
          <cell r="B228">
            <v>7350211704230</v>
          </cell>
          <cell r="D228">
            <v>128694289</v>
          </cell>
          <cell r="E228">
            <v>0</v>
          </cell>
          <cell r="F228">
            <v>128694289</v>
          </cell>
          <cell r="G228">
            <v>0</v>
          </cell>
          <cell r="H228">
            <v>0</v>
          </cell>
        </row>
        <row r="229">
          <cell r="B229">
            <v>7350211704250</v>
          </cell>
          <cell r="D229">
            <v>754616108</v>
          </cell>
          <cell r="E229">
            <v>0</v>
          </cell>
          <cell r="F229">
            <v>754616108</v>
          </cell>
          <cell r="G229">
            <v>0</v>
          </cell>
          <cell r="H229">
            <v>0</v>
          </cell>
        </row>
        <row r="230">
          <cell r="B230">
            <v>7350310104120</v>
          </cell>
          <cell r="D230">
            <v>26667035</v>
          </cell>
          <cell r="E230">
            <v>0</v>
          </cell>
          <cell r="F230">
            <v>26667035</v>
          </cell>
          <cell r="G230">
            <v>0</v>
          </cell>
          <cell r="H230">
            <v>0</v>
          </cell>
        </row>
        <row r="231">
          <cell r="B231">
            <v>7350310104131</v>
          </cell>
          <cell r="D231">
            <v>193993027</v>
          </cell>
          <cell r="E231">
            <v>0</v>
          </cell>
          <cell r="F231">
            <v>193993027</v>
          </cell>
          <cell r="G231">
            <v>0</v>
          </cell>
          <cell r="H231">
            <v>0</v>
          </cell>
        </row>
        <row r="232">
          <cell r="B232">
            <v>7350310104132</v>
          </cell>
          <cell r="D232">
            <v>155038119</v>
          </cell>
          <cell r="E232">
            <v>0</v>
          </cell>
          <cell r="F232">
            <v>155038119</v>
          </cell>
          <cell r="G232">
            <v>0</v>
          </cell>
          <cell r="H232">
            <v>0</v>
          </cell>
        </row>
        <row r="233">
          <cell r="B233">
            <v>7350310104250</v>
          </cell>
          <cell r="D233">
            <v>266736220</v>
          </cell>
          <cell r="E233">
            <v>0</v>
          </cell>
          <cell r="F233">
            <v>266736220</v>
          </cell>
          <cell r="G233">
            <v>0</v>
          </cell>
          <cell r="H233">
            <v>0</v>
          </cell>
        </row>
        <row r="234">
          <cell r="B234">
            <v>7350310204120</v>
          </cell>
          <cell r="D234">
            <v>107665509</v>
          </cell>
          <cell r="E234">
            <v>0</v>
          </cell>
          <cell r="F234">
            <v>107665509</v>
          </cell>
          <cell r="G234">
            <v>0</v>
          </cell>
          <cell r="H234">
            <v>0</v>
          </cell>
        </row>
        <row r="235">
          <cell r="B235">
            <v>7350310204131</v>
          </cell>
          <cell r="D235">
            <v>32445299</v>
          </cell>
          <cell r="E235">
            <v>0</v>
          </cell>
          <cell r="F235">
            <v>32445299</v>
          </cell>
          <cell r="G235">
            <v>0</v>
          </cell>
          <cell r="H235">
            <v>0</v>
          </cell>
        </row>
        <row r="236">
          <cell r="B236">
            <v>7350310204132</v>
          </cell>
          <cell r="D236">
            <v>110191560</v>
          </cell>
          <cell r="E236">
            <v>0</v>
          </cell>
          <cell r="F236">
            <v>110191560</v>
          </cell>
          <cell r="G236">
            <v>0</v>
          </cell>
          <cell r="H236">
            <v>0</v>
          </cell>
        </row>
        <row r="237">
          <cell r="B237">
            <v>7350310204133</v>
          </cell>
          <cell r="D237">
            <v>50649780</v>
          </cell>
          <cell r="E237">
            <v>0</v>
          </cell>
          <cell r="F237">
            <v>50649780</v>
          </cell>
          <cell r="G237">
            <v>0</v>
          </cell>
          <cell r="H237">
            <v>0</v>
          </cell>
        </row>
        <row r="238">
          <cell r="B238">
            <v>7350310204136</v>
          </cell>
          <cell r="D238">
            <v>70214100</v>
          </cell>
          <cell r="E238">
            <v>0</v>
          </cell>
          <cell r="F238">
            <v>70214100</v>
          </cell>
          <cell r="G238">
            <v>0</v>
          </cell>
          <cell r="H238">
            <v>0</v>
          </cell>
        </row>
        <row r="239">
          <cell r="B239">
            <v>7350310204250</v>
          </cell>
          <cell r="D239">
            <v>440941417</v>
          </cell>
          <cell r="E239">
            <v>0</v>
          </cell>
          <cell r="F239">
            <v>440941417</v>
          </cell>
          <cell r="G239">
            <v>0</v>
          </cell>
          <cell r="H239">
            <v>0</v>
          </cell>
        </row>
        <row r="240">
          <cell r="B240">
            <v>7350310204300</v>
          </cell>
          <cell r="D240">
            <v>1950009</v>
          </cell>
          <cell r="E240">
            <v>0</v>
          </cell>
          <cell r="F240">
            <v>1950009</v>
          </cell>
          <cell r="G240">
            <v>0</v>
          </cell>
          <cell r="H240">
            <v>0</v>
          </cell>
        </row>
        <row r="241">
          <cell r="B241">
            <v>7350310304131</v>
          </cell>
          <cell r="D241">
            <v>4860000</v>
          </cell>
          <cell r="E241">
            <v>0</v>
          </cell>
          <cell r="F241">
            <v>4860000</v>
          </cell>
          <cell r="G241">
            <v>0</v>
          </cell>
          <cell r="H241">
            <v>0</v>
          </cell>
        </row>
        <row r="242">
          <cell r="B242">
            <v>7350310304250</v>
          </cell>
          <cell r="D242">
            <v>233874812</v>
          </cell>
          <cell r="E242">
            <v>0</v>
          </cell>
          <cell r="F242">
            <v>233874812</v>
          </cell>
          <cell r="G242">
            <v>0</v>
          </cell>
          <cell r="H242">
            <v>0</v>
          </cell>
        </row>
        <row r="243">
          <cell r="B243">
            <v>7350310304251</v>
          </cell>
          <cell r="D243">
            <v>239713301</v>
          </cell>
          <cell r="E243">
            <v>0</v>
          </cell>
          <cell r="F243">
            <v>239713301</v>
          </cell>
          <cell r="G243">
            <v>0</v>
          </cell>
          <cell r="H243">
            <v>0</v>
          </cell>
        </row>
        <row r="244">
          <cell r="B244">
            <v>7350310304270</v>
          </cell>
          <cell r="D244">
            <v>7650000</v>
          </cell>
          <cell r="E244">
            <v>0</v>
          </cell>
          <cell r="F244">
            <v>7650000</v>
          </cell>
          <cell r="G244">
            <v>0</v>
          </cell>
          <cell r="H244">
            <v>0</v>
          </cell>
        </row>
        <row r="245">
          <cell r="B245">
            <v>7350310304300</v>
          </cell>
          <cell r="D245">
            <v>2300000</v>
          </cell>
          <cell r="E245">
            <v>0</v>
          </cell>
          <cell r="F245">
            <v>2300000</v>
          </cell>
          <cell r="G245">
            <v>0</v>
          </cell>
          <cell r="H245">
            <v>0</v>
          </cell>
        </row>
        <row r="246">
          <cell r="B246">
            <v>7350310404120</v>
          </cell>
          <cell r="D246">
            <v>198308281</v>
          </cell>
          <cell r="E246">
            <v>0</v>
          </cell>
          <cell r="F246">
            <v>198308281</v>
          </cell>
          <cell r="G246">
            <v>0</v>
          </cell>
          <cell r="H246">
            <v>0</v>
          </cell>
        </row>
        <row r="247">
          <cell r="B247">
            <v>7350310404131</v>
          </cell>
          <cell r="D247">
            <v>35108487</v>
          </cell>
          <cell r="E247">
            <v>0</v>
          </cell>
          <cell r="F247">
            <v>35108487</v>
          </cell>
          <cell r="G247">
            <v>0</v>
          </cell>
          <cell r="H247">
            <v>0</v>
          </cell>
        </row>
        <row r="248">
          <cell r="B248">
            <v>7350310404132</v>
          </cell>
          <cell r="D248">
            <v>16046630</v>
          </cell>
          <cell r="E248">
            <v>0</v>
          </cell>
          <cell r="F248">
            <v>16046630</v>
          </cell>
          <cell r="G248">
            <v>0</v>
          </cell>
          <cell r="H248">
            <v>0</v>
          </cell>
        </row>
        <row r="249">
          <cell r="B249">
            <v>7350310404250</v>
          </cell>
          <cell r="D249">
            <v>114134572</v>
          </cell>
          <cell r="E249">
            <v>0</v>
          </cell>
          <cell r="F249">
            <v>114134572</v>
          </cell>
          <cell r="G249">
            <v>0</v>
          </cell>
          <cell r="H249">
            <v>0</v>
          </cell>
        </row>
        <row r="250">
          <cell r="B250">
            <v>7350310404270</v>
          </cell>
          <cell r="D250">
            <v>6750000</v>
          </cell>
          <cell r="E250">
            <v>0</v>
          </cell>
          <cell r="F250">
            <v>6750000</v>
          </cell>
          <cell r="G250">
            <v>0</v>
          </cell>
          <cell r="H250">
            <v>0</v>
          </cell>
        </row>
        <row r="251">
          <cell r="B251">
            <v>7350310704250</v>
          </cell>
          <cell r="D251">
            <v>104470000</v>
          </cell>
          <cell r="E251">
            <v>0</v>
          </cell>
          <cell r="F251">
            <v>104470000</v>
          </cell>
          <cell r="G251">
            <v>0</v>
          </cell>
          <cell r="H251">
            <v>0</v>
          </cell>
        </row>
        <row r="252">
          <cell r="B252">
            <v>7350310804132</v>
          </cell>
          <cell r="D252">
            <v>1997500</v>
          </cell>
          <cell r="E252">
            <v>0</v>
          </cell>
          <cell r="F252">
            <v>1997500</v>
          </cell>
          <cell r="G252">
            <v>0</v>
          </cell>
          <cell r="H252">
            <v>0</v>
          </cell>
        </row>
        <row r="253">
          <cell r="B253">
            <v>7350310804250</v>
          </cell>
          <cell r="D253">
            <v>109283760</v>
          </cell>
          <cell r="E253">
            <v>0</v>
          </cell>
          <cell r="F253">
            <v>109283760</v>
          </cell>
          <cell r="G253">
            <v>0</v>
          </cell>
          <cell r="H253">
            <v>0</v>
          </cell>
        </row>
        <row r="254">
          <cell r="B254">
            <v>7350310804251</v>
          </cell>
          <cell r="D254">
            <v>304775700</v>
          </cell>
          <cell r="E254">
            <v>0</v>
          </cell>
          <cell r="F254">
            <v>304775700</v>
          </cell>
          <cell r="G254">
            <v>0</v>
          </cell>
          <cell r="H254">
            <v>0</v>
          </cell>
        </row>
        <row r="255">
          <cell r="B255">
            <v>7350310904120</v>
          </cell>
          <cell r="D255">
            <v>169818516</v>
          </cell>
          <cell r="E255">
            <v>0</v>
          </cell>
          <cell r="F255">
            <v>169818516</v>
          </cell>
          <cell r="G255">
            <v>0</v>
          </cell>
          <cell r="H255">
            <v>0</v>
          </cell>
        </row>
        <row r="256">
          <cell r="B256">
            <v>7350310904131</v>
          </cell>
          <cell r="D256">
            <v>108904350</v>
          </cell>
          <cell r="E256">
            <v>0</v>
          </cell>
          <cell r="F256">
            <v>108904350</v>
          </cell>
          <cell r="G256">
            <v>0</v>
          </cell>
          <cell r="H256">
            <v>0</v>
          </cell>
        </row>
        <row r="257">
          <cell r="B257">
            <v>7350310904132</v>
          </cell>
          <cell r="D257">
            <v>83485909</v>
          </cell>
          <cell r="E257">
            <v>0</v>
          </cell>
          <cell r="F257">
            <v>83485909</v>
          </cell>
          <cell r="G257">
            <v>0</v>
          </cell>
          <cell r="H257">
            <v>0</v>
          </cell>
        </row>
        <row r="258">
          <cell r="B258">
            <v>7350310904133</v>
          </cell>
          <cell r="D258">
            <v>7085903</v>
          </cell>
          <cell r="E258">
            <v>0</v>
          </cell>
          <cell r="F258">
            <v>7085903</v>
          </cell>
          <cell r="G258">
            <v>0</v>
          </cell>
          <cell r="H258">
            <v>0</v>
          </cell>
        </row>
        <row r="259">
          <cell r="B259">
            <v>7350310904134</v>
          </cell>
          <cell r="D259">
            <v>3524772</v>
          </cell>
          <cell r="E259">
            <v>0</v>
          </cell>
          <cell r="F259">
            <v>3524772</v>
          </cell>
          <cell r="G259">
            <v>0</v>
          </cell>
          <cell r="H259">
            <v>0</v>
          </cell>
        </row>
        <row r="260">
          <cell r="B260">
            <v>7350310904135</v>
          </cell>
          <cell r="D260">
            <v>3069672</v>
          </cell>
          <cell r="E260">
            <v>0</v>
          </cell>
          <cell r="F260">
            <v>3069672</v>
          </cell>
          <cell r="G260">
            <v>0</v>
          </cell>
          <cell r="H260">
            <v>0</v>
          </cell>
        </row>
        <row r="261">
          <cell r="B261">
            <v>7350310904136</v>
          </cell>
          <cell r="D261">
            <v>1129669</v>
          </cell>
          <cell r="E261">
            <v>0</v>
          </cell>
          <cell r="F261">
            <v>1129669</v>
          </cell>
          <cell r="G261">
            <v>0</v>
          </cell>
          <cell r="H261">
            <v>0</v>
          </cell>
        </row>
        <row r="262">
          <cell r="B262">
            <v>7350310904230</v>
          </cell>
          <cell r="D262">
            <v>260108</v>
          </cell>
          <cell r="E262">
            <v>0</v>
          </cell>
          <cell r="F262">
            <v>260108</v>
          </cell>
          <cell r="G262">
            <v>0</v>
          </cell>
          <cell r="H262">
            <v>0</v>
          </cell>
        </row>
        <row r="263">
          <cell r="B263">
            <v>7350310904250</v>
          </cell>
          <cell r="D263">
            <v>124522950</v>
          </cell>
          <cell r="E263">
            <v>0</v>
          </cell>
          <cell r="F263">
            <v>124522950</v>
          </cell>
          <cell r="G263">
            <v>0</v>
          </cell>
          <cell r="H263">
            <v>0</v>
          </cell>
        </row>
        <row r="264">
          <cell r="B264">
            <v>7350310904251</v>
          </cell>
          <cell r="D264">
            <v>43198123</v>
          </cell>
          <cell r="E264">
            <v>0</v>
          </cell>
          <cell r="F264">
            <v>43198123</v>
          </cell>
          <cell r="G264">
            <v>0</v>
          </cell>
          <cell r="H264">
            <v>0</v>
          </cell>
        </row>
        <row r="265">
          <cell r="B265">
            <v>7350310904300</v>
          </cell>
          <cell r="D265">
            <v>17782099</v>
          </cell>
          <cell r="E265">
            <v>0</v>
          </cell>
          <cell r="F265">
            <v>17782099</v>
          </cell>
          <cell r="G265">
            <v>0</v>
          </cell>
          <cell r="H265">
            <v>0</v>
          </cell>
        </row>
        <row r="266">
          <cell r="B266">
            <v>7350319904133</v>
          </cell>
          <cell r="D266">
            <v>148960000</v>
          </cell>
          <cell r="E266">
            <v>0</v>
          </cell>
          <cell r="F266">
            <v>148960000</v>
          </cell>
          <cell r="G266">
            <v>0</v>
          </cell>
          <cell r="H266">
            <v>0</v>
          </cell>
        </row>
        <row r="267">
          <cell r="B267">
            <v>7350319904251</v>
          </cell>
          <cell r="D267">
            <v>702935616</v>
          </cell>
          <cell r="E267">
            <v>0</v>
          </cell>
          <cell r="F267">
            <v>702935616</v>
          </cell>
          <cell r="G267">
            <v>0</v>
          </cell>
          <cell r="H267">
            <v>0</v>
          </cell>
        </row>
        <row r="268">
          <cell r="B268">
            <v>7351011104230</v>
          </cell>
          <cell r="D268">
            <v>2837027126</v>
          </cell>
          <cell r="E268">
            <v>0</v>
          </cell>
          <cell r="F268">
            <v>2837027126</v>
          </cell>
          <cell r="G268">
            <v>0</v>
          </cell>
          <cell r="H268">
            <v>1827048390</v>
          </cell>
        </row>
        <row r="269">
          <cell r="B269">
            <v>7351011104250</v>
          </cell>
          <cell r="D269">
            <v>2183708303</v>
          </cell>
          <cell r="E269">
            <v>0</v>
          </cell>
          <cell r="F269">
            <v>2183708303</v>
          </cell>
          <cell r="G269">
            <v>0</v>
          </cell>
          <cell r="H269">
            <v>2233057635</v>
          </cell>
        </row>
        <row r="270">
          <cell r="B270">
            <v>7351011104260</v>
          </cell>
          <cell r="D270">
            <v>5092392252</v>
          </cell>
          <cell r="E270">
            <v>0</v>
          </cell>
          <cell r="F270">
            <v>5092392252</v>
          </cell>
          <cell r="G270">
            <v>0</v>
          </cell>
          <cell r="H270">
            <v>3857102760</v>
          </cell>
        </row>
        <row r="271">
          <cell r="B271">
            <v>7351011104270</v>
          </cell>
          <cell r="D271">
            <v>2131301206</v>
          </cell>
          <cell r="E271">
            <v>0</v>
          </cell>
          <cell r="F271">
            <v>2131301206</v>
          </cell>
          <cell r="G271">
            <v>0</v>
          </cell>
          <cell r="H271">
            <v>1827048390</v>
          </cell>
        </row>
        <row r="272">
          <cell r="B272">
            <v>7351011104280</v>
          </cell>
          <cell r="D272">
            <v>2697941475</v>
          </cell>
          <cell r="E272">
            <v>0</v>
          </cell>
          <cell r="F272">
            <v>2697941475</v>
          </cell>
          <cell r="G272">
            <v>0</v>
          </cell>
          <cell r="H272">
            <v>2233057635</v>
          </cell>
        </row>
        <row r="273">
          <cell r="B273">
            <v>7351011104290</v>
          </cell>
          <cell r="D273">
            <v>6034521907</v>
          </cell>
          <cell r="E273">
            <v>0</v>
          </cell>
          <cell r="F273">
            <v>6034521907</v>
          </cell>
          <cell r="G273">
            <v>0</v>
          </cell>
          <cell r="H273">
            <v>6034521900</v>
          </cell>
        </row>
        <row r="274">
          <cell r="B274">
            <v>7351020104230</v>
          </cell>
          <cell r="D274">
            <v>762335304</v>
          </cell>
          <cell r="E274">
            <v>0</v>
          </cell>
          <cell r="F274">
            <v>762335304</v>
          </cell>
          <cell r="G274">
            <v>0</v>
          </cell>
          <cell r="H274">
            <v>146163871</v>
          </cell>
        </row>
        <row r="275">
          <cell r="B275">
            <v>7351020104250</v>
          </cell>
          <cell r="D275">
            <v>241811768</v>
          </cell>
          <cell r="E275">
            <v>0</v>
          </cell>
          <cell r="F275">
            <v>241811768</v>
          </cell>
          <cell r="G275">
            <v>0</v>
          </cell>
          <cell r="H275">
            <v>178644611</v>
          </cell>
        </row>
        <row r="276">
          <cell r="B276">
            <v>7351020104260</v>
          </cell>
          <cell r="D276">
            <v>847989076</v>
          </cell>
          <cell r="E276">
            <v>0</v>
          </cell>
          <cell r="F276">
            <v>847989076</v>
          </cell>
          <cell r="G276">
            <v>0</v>
          </cell>
          <cell r="H276">
            <v>308568221</v>
          </cell>
        </row>
        <row r="277">
          <cell r="B277">
            <v>7351020104270</v>
          </cell>
          <cell r="D277">
            <v>699801525</v>
          </cell>
          <cell r="E277">
            <v>0</v>
          </cell>
          <cell r="F277">
            <v>699801525</v>
          </cell>
          <cell r="G277">
            <v>0</v>
          </cell>
          <cell r="H277">
            <v>146163871</v>
          </cell>
        </row>
        <row r="278">
          <cell r="B278">
            <v>7351020104280</v>
          </cell>
          <cell r="D278">
            <v>427296523</v>
          </cell>
          <cell r="E278">
            <v>0</v>
          </cell>
          <cell r="F278">
            <v>427296523</v>
          </cell>
          <cell r="G278">
            <v>0</v>
          </cell>
          <cell r="H278">
            <v>178644611</v>
          </cell>
        </row>
        <row r="279">
          <cell r="B279">
            <v>7351020104290</v>
          </cell>
          <cell r="D279">
            <v>434384100</v>
          </cell>
          <cell r="E279">
            <v>0</v>
          </cell>
          <cell r="F279">
            <v>434384100</v>
          </cell>
          <cell r="G279">
            <v>0</v>
          </cell>
          <cell r="H279">
            <v>482761752</v>
          </cell>
        </row>
        <row r="280">
          <cell r="B280">
            <v>7351040104230</v>
          </cell>
          <cell r="D280">
            <v>973528182</v>
          </cell>
          <cell r="E280">
            <v>15702066</v>
          </cell>
          <cell r="F280">
            <v>957826116</v>
          </cell>
          <cell r="G280">
            <v>0</v>
          </cell>
          <cell r="H280">
            <v>609016130</v>
          </cell>
        </row>
        <row r="281">
          <cell r="B281">
            <v>7351040104250</v>
          </cell>
          <cell r="D281">
            <v>764914770</v>
          </cell>
          <cell r="E281">
            <v>12337335</v>
          </cell>
          <cell r="F281">
            <v>752577435</v>
          </cell>
          <cell r="G281">
            <v>0</v>
          </cell>
          <cell r="H281">
            <v>744352545</v>
          </cell>
        </row>
        <row r="282">
          <cell r="B282">
            <v>7351040104260</v>
          </cell>
          <cell r="D282">
            <v>1753960008</v>
          </cell>
          <cell r="E282">
            <v>28289679</v>
          </cell>
          <cell r="F282">
            <v>1725670329</v>
          </cell>
          <cell r="G282">
            <v>0</v>
          </cell>
          <cell r="H282">
            <v>1285700920</v>
          </cell>
        </row>
        <row r="283">
          <cell r="B283">
            <v>7351040104270</v>
          </cell>
          <cell r="D283">
            <v>780431820</v>
          </cell>
          <cell r="E283">
            <v>12587610</v>
          </cell>
          <cell r="F283">
            <v>767844210</v>
          </cell>
          <cell r="G283">
            <v>0</v>
          </cell>
          <cell r="H283">
            <v>609016130</v>
          </cell>
        </row>
        <row r="284">
          <cell r="B284">
            <v>7351040104280</v>
          </cell>
          <cell r="D284">
            <v>926269770</v>
          </cell>
          <cell r="E284">
            <v>14939835</v>
          </cell>
          <cell r="F284">
            <v>911329935</v>
          </cell>
          <cell r="G284">
            <v>0</v>
          </cell>
          <cell r="H284">
            <v>744352545</v>
          </cell>
        </row>
        <row r="285">
          <cell r="B285">
            <v>7351040104290</v>
          </cell>
          <cell r="D285">
            <v>2067073800</v>
          </cell>
          <cell r="E285">
            <v>33339900</v>
          </cell>
          <cell r="F285">
            <v>2033733900</v>
          </cell>
          <cell r="G285">
            <v>0</v>
          </cell>
          <cell r="H285">
            <v>2011507300</v>
          </cell>
        </row>
        <row r="286">
          <cell r="B286">
            <v>7351131104120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1080000000</v>
          </cell>
        </row>
        <row r="287">
          <cell r="B287">
            <v>7351131104131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360000000</v>
          </cell>
        </row>
        <row r="288">
          <cell r="B288">
            <v>7351131104133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360000000</v>
          </cell>
        </row>
        <row r="289">
          <cell r="B289">
            <v>7351131104134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240000000</v>
          </cell>
        </row>
        <row r="290">
          <cell r="B290">
            <v>7351131104135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300000000</v>
          </cell>
        </row>
        <row r="291">
          <cell r="B291">
            <v>7351131104230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120000000</v>
          </cell>
        </row>
        <row r="292">
          <cell r="B292">
            <v>7351131104250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120000000</v>
          </cell>
        </row>
        <row r="293">
          <cell r="B293">
            <v>7351131104260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240000000</v>
          </cell>
        </row>
        <row r="294">
          <cell r="B294">
            <v>7351131104270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120000000</v>
          </cell>
        </row>
        <row r="295">
          <cell r="B295">
            <v>7351131104280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120000000</v>
          </cell>
        </row>
        <row r="296">
          <cell r="B296">
            <v>7351131104290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300000000</v>
          </cell>
        </row>
        <row r="297">
          <cell r="B297">
            <v>7351131504120</v>
          </cell>
          <cell r="D297">
            <v>19382595</v>
          </cell>
          <cell r="E297">
            <v>0</v>
          </cell>
          <cell r="F297">
            <v>19382595</v>
          </cell>
          <cell r="G297">
            <v>0</v>
          </cell>
          <cell r="H297">
            <v>331200000</v>
          </cell>
        </row>
        <row r="298">
          <cell r="B298">
            <v>7351131504131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165600000</v>
          </cell>
        </row>
        <row r="299">
          <cell r="B299">
            <v>7351131504133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165600000</v>
          </cell>
        </row>
        <row r="300">
          <cell r="B300">
            <v>7351131504134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110400000</v>
          </cell>
        </row>
        <row r="301">
          <cell r="B301">
            <v>7351131504135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138000000</v>
          </cell>
        </row>
        <row r="302">
          <cell r="B302">
            <v>7351131504230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55200000</v>
          </cell>
        </row>
        <row r="303">
          <cell r="B303">
            <v>7351131504250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55200000</v>
          </cell>
        </row>
        <row r="304">
          <cell r="B304">
            <v>7351131504260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110400000</v>
          </cell>
        </row>
        <row r="305">
          <cell r="B305">
            <v>7351131504270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55200000</v>
          </cell>
        </row>
        <row r="306">
          <cell r="B306">
            <v>7351131504280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55200000</v>
          </cell>
        </row>
        <row r="307">
          <cell r="B307">
            <v>7351131504290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138000000</v>
          </cell>
        </row>
        <row r="308">
          <cell r="B308">
            <v>7351210104230</v>
          </cell>
          <cell r="D308">
            <v>540804600</v>
          </cell>
          <cell r="E308">
            <v>0</v>
          </cell>
          <cell r="F308">
            <v>540804600</v>
          </cell>
          <cell r="G308">
            <v>0</v>
          </cell>
          <cell r="H308">
            <v>380160000</v>
          </cell>
        </row>
        <row r="309">
          <cell r="B309">
            <v>7351210104250</v>
          </cell>
          <cell r="D309">
            <v>350821950</v>
          </cell>
          <cell r="E309">
            <v>0</v>
          </cell>
          <cell r="F309">
            <v>350821950</v>
          </cell>
          <cell r="G309">
            <v>0</v>
          </cell>
          <cell r="H309">
            <v>380160000</v>
          </cell>
        </row>
        <row r="310">
          <cell r="B310">
            <v>7351210104260</v>
          </cell>
          <cell r="D310">
            <v>893629529</v>
          </cell>
          <cell r="E310">
            <v>0</v>
          </cell>
          <cell r="F310">
            <v>893629529</v>
          </cell>
          <cell r="G310">
            <v>0</v>
          </cell>
          <cell r="H310">
            <v>760320000</v>
          </cell>
        </row>
        <row r="311">
          <cell r="B311">
            <v>7351210104270</v>
          </cell>
          <cell r="D311">
            <v>335198706</v>
          </cell>
          <cell r="E311">
            <v>0</v>
          </cell>
          <cell r="F311">
            <v>335198706</v>
          </cell>
          <cell r="G311">
            <v>0</v>
          </cell>
          <cell r="H311">
            <v>380160000</v>
          </cell>
        </row>
        <row r="312">
          <cell r="B312">
            <v>7351210104280</v>
          </cell>
          <cell r="D312">
            <v>491253756</v>
          </cell>
          <cell r="E312">
            <v>0</v>
          </cell>
          <cell r="F312">
            <v>491253756</v>
          </cell>
          <cell r="G312">
            <v>0</v>
          </cell>
          <cell r="H312">
            <v>380160000</v>
          </cell>
        </row>
        <row r="313">
          <cell r="B313">
            <v>7351210104290</v>
          </cell>
          <cell r="D313">
            <v>896555563</v>
          </cell>
          <cell r="E313">
            <v>0</v>
          </cell>
          <cell r="F313">
            <v>896555563</v>
          </cell>
          <cell r="G313">
            <v>0</v>
          </cell>
          <cell r="H313">
            <v>950400000</v>
          </cell>
        </row>
        <row r="314">
          <cell r="B314">
            <v>7351240104136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>
            <v>7351240104230</v>
          </cell>
          <cell r="D315">
            <v>146661740</v>
          </cell>
          <cell r="E315">
            <v>0</v>
          </cell>
          <cell r="F315">
            <v>146661740</v>
          </cell>
          <cell r="G315">
            <v>0</v>
          </cell>
          <cell r="H315">
            <v>59196367</v>
          </cell>
        </row>
        <row r="316">
          <cell r="B316">
            <v>7351240104250</v>
          </cell>
          <cell r="D316">
            <v>72765594</v>
          </cell>
          <cell r="E316">
            <v>0</v>
          </cell>
          <cell r="F316">
            <v>72765594</v>
          </cell>
          <cell r="G316">
            <v>0</v>
          </cell>
          <cell r="H316">
            <v>72351067</v>
          </cell>
        </row>
        <row r="317">
          <cell r="B317">
            <v>7351240104260</v>
          </cell>
          <cell r="D317">
            <v>178211426</v>
          </cell>
          <cell r="E317">
            <v>0</v>
          </cell>
          <cell r="F317">
            <v>178211426</v>
          </cell>
          <cell r="G317">
            <v>0</v>
          </cell>
          <cell r="H317">
            <v>124970130</v>
          </cell>
        </row>
        <row r="318">
          <cell r="B318">
            <v>7351240104270</v>
          </cell>
          <cell r="D318">
            <v>84933075</v>
          </cell>
          <cell r="E318">
            <v>0</v>
          </cell>
          <cell r="F318">
            <v>84933075</v>
          </cell>
          <cell r="G318">
            <v>0</v>
          </cell>
          <cell r="H318">
            <v>59196367</v>
          </cell>
        </row>
        <row r="319">
          <cell r="B319">
            <v>7351240104280</v>
          </cell>
          <cell r="D319">
            <v>93757130</v>
          </cell>
          <cell r="E319">
            <v>0</v>
          </cell>
          <cell r="F319">
            <v>93757130</v>
          </cell>
          <cell r="G319">
            <v>0</v>
          </cell>
          <cell r="H319">
            <v>72351067</v>
          </cell>
        </row>
        <row r="320">
          <cell r="B320">
            <v>7351240104290</v>
          </cell>
          <cell r="D320">
            <v>194067169</v>
          </cell>
          <cell r="E320">
            <v>0</v>
          </cell>
          <cell r="F320">
            <v>194067169</v>
          </cell>
          <cell r="G320">
            <v>0</v>
          </cell>
          <cell r="H320">
            <v>195518511</v>
          </cell>
        </row>
        <row r="321">
          <cell r="B321">
            <v>7351320104120</v>
          </cell>
          <cell r="D321">
            <v>2503909988</v>
          </cell>
          <cell r="E321">
            <v>0</v>
          </cell>
          <cell r="F321">
            <v>2503909988</v>
          </cell>
          <cell r="G321">
            <v>0</v>
          </cell>
          <cell r="H321">
            <v>2808000000</v>
          </cell>
        </row>
        <row r="322">
          <cell r="B322">
            <v>7351320104131</v>
          </cell>
          <cell r="D322">
            <v>652645292</v>
          </cell>
          <cell r="E322">
            <v>0</v>
          </cell>
          <cell r="F322">
            <v>652645292</v>
          </cell>
          <cell r="G322">
            <v>0</v>
          </cell>
          <cell r="H322">
            <v>936000000</v>
          </cell>
        </row>
        <row r="323">
          <cell r="B323">
            <v>7351320104132</v>
          </cell>
          <cell r="D323">
            <v>211049398</v>
          </cell>
          <cell r="E323">
            <v>0</v>
          </cell>
          <cell r="F323">
            <v>211049398</v>
          </cell>
          <cell r="G323">
            <v>0</v>
          </cell>
          <cell r="H323">
            <v>0</v>
          </cell>
        </row>
        <row r="324">
          <cell r="B324">
            <v>7351320104133</v>
          </cell>
          <cell r="D324">
            <v>575796460</v>
          </cell>
          <cell r="E324">
            <v>0</v>
          </cell>
          <cell r="F324">
            <v>575796460</v>
          </cell>
          <cell r="G324">
            <v>0</v>
          </cell>
          <cell r="H324">
            <v>936000000</v>
          </cell>
        </row>
        <row r="325">
          <cell r="B325">
            <v>7351320104134</v>
          </cell>
          <cell r="D325">
            <v>531062938</v>
          </cell>
          <cell r="E325">
            <v>0</v>
          </cell>
          <cell r="F325">
            <v>531062938</v>
          </cell>
          <cell r="G325">
            <v>0</v>
          </cell>
          <cell r="H325">
            <v>624000000</v>
          </cell>
        </row>
        <row r="326">
          <cell r="B326">
            <v>7351320104135</v>
          </cell>
          <cell r="D326">
            <v>379658236</v>
          </cell>
          <cell r="E326">
            <v>0</v>
          </cell>
          <cell r="F326">
            <v>379658236</v>
          </cell>
          <cell r="G326">
            <v>0</v>
          </cell>
          <cell r="H326">
            <v>780000000</v>
          </cell>
        </row>
        <row r="327">
          <cell r="B327">
            <v>7351320104230</v>
          </cell>
          <cell r="D327">
            <v>424391758</v>
          </cell>
          <cell r="E327">
            <v>0</v>
          </cell>
          <cell r="F327">
            <v>424391758</v>
          </cell>
          <cell r="G327">
            <v>0</v>
          </cell>
          <cell r="H327">
            <v>312000000</v>
          </cell>
        </row>
        <row r="328">
          <cell r="B328">
            <v>7351320104250</v>
          </cell>
          <cell r="D328">
            <v>272987056</v>
          </cell>
          <cell r="E328">
            <v>0</v>
          </cell>
          <cell r="F328">
            <v>272987056</v>
          </cell>
          <cell r="G328">
            <v>0</v>
          </cell>
          <cell r="H328">
            <v>312000000</v>
          </cell>
        </row>
        <row r="329">
          <cell r="B329">
            <v>7351320104260</v>
          </cell>
          <cell r="D329">
            <v>682467640</v>
          </cell>
          <cell r="E329">
            <v>0</v>
          </cell>
          <cell r="F329">
            <v>682467640</v>
          </cell>
          <cell r="G329">
            <v>0</v>
          </cell>
          <cell r="H329">
            <v>624000000</v>
          </cell>
        </row>
        <row r="330">
          <cell r="B330">
            <v>7351320104270</v>
          </cell>
          <cell r="D330">
            <v>272987056</v>
          </cell>
          <cell r="E330">
            <v>0</v>
          </cell>
          <cell r="F330">
            <v>272987056</v>
          </cell>
          <cell r="G330">
            <v>0</v>
          </cell>
          <cell r="H330">
            <v>312000000</v>
          </cell>
        </row>
        <row r="331">
          <cell r="B331">
            <v>7351320104280</v>
          </cell>
          <cell r="D331">
            <v>394569410</v>
          </cell>
          <cell r="E331">
            <v>0</v>
          </cell>
          <cell r="F331">
            <v>394569410</v>
          </cell>
          <cell r="G331">
            <v>0</v>
          </cell>
          <cell r="H331">
            <v>312000000</v>
          </cell>
        </row>
        <row r="332">
          <cell r="B332">
            <v>7351320104290</v>
          </cell>
          <cell r="D332">
            <v>682467640</v>
          </cell>
          <cell r="E332">
            <v>0</v>
          </cell>
          <cell r="F332">
            <v>682467640</v>
          </cell>
          <cell r="G332">
            <v>0</v>
          </cell>
          <cell r="H332">
            <v>780000000</v>
          </cell>
        </row>
        <row r="333">
          <cell r="B333">
            <v>7351360104120</v>
          </cell>
          <cell r="D333">
            <v>5123497346</v>
          </cell>
          <cell r="E333">
            <v>0</v>
          </cell>
          <cell r="F333">
            <v>5123497346</v>
          </cell>
          <cell r="G333">
            <v>0</v>
          </cell>
          <cell r="H333">
            <v>4860000000</v>
          </cell>
        </row>
        <row r="334">
          <cell r="B334">
            <v>7351360104131</v>
          </cell>
          <cell r="D334">
            <v>1261556798</v>
          </cell>
          <cell r="E334">
            <v>0</v>
          </cell>
          <cell r="F334">
            <v>1261556798</v>
          </cell>
          <cell r="G334">
            <v>0</v>
          </cell>
          <cell r="H334">
            <v>1620000000</v>
          </cell>
        </row>
        <row r="335">
          <cell r="B335">
            <v>7351360104132</v>
          </cell>
          <cell r="D335">
            <v>420745843</v>
          </cell>
          <cell r="E335">
            <v>0</v>
          </cell>
          <cell r="F335">
            <v>420745843</v>
          </cell>
          <cell r="G335">
            <v>0</v>
          </cell>
          <cell r="H335">
            <v>0</v>
          </cell>
        </row>
        <row r="336">
          <cell r="B336">
            <v>7351360104133</v>
          </cell>
          <cell r="D336">
            <v>1121535094</v>
          </cell>
          <cell r="E336">
            <v>0</v>
          </cell>
          <cell r="F336">
            <v>1121535094</v>
          </cell>
          <cell r="G336">
            <v>0</v>
          </cell>
          <cell r="H336">
            <v>1620000000</v>
          </cell>
        </row>
        <row r="337">
          <cell r="B337">
            <v>7351360104134</v>
          </cell>
          <cell r="D337">
            <v>1027960381</v>
          </cell>
          <cell r="E337">
            <v>0</v>
          </cell>
          <cell r="F337">
            <v>1027960381</v>
          </cell>
          <cell r="G337">
            <v>0</v>
          </cell>
          <cell r="H337">
            <v>1080000000</v>
          </cell>
        </row>
        <row r="338">
          <cell r="B338">
            <v>7351360104135</v>
          </cell>
          <cell r="D338">
            <v>887530822</v>
          </cell>
          <cell r="E338">
            <v>0</v>
          </cell>
          <cell r="F338">
            <v>887530822</v>
          </cell>
          <cell r="G338">
            <v>0</v>
          </cell>
          <cell r="H338">
            <v>1350000000</v>
          </cell>
        </row>
        <row r="339">
          <cell r="B339">
            <v>7351360104230</v>
          </cell>
          <cell r="D339">
            <v>921755535</v>
          </cell>
          <cell r="E339">
            <v>0</v>
          </cell>
          <cell r="F339">
            <v>921755535</v>
          </cell>
          <cell r="G339">
            <v>0</v>
          </cell>
          <cell r="H339">
            <v>540000000</v>
          </cell>
        </row>
        <row r="340">
          <cell r="B340">
            <v>7351360104250</v>
          </cell>
          <cell r="D340">
            <v>553800976</v>
          </cell>
          <cell r="E340">
            <v>0</v>
          </cell>
          <cell r="F340">
            <v>553800976</v>
          </cell>
          <cell r="G340">
            <v>0</v>
          </cell>
          <cell r="H340">
            <v>540000000</v>
          </cell>
        </row>
        <row r="341">
          <cell r="B341">
            <v>7351360104260</v>
          </cell>
          <cell r="D341">
            <v>1377839940</v>
          </cell>
          <cell r="E341">
            <v>0</v>
          </cell>
          <cell r="F341">
            <v>1377839940</v>
          </cell>
          <cell r="G341">
            <v>0</v>
          </cell>
          <cell r="H341">
            <v>1080000000</v>
          </cell>
        </row>
        <row r="342">
          <cell r="B342">
            <v>7351360104270</v>
          </cell>
          <cell r="D342">
            <v>529575976</v>
          </cell>
          <cell r="E342">
            <v>0</v>
          </cell>
          <cell r="F342">
            <v>529575976</v>
          </cell>
          <cell r="G342">
            <v>0</v>
          </cell>
          <cell r="H342">
            <v>540000000</v>
          </cell>
        </row>
        <row r="343">
          <cell r="B343">
            <v>7351360104280</v>
          </cell>
          <cell r="D343">
            <v>763172393</v>
          </cell>
          <cell r="E343">
            <v>0</v>
          </cell>
          <cell r="F343">
            <v>763172393</v>
          </cell>
          <cell r="G343">
            <v>0</v>
          </cell>
          <cell r="H343">
            <v>540000000</v>
          </cell>
        </row>
        <row r="344">
          <cell r="B344">
            <v>7351360104290</v>
          </cell>
          <cell r="D344">
            <v>1334139940</v>
          </cell>
          <cell r="E344">
            <v>0</v>
          </cell>
          <cell r="F344">
            <v>1334139940</v>
          </cell>
          <cell r="G344">
            <v>0</v>
          </cell>
          <cell r="H344">
            <v>1350000000</v>
          </cell>
        </row>
        <row r="345">
          <cell r="B345">
            <v>7353130104120</v>
          </cell>
          <cell r="D345">
            <v>1046395650</v>
          </cell>
          <cell r="E345">
            <v>0</v>
          </cell>
          <cell r="F345">
            <v>1046395650</v>
          </cell>
          <cell r="G345">
            <v>0</v>
          </cell>
          <cell r="H345">
            <v>0</v>
          </cell>
        </row>
        <row r="346">
          <cell r="B346">
            <v>7353130104131</v>
          </cell>
          <cell r="D346">
            <v>1188100000</v>
          </cell>
          <cell r="E346">
            <v>0</v>
          </cell>
          <cell r="F346">
            <v>1188100000</v>
          </cell>
          <cell r="G346">
            <v>0</v>
          </cell>
          <cell r="H346">
            <v>0</v>
          </cell>
        </row>
        <row r="347">
          <cell r="B347">
            <v>7353130104132</v>
          </cell>
          <cell r="D347">
            <v>247000000</v>
          </cell>
          <cell r="E347">
            <v>0</v>
          </cell>
          <cell r="F347">
            <v>247000000</v>
          </cell>
          <cell r="G347">
            <v>0</v>
          </cell>
          <cell r="H347">
            <v>0</v>
          </cell>
        </row>
        <row r="348">
          <cell r="B348">
            <v>7353130104133</v>
          </cell>
          <cell r="D348">
            <v>7500000</v>
          </cell>
          <cell r="E348">
            <v>0</v>
          </cell>
          <cell r="F348">
            <v>7500000</v>
          </cell>
          <cell r="G348">
            <v>0</v>
          </cell>
          <cell r="H348">
            <v>0</v>
          </cell>
        </row>
        <row r="349">
          <cell r="B349">
            <v>7353130104134</v>
          </cell>
          <cell r="D349">
            <v>1849855463</v>
          </cell>
          <cell r="E349">
            <v>0</v>
          </cell>
          <cell r="F349">
            <v>1849855463</v>
          </cell>
          <cell r="G349">
            <v>0</v>
          </cell>
          <cell r="H349">
            <v>0</v>
          </cell>
        </row>
        <row r="350">
          <cell r="B350">
            <v>7353130104136</v>
          </cell>
          <cell r="D350">
            <v>1250136249</v>
          </cell>
          <cell r="E350">
            <v>0</v>
          </cell>
          <cell r="F350">
            <v>1250136249</v>
          </cell>
          <cell r="G350">
            <v>0</v>
          </cell>
          <cell r="H350">
            <v>0</v>
          </cell>
        </row>
        <row r="351">
          <cell r="B351">
            <v>7353130104230</v>
          </cell>
          <cell r="D351">
            <v>99000000</v>
          </cell>
          <cell r="E351">
            <v>0</v>
          </cell>
          <cell r="F351">
            <v>99000000</v>
          </cell>
          <cell r="G351">
            <v>0</v>
          </cell>
          <cell r="H351">
            <v>0</v>
          </cell>
        </row>
        <row r="352">
          <cell r="B352">
            <v>7353130104250</v>
          </cell>
          <cell r="D352">
            <v>1249465000</v>
          </cell>
          <cell r="E352">
            <v>0</v>
          </cell>
          <cell r="F352">
            <v>1249465000</v>
          </cell>
          <cell r="G352">
            <v>0</v>
          </cell>
          <cell r="H352">
            <v>0</v>
          </cell>
        </row>
        <row r="353">
          <cell r="B353">
            <v>7353130104251</v>
          </cell>
          <cell r="D353">
            <v>162300000</v>
          </cell>
          <cell r="E353">
            <v>0</v>
          </cell>
          <cell r="F353">
            <v>162300000</v>
          </cell>
          <cell r="G353">
            <v>0</v>
          </cell>
          <cell r="H353">
            <v>0</v>
          </cell>
        </row>
        <row r="354">
          <cell r="B354">
            <v>7353130104300</v>
          </cell>
          <cell r="D354">
            <v>88300000</v>
          </cell>
          <cell r="E354">
            <v>0</v>
          </cell>
          <cell r="F354">
            <v>88300000</v>
          </cell>
          <cell r="G354">
            <v>0</v>
          </cell>
          <cell r="H354">
            <v>0</v>
          </cell>
        </row>
        <row r="355">
          <cell r="B355">
            <v>7353160104120</v>
          </cell>
          <cell r="D355">
            <v>1280260171</v>
          </cell>
          <cell r="E355">
            <v>0</v>
          </cell>
          <cell r="F355">
            <v>1280260171</v>
          </cell>
          <cell r="G355">
            <v>0</v>
          </cell>
          <cell r="H355">
            <v>0</v>
          </cell>
        </row>
        <row r="356">
          <cell r="B356">
            <v>7353230104251</v>
          </cell>
          <cell r="D356">
            <v>3795750000</v>
          </cell>
          <cell r="E356">
            <v>0</v>
          </cell>
          <cell r="F356">
            <v>3795750000</v>
          </cell>
          <cell r="G356">
            <v>0</v>
          </cell>
          <cell r="H356">
            <v>0</v>
          </cell>
        </row>
        <row r="357">
          <cell r="B357">
            <v>7353410104300</v>
          </cell>
          <cell r="D357">
            <v>7934588500</v>
          </cell>
          <cell r="E357">
            <v>0</v>
          </cell>
          <cell r="F357">
            <v>7934588500</v>
          </cell>
          <cell r="G357">
            <v>0</v>
          </cell>
          <cell r="H357">
            <v>0</v>
          </cell>
        </row>
        <row r="358">
          <cell r="B358">
            <v>7353410204300</v>
          </cell>
          <cell r="D358">
            <v>5186102400</v>
          </cell>
          <cell r="E358">
            <v>0</v>
          </cell>
          <cell r="F358">
            <v>5186102400</v>
          </cell>
          <cell r="G358">
            <v>0</v>
          </cell>
          <cell r="H358">
            <v>0</v>
          </cell>
        </row>
        <row r="359">
          <cell r="B359">
            <v>7353410304300</v>
          </cell>
          <cell r="D359">
            <v>417512872</v>
          </cell>
          <cell r="E359">
            <v>0</v>
          </cell>
          <cell r="F359">
            <v>417512872</v>
          </cell>
          <cell r="G359">
            <v>0</v>
          </cell>
          <cell r="H359">
            <v>0</v>
          </cell>
        </row>
        <row r="360">
          <cell r="B360">
            <v>7354420104260</v>
          </cell>
          <cell r="D360">
            <v>2776266535</v>
          </cell>
          <cell r="E360">
            <v>15123129</v>
          </cell>
          <cell r="F360">
            <v>2761143406</v>
          </cell>
          <cell r="G360">
            <v>0</v>
          </cell>
          <cell r="H360">
            <v>0</v>
          </cell>
        </row>
        <row r="361">
          <cell r="B361">
            <v>7356220104120</v>
          </cell>
          <cell r="D361">
            <v>32223792</v>
          </cell>
          <cell r="E361">
            <v>0</v>
          </cell>
          <cell r="F361">
            <v>32223792</v>
          </cell>
          <cell r="G361">
            <v>0</v>
          </cell>
          <cell r="H361">
            <v>0</v>
          </cell>
        </row>
        <row r="362">
          <cell r="B362">
            <v>7356220104260</v>
          </cell>
          <cell r="D362">
            <v>583025822</v>
          </cell>
          <cell r="E362">
            <v>0</v>
          </cell>
          <cell r="F362">
            <v>583025822</v>
          </cell>
          <cell r="G362">
            <v>0</v>
          </cell>
          <cell r="H362">
            <v>0</v>
          </cell>
        </row>
        <row r="363">
          <cell r="B363">
            <v>7356230104120</v>
          </cell>
          <cell r="D363">
            <v>14457374495</v>
          </cell>
          <cell r="E363">
            <v>0</v>
          </cell>
          <cell r="F363">
            <v>14457374495</v>
          </cell>
          <cell r="G363">
            <v>0</v>
          </cell>
          <cell r="H363">
            <v>0</v>
          </cell>
        </row>
        <row r="364">
          <cell r="B364">
            <v>7356230104131</v>
          </cell>
          <cell r="D364">
            <v>24978753412</v>
          </cell>
          <cell r="E364">
            <v>0</v>
          </cell>
          <cell r="F364">
            <v>24978753412</v>
          </cell>
          <cell r="G364">
            <v>0</v>
          </cell>
          <cell r="H364">
            <v>0</v>
          </cell>
        </row>
        <row r="365">
          <cell r="B365">
            <v>7356230104132</v>
          </cell>
          <cell r="D365">
            <v>1765395607</v>
          </cell>
          <cell r="E365">
            <v>0</v>
          </cell>
          <cell r="F365">
            <v>1765395607</v>
          </cell>
          <cell r="G365">
            <v>0</v>
          </cell>
          <cell r="H365">
            <v>0</v>
          </cell>
        </row>
        <row r="366">
          <cell r="B366">
            <v>7356230104133</v>
          </cell>
          <cell r="D366">
            <v>46102005124</v>
          </cell>
          <cell r="E366">
            <v>0</v>
          </cell>
          <cell r="F366">
            <v>46102005124</v>
          </cell>
          <cell r="G366">
            <v>0</v>
          </cell>
          <cell r="H366">
            <v>0</v>
          </cell>
        </row>
        <row r="367">
          <cell r="B367">
            <v>7356230104134</v>
          </cell>
          <cell r="D367">
            <v>653083062</v>
          </cell>
          <cell r="E367">
            <v>0</v>
          </cell>
          <cell r="F367">
            <v>653083062</v>
          </cell>
          <cell r="G367">
            <v>0</v>
          </cell>
          <cell r="H367">
            <v>0</v>
          </cell>
        </row>
        <row r="368">
          <cell r="B368">
            <v>7356230104135</v>
          </cell>
          <cell r="D368">
            <v>2366265119</v>
          </cell>
          <cell r="E368">
            <v>0</v>
          </cell>
          <cell r="F368">
            <v>2366265119</v>
          </cell>
          <cell r="G368">
            <v>0</v>
          </cell>
          <cell r="H368">
            <v>0</v>
          </cell>
        </row>
        <row r="369">
          <cell r="B369">
            <v>7356230104230</v>
          </cell>
          <cell r="D369">
            <v>3925250206</v>
          </cell>
          <cell r="E369">
            <v>0</v>
          </cell>
          <cell r="F369">
            <v>3925250206</v>
          </cell>
          <cell r="G369">
            <v>0</v>
          </cell>
          <cell r="H369">
            <v>0</v>
          </cell>
        </row>
        <row r="370">
          <cell r="B370">
            <v>7356230104250</v>
          </cell>
          <cell r="D370">
            <v>634752490</v>
          </cell>
          <cell r="E370">
            <v>0</v>
          </cell>
          <cell r="F370">
            <v>634752490</v>
          </cell>
          <cell r="G370">
            <v>0</v>
          </cell>
          <cell r="H370">
            <v>0</v>
          </cell>
        </row>
        <row r="371">
          <cell r="B371">
            <v>7356230104300</v>
          </cell>
          <cell r="D371">
            <v>493076080</v>
          </cell>
          <cell r="E371">
            <v>0</v>
          </cell>
          <cell r="F371">
            <v>493076080</v>
          </cell>
          <cell r="G371">
            <v>0</v>
          </cell>
          <cell r="H371">
            <v>0</v>
          </cell>
        </row>
        <row r="372">
          <cell r="B372">
            <v>7356230104320</v>
          </cell>
          <cell r="D372">
            <v>1669259226</v>
          </cell>
          <cell r="E372">
            <v>0</v>
          </cell>
          <cell r="F372">
            <v>1669259226</v>
          </cell>
          <cell r="G372">
            <v>0</v>
          </cell>
          <cell r="H372">
            <v>0</v>
          </cell>
        </row>
        <row r="373">
          <cell r="B373">
            <v>7356240104120</v>
          </cell>
          <cell r="D373">
            <v>437721061</v>
          </cell>
          <cell r="E373">
            <v>0</v>
          </cell>
          <cell r="F373">
            <v>437721061</v>
          </cell>
          <cell r="G373">
            <v>0</v>
          </cell>
          <cell r="H373">
            <v>0</v>
          </cell>
        </row>
        <row r="374">
          <cell r="B374">
            <v>7356240104220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>
            <v>7356240104230</v>
          </cell>
          <cell r="D375">
            <v>26469217</v>
          </cell>
          <cell r="E375">
            <v>0</v>
          </cell>
          <cell r="F375">
            <v>26469217</v>
          </cell>
          <cell r="G375">
            <v>0</v>
          </cell>
          <cell r="H375">
            <v>0</v>
          </cell>
        </row>
        <row r="376">
          <cell r="B376">
            <v>7356240104250</v>
          </cell>
          <cell r="D376">
            <v>438819870</v>
          </cell>
          <cell r="E376">
            <v>0</v>
          </cell>
          <cell r="F376">
            <v>438819870</v>
          </cell>
          <cell r="G376">
            <v>0</v>
          </cell>
          <cell r="H376">
            <v>0</v>
          </cell>
        </row>
        <row r="377">
          <cell r="B377">
            <v>7356240104251</v>
          </cell>
          <cell r="D377">
            <v>2115456417</v>
          </cell>
          <cell r="E377">
            <v>0</v>
          </cell>
          <cell r="F377">
            <v>2115456417</v>
          </cell>
          <cell r="G377">
            <v>0</v>
          </cell>
          <cell r="H377">
            <v>0</v>
          </cell>
        </row>
        <row r="378">
          <cell r="B378">
            <v>7356240104260</v>
          </cell>
          <cell r="D378">
            <v>156048038</v>
          </cell>
          <cell r="E378">
            <v>0</v>
          </cell>
          <cell r="F378">
            <v>156048038</v>
          </cell>
          <cell r="G378">
            <v>0</v>
          </cell>
          <cell r="H378">
            <v>0</v>
          </cell>
        </row>
        <row r="379">
          <cell r="B379">
            <v>7356240104270</v>
          </cell>
          <cell r="D379">
            <v>873293</v>
          </cell>
          <cell r="E379">
            <v>0</v>
          </cell>
          <cell r="F379">
            <v>873293</v>
          </cell>
          <cell r="G379">
            <v>0</v>
          </cell>
          <cell r="H379">
            <v>0</v>
          </cell>
        </row>
        <row r="380">
          <cell r="B380">
            <v>7356240104320</v>
          </cell>
          <cell r="D380">
            <v>88520329</v>
          </cell>
          <cell r="E380">
            <v>0</v>
          </cell>
          <cell r="F380">
            <v>88520329</v>
          </cell>
          <cell r="G380">
            <v>0</v>
          </cell>
          <cell r="H380">
            <v>0</v>
          </cell>
        </row>
        <row r="381">
          <cell r="B381">
            <v>7356240104340</v>
          </cell>
          <cell r="D381">
            <v>125952641</v>
          </cell>
          <cell r="E381">
            <v>0</v>
          </cell>
          <cell r="F381">
            <v>125952641</v>
          </cell>
          <cell r="G381">
            <v>0</v>
          </cell>
          <cell r="H381">
            <v>0</v>
          </cell>
        </row>
        <row r="382">
          <cell r="B382">
            <v>7356250104120</v>
          </cell>
          <cell r="D382">
            <v>207692598</v>
          </cell>
          <cell r="E382">
            <v>0</v>
          </cell>
          <cell r="F382">
            <v>207692598</v>
          </cell>
          <cell r="G382">
            <v>0</v>
          </cell>
          <cell r="H382">
            <v>0</v>
          </cell>
        </row>
        <row r="383">
          <cell r="B383">
            <v>7356250104131</v>
          </cell>
          <cell r="D383">
            <v>37586081</v>
          </cell>
          <cell r="E383">
            <v>0</v>
          </cell>
          <cell r="F383">
            <v>37586081</v>
          </cell>
          <cell r="G383">
            <v>0</v>
          </cell>
          <cell r="H383">
            <v>0</v>
          </cell>
        </row>
        <row r="384">
          <cell r="B384">
            <v>7356250104132</v>
          </cell>
          <cell r="D384">
            <v>34701269</v>
          </cell>
          <cell r="E384">
            <v>0</v>
          </cell>
          <cell r="F384">
            <v>34701269</v>
          </cell>
          <cell r="G384">
            <v>0</v>
          </cell>
          <cell r="H384">
            <v>0</v>
          </cell>
        </row>
        <row r="385">
          <cell r="B385">
            <v>7356250104133</v>
          </cell>
          <cell r="D385">
            <v>46268370</v>
          </cell>
          <cell r="E385">
            <v>0</v>
          </cell>
          <cell r="F385">
            <v>46268370</v>
          </cell>
          <cell r="G385">
            <v>0</v>
          </cell>
          <cell r="H385">
            <v>0</v>
          </cell>
        </row>
        <row r="386">
          <cell r="B386">
            <v>7356250104250</v>
          </cell>
          <cell r="D386">
            <v>128540845</v>
          </cell>
          <cell r="E386">
            <v>0</v>
          </cell>
          <cell r="F386">
            <v>128540845</v>
          </cell>
          <cell r="G386">
            <v>0</v>
          </cell>
          <cell r="H386">
            <v>0</v>
          </cell>
        </row>
        <row r="387">
          <cell r="B387">
            <v>7356250104260</v>
          </cell>
          <cell r="D387">
            <v>16112550</v>
          </cell>
          <cell r="E387">
            <v>0</v>
          </cell>
          <cell r="F387">
            <v>16112550</v>
          </cell>
          <cell r="G387">
            <v>0</v>
          </cell>
          <cell r="H387">
            <v>0</v>
          </cell>
        </row>
        <row r="388">
          <cell r="B388">
            <v>7356250104270</v>
          </cell>
          <cell r="D388">
            <v>102976975</v>
          </cell>
          <cell r="E388">
            <v>0</v>
          </cell>
          <cell r="F388">
            <v>102976975</v>
          </cell>
          <cell r="G388">
            <v>0</v>
          </cell>
          <cell r="H388">
            <v>0</v>
          </cell>
        </row>
        <row r="389">
          <cell r="B389">
            <v>7356250104280</v>
          </cell>
          <cell r="D389">
            <v>415208962</v>
          </cell>
          <cell r="E389">
            <v>0</v>
          </cell>
          <cell r="F389">
            <v>415208962</v>
          </cell>
          <cell r="G389">
            <v>0</v>
          </cell>
          <cell r="H389">
            <v>0</v>
          </cell>
        </row>
        <row r="390">
          <cell r="B390">
            <v>7356250104320</v>
          </cell>
          <cell r="D390">
            <v>54054590</v>
          </cell>
          <cell r="E390">
            <v>0</v>
          </cell>
          <cell r="F390">
            <v>54054590</v>
          </cell>
          <cell r="G390">
            <v>0</v>
          </cell>
          <cell r="H390">
            <v>0</v>
          </cell>
        </row>
        <row r="391">
          <cell r="B391">
            <v>7356250104340</v>
          </cell>
          <cell r="D391">
            <v>134464442</v>
          </cell>
          <cell r="E391">
            <v>0</v>
          </cell>
          <cell r="F391">
            <v>134464442</v>
          </cell>
          <cell r="G391">
            <v>0</v>
          </cell>
          <cell r="H391">
            <v>0</v>
          </cell>
        </row>
        <row r="392">
          <cell r="B392">
            <v>7356270104250</v>
          </cell>
          <cell r="D392">
            <v>234150</v>
          </cell>
          <cell r="E392">
            <v>0</v>
          </cell>
          <cell r="F392">
            <v>234150</v>
          </cell>
          <cell r="G392">
            <v>0</v>
          </cell>
          <cell r="H392">
            <v>0</v>
          </cell>
        </row>
        <row r="393">
          <cell r="B393">
            <v>7356280104120</v>
          </cell>
          <cell r="D393">
            <v>1351066</v>
          </cell>
          <cell r="E393">
            <v>0</v>
          </cell>
          <cell r="F393">
            <v>1351066</v>
          </cell>
          <cell r="G393">
            <v>0</v>
          </cell>
          <cell r="H393">
            <v>0</v>
          </cell>
        </row>
        <row r="394">
          <cell r="B394">
            <v>7356280104260</v>
          </cell>
          <cell r="D394">
            <v>9910577</v>
          </cell>
          <cell r="E394">
            <v>0</v>
          </cell>
          <cell r="F394">
            <v>9910577</v>
          </cell>
          <cell r="G394">
            <v>0</v>
          </cell>
          <cell r="H394">
            <v>0</v>
          </cell>
        </row>
        <row r="395">
          <cell r="B395">
            <v>7356280104270</v>
          </cell>
          <cell r="D395">
            <v>5917319</v>
          </cell>
          <cell r="E395">
            <v>0</v>
          </cell>
          <cell r="F395">
            <v>5917319</v>
          </cell>
          <cell r="G395">
            <v>0</v>
          </cell>
          <cell r="H395">
            <v>0</v>
          </cell>
        </row>
        <row r="396">
          <cell r="B396">
            <v>736984010178</v>
          </cell>
          <cell r="D396">
            <v>0</v>
          </cell>
          <cell r="E396">
            <v>28378839492</v>
          </cell>
          <cell r="F396">
            <v>0</v>
          </cell>
          <cell r="G396">
            <v>28378839492</v>
          </cell>
          <cell r="H396">
            <v>0</v>
          </cell>
        </row>
        <row r="397">
          <cell r="B397">
            <v>736984020178</v>
          </cell>
          <cell r="D397">
            <v>0</v>
          </cell>
          <cell r="E397">
            <v>178321103941</v>
          </cell>
          <cell r="F397">
            <v>0</v>
          </cell>
          <cell r="G397">
            <v>178321103941</v>
          </cell>
          <cell r="H397">
            <v>0</v>
          </cell>
        </row>
        <row r="398">
          <cell r="B398">
            <v>7602010204021</v>
          </cell>
          <cell r="D398">
            <v>700000000</v>
          </cell>
          <cell r="E398">
            <v>0</v>
          </cell>
          <cell r="F398">
            <v>700000000</v>
          </cell>
          <cell r="G398">
            <v>0</v>
          </cell>
          <cell r="H398">
            <v>0</v>
          </cell>
        </row>
        <row r="399">
          <cell r="B399">
            <v>7602012104020</v>
          </cell>
          <cell r="D399">
            <v>27120000000</v>
          </cell>
          <cell r="E399">
            <v>0</v>
          </cell>
          <cell r="F399">
            <v>27120000000</v>
          </cell>
          <cell r="G399">
            <v>0</v>
          </cell>
          <cell r="H399">
            <v>27120000024</v>
          </cell>
        </row>
        <row r="400">
          <cell r="B400">
            <v>7602012104021</v>
          </cell>
          <cell r="D400">
            <v>2100000000</v>
          </cell>
          <cell r="E400">
            <v>0</v>
          </cell>
          <cell r="F400">
            <v>2100000000</v>
          </cell>
          <cell r="G400">
            <v>0</v>
          </cell>
          <cell r="H400">
            <v>4200000000</v>
          </cell>
        </row>
        <row r="401">
          <cell r="B401">
            <v>7602040204020</v>
          </cell>
          <cell r="D401">
            <v>9039999998</v>
          </cell>
          <cell r="E401">
            <v>0</v>
          </cell>
          <cell r="F401">
            <v>9039999998</v>
          </cell>
          <cell r="G401">
            <v>0</v>
          </cell>
          <cell r="H401">
            <v>9040000008</v>
          </cell>
        </row>
        <row r="402">
          <cell r="B402">
            <v>7602040204021</v>
          </cell>
          <cell r="D402">
            <v>2300000000</v>
          </cell>
          <cell r="E402">
            <v>0</v>
          </cell>
          <cell r="F402">
            <v>2300000000</v>
          </cell>
          <cell r="G402">
            <v>0</v>
          </cell>
          <cell r="H402">
            <v>1399999998</v>
          </cell>
        </row>
        <row r="403">
          <cell r="B403">
            <v>7602192204020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536000000</v>
          </cell>
        </row>
        <row r="404">
          <cell r="B404">
            <v>7602192204021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178700000</v>
          </cell>
        </row>
        <row r="405">
          <cell r="B405">
            <v>7602210204020</v>
          </cell>
          <cell r="D405">
            <v>1077302793</v>
          </cell>
          <cell r="E405">
            <v>0</v>
          </cell>
          <cell r="F405">
            <v>1077302793</v>
          </cell>
          <cell r="G405">
            <v>0</v>
          </cell>
          <cell r="H405">
            <v>1140480000</v>
          </cell>
        </row>
        <row r="406">
          <cell r="B406">
            <v>7602210204021</v>
          </cell>
          <cell r="D406">
            <v>117024108</v>
          </cell>
          <cell r="E406">
            <v>0</v>
          </cell>
          <cell r="F406">
            <v>117024108</v>
          </cell>
          <cell r="G406">
            <v>0</v>
          </cell>
          <cell r="H406">
            <v>190080000</v>
          </cell>
        </row>
        <row r="407">
          <cell r="B407">
            <v>7602240204020</v>
          </cell>
          <cell r="D407">
            <v>813600000</v>
          </cell>
          <cell r="E407">
            <v>0</v>
          </cell>
          <cell r="F407">
            <v>813600000</v>
          </cell>
          <cell r="G407">
            <v>0</v>
          </cell>
          <cell r="H407">
            <v>813600000</v>
          </cell>
        </row>
        <row r="408">
          <cell r="B408">
            <v>7602240204021</v>
          </cell>
          <cell r="D408">
            <v>84000000</v>
          </cell>
          <cell r="E408">
            <v>0</v>
          </cell>
          <cell r="F408">
            <v>84000000</v>
          </cell>
          <cell r="G408">
            <v>0</v>
          </cell>
          <cell r="H408">
            <v>126000000</v>
          </cell>
        </row>
        <row r="409">
          <cell r="B409">
            <v>7602320104020</v>
          </cell>
          <cell r="D409">
            <v>818961168</v>
          </cell>
          <cell r="E409">
            <v>0</v>
          </cell>
          <cell r="F409">
            <v>818961168</v>
          </cell>
          <cell r="G409">
            <v>0</v>
          </cell>
          <cell r="H409">
            <v>936000000</v>
          </cell>
        </row>
        <row r="410">
          <cell r="B410">
            <v>7602320104021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156000000</v>
          </cell>
        </row>
        <row r="411">
          <cell r="B411">
            <v>7602350104020</v>
          </cell>
          <cell r="D411">
            <v>175209186</v>
          </cell>
          <cell r="E411">
            <v>0</v>
          </cell>
          <cell r="F411">
            <v>175209186</v>
          </cell>
          <cell r="G411">
            <v>0</v>
          </cell>
          <cell r="H411">
            <v>360000000</v>
          </cell>
        </row>
        <row r="412">
          <cell r="B412">
            <v>7602350104021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60000000</v>
          </cell>
        </row>
        <row r="413">
          <cell r="B413">
            <v>7602360104020</v>
          </cell>
          <cell r="D413">
            <v>1588727928</v>
          </cell>
          <cell r="E413">
            <v>0</v>
          </cell>
          <cell r="F413">
            <v>1588727928</v>
          </cell>
          <cell r="G413">
            <v>0</v>
          </cell>
          <cell r="H413">
            <v>1620000000</v>
          </cell>
        </row>
        <row r="414">
          <cell r="B414">
            <v>7602360104021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270000000</v>
          </cell>
        </row>
        <row r="415">
          <cell r="B415">
            <v>7603010104021</v>
          </cell>
          <cell r="D415">
            <v>4094009</v>
          </cell>
          <cell r="E415">
            <v>0</v>
          </cell>
          <cell r="F415">
            <v>4094009</v>
          </cell>
          <cell r="G415">
            <v>0</v>
          </cell>
          <cell r="H415">
            <v>35900000</v>
          </cell>
        </row>
        <row r="416">
          <cell r="B416">
            <v>7603040104021</v>
          </cell>
          <cell r="D416">
            <v>40363100</v>
          </cell>
          <cell r="E416">
            <v>0</v>
          </cell>
          <cell r="F416">
            <v>40363100</v>
          </cell>
          <cell r="G416">
            <v>0</v>
          </cell>
          <cell r="H416">
            <v>85700000</v>
          </cell>
        </row>
        <row r="417">
          <cell r="B417">
            <v>7603160104020</v>
          </cell>
          <cell r="D417">
            <v>97980969</v>
          </cell>
          <cell r="E417">
            <v>0</v>
          </cell>
          <cell r="F417">
            <v>97980969</v>
          </cell>
          <cell r="G417">
            <v>0</v>
          </cell>
          <cell r="H417">
            <v>107200000</v>
          </cell>
        </row>
        <row r="418">
          <cell r="B418">
            <v>7603160104021</v>
          </cell>
          <cell r="D418">
            <v>190000481</v>
          </cell>
          <cell r="E418">
            <v>0</v>
          </cell>
          <cell r="F418">
            <v>190000481</v>
          </cell>
          <cell r="G418">
            <v>0</v>
          </cell>
          <cell r="H418">
            <v>142900000</v>
          </cell>
        </row>
        <row r="419">
          <cell r="B419">
            <v>7603180104020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214400000</v>
          </cell>
        </row>
        <row r="420">
          <cell r="B420">
            <v>7603310104014</v>
          </cell>
          <cell r="D420">
            <v>38116049772</v>
          </cell>
          <cell r="E420">
            <v>0</v>
          </cell>
          <cell r="F420">
            <v>38116049772</v>
          </cell>
          <cell r="G420">
            <v>0</v>
          </cell>
          <cell r="H420">
            <v>0</v>
          </cell>
        </row>
        <row r="421">
          <cell r="B421">
            <v>7603310104060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B422">
            <v>7603310204020</v>
          </cell>
          <cell r="D422">
            <v>97804000</v>
          </cell>
          <cell r="E422">
            <v>0</v>
          </cell>
          <cell r="F422">
            <v>97804000</v>
          </cell>
          <cell r="G422">
            <v>0</v>
          </cell>
          <cell r="H422">
            <v>0</v>
          </cell>
        </row>
        <row r="423">
          <cell r="B423">
            <v>7603320104014</v>
          </cell>
          <cell r="D423">
            <v>2479200000</v>
          </cell>
          <cell r="E423">
            <v>0</v>
          </cell>
          <cell r="F423">
            <v>2479200000</v>
          </cell>
          <cell r="G423">
            <v>0</v>
          </cell>
          <cell r="H423">
            <v>0</v>
          </cell>
        </row>
        <row r="424">
          <cell r="B424">
            <v>7604010104020</v>
          </cell>
          <cell r="D424">
            <v>491770543</v>
          </cell>
          <cell r="E424">
            <v>0</v>
          </cell>
          <cell r="F424">
            <v>491770543</v>
          </cell>
          <cell r="G424">
            <v>0</v>
          </cell>
          <cell r="H424">
            <v>1786600000</v>
          </cell>
        </row>
        <row r="425">
          <cell r="B425">
            <v>7604010104021</v>
          </cell>
          <cell r="D425">
            <v>55312665</v>
          </cell>
          <cell r="E425">
            <v>0</v>
          </cell>
          <cell r="F425">
            <v>55312665</v>
          </cell>
          <cell r="G425">
            <v>0</v>
          </cell>
          <cell r="H425">
            <v>71500000</v>
          </cell>
        </row>
        <row r="426">
          <cell r="B426">
            <v>7604020104020</v>
          </cell>
          <cell r="D426">
            <v>268586959</v>
          </cell>
          <cell r="E426">
            <v>0</v>
          </cell>
          <cell r="F426">
            <v>268586959</v>
          </cell>
          <cell r="G426">
            <v>0</v>
          </cell>
          <cell r="H426">
            <v>214400000</v>
          </cell>
        </row>
        <row r="427">
          <cell r="B427">
            <v>7604020104021</v>
          </cell>
          <cell r="D427">
            <v>77999999</v>
          </cell>
          <cell r="E427">
            <v>0</v>
          </cell>
          <cell r="F427">
            <v>77999999</v>
          </cell>
          <cell r="G427">
            <v>0</v>
          </cell>
          <cell r="H427">
            <v>142900000</v>
          </cell>
        </row>
        <row r="428">
          <cell r="B428">
            <v>7604020204020</v>
          </cell>
          <cell r="D428">
            <v>62313217</v>
          </cell>
          <cell r="E428">
            <v>0</v>
          </cell>
          <cell r="F428">
            <v>62313217</v>
          </cell>
          <cell r="G428">
            <v>0</v>
          </cell>
          <cell r="H428">
            <v>214400000</v>
          </cell>
        </row>
        <row r="429">
          <cell r="B429">
            <v>7604020204021</v>
          </cell>
          <cell r="D429">
            <v>49839130</v>
          </cell>
          <cell r="E429">
            <v>0</v>
          </cell>
          <cell r="F429">
            <v>49839130</v>
          </cell>
          <cell r="G429">
            <v>0</v>
          </cell>
          <cell r="H429">
            <v>71500000</v>
          </cell>
        </row>
        <row r="430">
          <cell r="B430">
            <v>7604030104020</v>
          </cell>
          <cell r="D430">
            <v>43521739</v>
          </cell>
          <cell r="E430">
            <v>0</v>
          </cell>
          <cell r="F430">
            <v>43521739</v>
          </cell>
          <cell r="G430">
            <v>0</v>
          </cell>
          <cell r="H430">
            <v>357300000</v>
          </cell>
        </row>
        <row r="431">
          <cell r="B431">
            <v>7604110104020</v>
          </cell>
          <cell r="D431">
            <v>160350000</v>
          </cell>
          <cell r="E431">
            <v>0</v>
          </cell>
          <cell r="F431">
            <v>160350000</v>
          </cell>
          <cell r="G431">
            <v>0</v>
          </cell>
          <cell r="H431">
            <v>250200000</v>
          </cell>
        </row>
        <row r="432">
          <cell r="B432">
            <v>7604130104020</v>
          </cell>
          <cell r="D432">
            <v>1069356523</v>
          </cell>
          <cell r="E432">
            <v>0</v>
          </cell>
          <cell r="F432">
            <v>1069356523</v>
          </cell>
          <cell r="G432">
            <v>0</v>
          </cell>
          <cell r="H432">
            <v>643100000</v>
          </cell>
        </row>
        <row r="433">
          <cell r="B433">
            <v>7604130104021</v>
          </cell>
          <cell r="D433">
            <v>574287549</v>
          </cell>
          <cell r="E433">
            <v>0</v>
          </cell>
          <cell r="F433">
            <v>574287549</v>
          </cell>
          <cell r="G433">
            <v>0</v>
          </cell>
          <cell r="H433">
            <v>0</v>
          </cell>
        </row>
        <row r="434">
          <cell r="B434">
            <v>7604130204021</v>
          </cell>
          <cell r="D434">
            <v>38934109</v>
          </cell>
          <cell r="E434">
            <v>0</v>
          </cell>
          <cell r="F434">
            <v>38934109</v>
          </cell>
          <cell r="G434">
            <v>0</v>
          </cell>
          <cell r="H434">
            <v>0</v>
          </cell>
        </row>
        <row r="435">
          <cell r="B435">
            <v>7604140104020</v>
          </cell>
          <cell r="D435">
            <v>371289604</v>
          </cell>
          <cell r="E435">
            <v>0</v>
          </cell>
          <cell r="F435">
            <v>371289604</v>
          </cell>
          <cell r="G435">
            <v>0</v>
          </cell>
          <cell r="H435">
            <v>285800000</v>
          </cell>
        </row>
        <row r="436">
          <cell r="B436">
            <v>7604140104021</v>
          </cell>
          <cell r="D436">
            <v>41363115</v>
          </cell>
          <cell r="E436">
            <v>0</v>
          </cell>
          <cell r="F436">
            <v>41363115</v>
          </cell>
          <cell r="G436">
            <v>0</v>
          </cell>
          <cell r="H436">
            <v>107200000</v>
          </cell>
        </row>
        <row r="437">
          <cell r="B437">
            <v>7604410104021</v>
          </cell>
          <cell r="D437">
            <v>738461538</v>
          </cell>
          <cell r="E437">
            <v>0</v>
          </cell>
          <cell r="F437">
            <v>738461538</v>
          </cell>
          <cell r="G437">
            <v>0</v>
          </cell>
          <cell r="H437">
            <v>1072000000</v>
          </cell>
        </row>
        <row r="438">
          <cell r="B438">
            <v>7604510104020</v>
          </cell>
          <cell r="D438">
            <v>198840000</v>
          </cell>
          <cell r="E438">
            <v>0</v>
          </cell>
          <cell r="F438">
            <v>198840000</v>
          </cell>
          <cell r="G438">
            <v>0</v>
          </cell>
          <cell r="H438">
            <v>178700000</v>
          </cell>
        </row>
        <row r="439">
          <cell r="B439">
            <v>7604510104021</v>
          </cell>
          <cell r="D439">
            <v>17627717</v>
          </cell>
          <cell r="E439">
            <v>0</v>
          </cell>
          <cell r="F439">
            <v>17627717</v>
          </cell>
          <cell r="G439">
            <v>0</v>
          </cell>
          <cell r="H439">
            <v>71500000</v>
          </cell>
        </row>
        <row r="440">
          <cell r="B440">
            <v>7604520104020</v>
          </cell>
          <cell r="D440">
            <v>14870000</v>
          </cell>
          <cell r="E440">
            <v>0</v>
          </cell>
          <cell r="F440">
            <v>14870000</v>
          </cell>
          <cell r="G440">
            <v>0</v>
          </cell>
          <cell r="H440">
            <v>17700000</v>
          </cell>
        </row>
        <row r="441">
          <cell r="B441">
            <v>7604540104020</v>
          </cell>
          <cell r="D441">
            <v>794238577</v>
          </cell>
          <cell r="E441">
            <v>0</v>
          </cell>
          <cell r="F441">
            <v>794238577</v>
          </cell>
          <cell r="G441">
            <v>0</v>
          </cell>
          <cell r="H441">
            <v>500200000</v>
          </cell>
        </row>
        <row r="442">
          <cell r="B442">
            <v>7604540104021</v>
          </cell>
          <cell r="D442">
            <v>610399998</v>
          </cell>
          <cell r="E442">
            <v>0</v>
          </cell>
          <cell r="F442">
            <v>610399998</v>
          </cell>
          <cell r="G442">
            <v>0</v>
          </cell>
          <cell r="H442">
            <v>714700000</v>
          </cell>
        </row>
        <row r="443">
          <cell r="B443">
            <v>7604610104020</v>
          </cell>
          <cell r="D443">
            <v>24637680</v>
          </cell>
          <cell r="E443">
            <v>0</v>
          </cell>
          <cell r="F443">
            <v>24637680</v>
          </cell>
          <cell r="G443">
            <v>0</v>
          </cell>
          <cell r="H443">
            <v>35900000</v>
          </cell>
        </row>
        <row r="444">
          <cell r="B444">
            <v>7604690104020</v>
          </cell>
          <cell r="D444">
            <v>23630000</v>
          </cell>
          <cell r="E444">
            <v>0</v>
          </cell>
          <cell r="F444">
            <v>23630000</v>
          </cell>
          <cell r="G444">
            <v>0</v>
          </cell>
          <cell r="H444">
            <v>0</v>
          </cell>
        </row>
        <row r="445">
          <cell r="B445">
            <v>7604690204020</v>
          </cell>
          <cell r="D445">
            <v>2900916320</v>
          </cell>
          <cell r="E445">
            <v>0</v>
          </cell>
          <cell r="F445">
            <v>2900916320</v>
          </cell>
          <cell r="G445">
            <v>0</v>
          </cell>
          <cell r="H445">
            <v>0</v>
          </cell>
        </row>
        <row r="446">
          <cell r="B446">
            <v>7604990104021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17700000</v>
          </cell>
        </row>
        <row r="447">
          <cell r="B447">
            <v>7604990204020</v>
          </cell>
          <cell r="D447">
            <v>123063477</v>
          </cell>
          <cell r="E447">
            <v>0</v>
          </cell>
          <cell r="F447">
            <v>123063477</v>
          </cell>
          <cell r="G447">
            <v>0</v>
          </cell>
          <cell r="H447">
            <v>285800000</v>
          </cell>
        </row>
        <row r="448">
          <cell r="B448">
            <v>7604990204021</v>
          </cell>
          <cell r="D448">
            <v>267860213</v>
          </cell>
          <cell r="E448">
            <v>0</v>
          </cell>
          <cell r="F448">
            <v>267860213</v>
          </cell>
          <cell r="G448">
            <v>0</v>
          </cell>
          <cell r="H448">
            <v>0</v>
          </cell>
        </row>
        <row r="449">
          <cell r="B449">
            <v>7604999904020</v>
          </cell>
          <cell r="D449">
            <v>1250000</v>
          </cell>
          <cell r="E449">
            <v>0</v>
          </cell>
          <cell r="F449">
            <v>1250000</v>
          </cell>
          <cell r="G449">
            <v>0</v>
          </cell>
          <cell r="H449">
            <v>142900000</v>
          </cell>
        </row>
        <row r="450">
          <cell r="B450">
            <v>7604999904021</v>
          </cell>
          <cell r="D450">
            <v>224547828</v>
          </cell>
          <cell r="E450">
            <v>0</v>
          </cell>
          <cell r="F450">
            <v>224547828</v>
          </cell>
          <cell r="G450">
            <v>0</v>
          </cell>
          <cell r="H450">
            <v>35900000</v>
          </cell>
        </row>
        <row r="451">
          <cell r="B451">
            <v>7605510104020</v>
          </cell>
          <cell r="D451">
            <v>307784856</v>
          </cell>
          <cell r="E451">
            <v>0</v>
          </cell>
          <cell r="F451">
            <v>307784856</v>
          </cell>
          <cell r="G451">
            <v>0</v>
          </cell>
          <cell r="H451">
            <v>0</v>
          </cell>
        </row>
        <row r="452">
          <cell r="B452">
            <v>761993010178</v>
          </cell>
          <cell r="D452">
            <v>0</v>
          </cell>
          <cell r="E452">
            <v>96513370868</v>
          </cell>
          <cell r="F452">
            <v>0</v>
          </cell>
          <cell r="G452">
            <v>96513370868</v>
          </cell>
          <cell r="H452">
            <v>0</v>
          </cell>
        </row>
        <row r="453">
          <cell r="B453">
            <v>7700110304050</v>
          </cell>
          <cell r="D453">
            <v>118848151</v>
          </cell>
          <cell r="E453">
            <v>0</v>
          </cell>
          <cell r="F453">
            <v>118848151</v>
          </cell>
          <cell r="G453">
            <v>0</v>
          </cell>
          <cell r="H453">
            <v>0</v>
          </cell>
        </row>
        <row r="454">
          <cell r="B454">
            <v>7700110404050</v>
          </cell>
          <cell r="D454">
            <v>49700000</v>
          </cell>
          <cell r="E454">
            <v>0</v>
          </cell>
          <cell r="F454">
            <v>49700000</v>
          </cell>
          <cell r="G454">
            <v>0</v>
          </cell>
          <cell r="H454">
            <v>0</v>
          </cell>
        </row>
        <row r="455">
          <cell r="B455">
            <v>7700110504011</v>
          </cell>
          <cell r="D455">
            <v>533556200</v>
          </cell>
          <cell r="E455">
            <v>0</v>
          </cell>
          <cell r="F455">
            <v>533556200</v>
          </cell>
          <cell r="G455">
            <v>0</v>
          </cell>
          <cell r="H455">
            <v>0</v>
          </cell>
        </row>
        <row r="456">
          <cell r="B456">
            <v>7700110904011</v>
          </cell>
          <cell r="D456">
            <v>104956800</v>
          </cell>
          <cell r="E456">
            <v>0</v>
          </cell>
          <cell r="F456">
            <v>104956800</v>
          </cell>
          <cell r="G456">
            <v>0</v>
          </cell>
          <cell r="H456">
            <v>0</v>
          </cell>
        </row>
        <row r="457">
          <cell r="B457">
            <v>7700310104050</v>
          </cell>
          <cell r="D457">
            <v>9900000</v>
          </cell>
          <cell r="E457">
            <v>0</v>
          </cell>
          <cell r="F457">
            <v>9900000</v>
          </cell>
          <cell r="G457">
            <v>0</v>
          </cell>
          <cell r="H457">
            <v>0</v>
          </cell>
        </row>
        <row r="458">
          <cell r="B458">
            <v>7700310204011</v>
          </cell>
          <cell r="D458">
            <v>86438673</v>
          </cell>
          <cell r="E458">
            <v>0</v>
          </cell>
          <cell r="F458">
            <v>86438673</v>
          </cell>
          <cell r="G458">
            <v>0</v>
          </cell>
          <cell r="H458">
            <v>0</v>
          </cell>
        </row>
        <row r="459">
          <cell r="B459">
            <v>7700310804050</v>
          </cell>
          <cell r="D459">
            <v>48600000</v>
          </cell>
          <cell r="E459">
            <v>0</v>
          </cell>
          <cell r="F459">
            <v>48600000</v>
          </cell>
          <cell r="G459">
            <v>0</v>
          </cell>
          <cell r="H459">
            <v>0</v>
          </cell>
        </row>
        <row r="460">
          <cell r="B460">
            <v>7700319904050</v>
          </cell>
          <cell r="D460">
            <v>18582600</v>
          </cell>
          <cell r="E460">
            <v>0</v>
          </cell>
          <cell r="F460">
            <v>18582600</v>
          </cell>
          <cell r="G460">
            <v>0</v>
          </cell>
          <cell r="H460">
            <v>0</v>
          </cell>
        </row>
        <row r="461">
          <cell r="B461">
            <v>7702012104000</v>
          </cell>
          <cell r="D461">
            <v>12600000000</v>
          </cell>
          <cell r="E461">
            <v>0</v>
          </cell>
          <cell r="F461">
            <v>12600000000</v>
          </cell>
          <cell r="G461">
            <v>0</v>
          </cell>
          <cell r="H461">
            <v>12600000000</v>
          </cell>
        </row>
        <row r="462">
          <cell r="B462">
            <v>7702012104010</v>
          </cell>
          <cell r="D462">
            <v>9060000000</v>
          </cell>
          <cell r="E462">
            <v>0</v>
          </cell>
          <cell r="F462">
            <v>9060000000</v>
          </cell>
          <cell r="G462">
            <v>0</v>
          </cell>
          <cell r="H462">
            <v>4260000000</v>
          </cell>
        </row>
        <row r="463">
          <cell r="B463">
            <v>7702012104011</v>
          </cell>
          <cell r="D463">
            <v>15048000000</v>
          </cell>
          <cell r="E463">
            <v>0</v>
          </cell>
          <cell r="F463">
            <v>15048000000</v>
          </cell>
          <cell r="G463">
            <v>0</v>
          </cell>
          <cell r="H463">
            <v>15300000000</v>
          </cell>
        </row>
        <row r="464">
          <cell r="B464">
            <v>7702012104013</v>
          </cell>
          <cell r="D464">
            <v>6840000000</v>
          </cell>
          <cell r="E464">
            <v>0</v>
          </cell>
          <cell r="F464">
            <v>6840000000</v>
          </cell>
          <cell r="G464">
            <v>0</v>
          </cell>
          <cell r="H464">
            <v>6840000000</v>
          </cell>
        </row>
        <row r="465">
          <cell r="B465">
            <v>7702012104014</v>
          </cell>
          <cell r="D465">
            <v>7092333333</v>
          </cell>
          <cell r="E465">
            <v>0</v>
          </cell>
          <cell r="F465">
            <v>7092333333</v>
          </cell>
          <cell r="G465">
            <v>0</v>
          </cell>
          <cell r="H465">
            <v>7110000000</v>
          </cell>
        </row>
        <row r="466">
          <cell r="B466">
            <v>7702012104015</v>
          </cell>
          <cell r="D466">
            <v>3940000000</v>
          </cell>
          <cell r="E466">
            <v>0</v>
          </cell>
          <cell r="F466">
            <v>3940000000</v>
          </cell>
          <cell r="G466">
            <v>0</v>
          </cell>
          <cell r="H466">
            <v>9780000012</v>
          </cell>
        </row>
        <row r="467">
          <cell r="B467">
            <v>7702012104021</v>
          </cell>
          <cell r="D467">
            <v>1300000000</v>
          </cell>
          <cell r="E467">
            <v>0</v>
          </cell>
          <cell r="F467">
            <v>1300000000</v>
          </cell>
          <cell r="G467">
            <v>0</v>
          </cell>
          <cell r="H467">
            <v>0</v>
          </cell>
        </row>
        <row r="468">
          <cell r="B468">
            <v>7702012104032</v>
          </cell>
          <cell r="D468">
            <v>2670000000</v>
          </cell>
          <cell r="E468">
            <v>0</v>
          </cell>
          <cell r="F468">
            <v>2670000000</v>
          </cell>
          <cell r="G468">
            <v>0</v>
          </cell>
          <cell r="H468">
            <v>2670000000</v>
          </cell>
        </row>
        <row r="469">
          <cell r="B469">
            <v>7702012104050</v>
          </cell>
          <cell r="D469">
            <v>10860000000</v>
          </cell>
          <cell r="E469">
            <v>0</v>
          </cell>
          <cell r="F469">
            <v>10860000000</v>
          </cell>
          <cell r="G469">
            <v>0</v>
          </cell>
          <cell r="H469">
            <v>10860000000</v>
          </cell>
        </row>
        <row r="470">
          <cell r="B470">
            <v>7702012304014</v>
          </cell>
          <cell r="D470">
            <v>17666667</v>
          </cell>
          <cell r="E470">
            <v>0</v>
          </cell>
          <cell r="F470">
            <v>17666667</v>
          </cell>
          <cell r="G470">
            <v>0</v>
          </cell>
          <cell r="H470">
            <v>0</v>
          </cell>
        </row>
        <row r="471">
          <cell r="B471">
            <v>7702020204010</v>
          </cell>
          <cell r="D471">
            <v>875100001</v>
          </cell>
          <cell r="E471">
            <v>0</v>
          </cell>
          <cell r="F471">
            <v>875100001</v>
          </cell>
          <cell r="G471">
            <v>0</v>
          </cell>
          <cell r="H471">
            <v>0</v>
          </cell>
        </row>
        <row r="472">
          <cell r="B472">
            <v>7702020204014</v>
          </cell>
          <cell r="D472">
            <v>386183334</v>
          </cell>
          <cell r="E472">
            <v>0</v>
          </cell>
          <cell r="F472">
            <v>386183334</v>
          </cell>
          <cell r="G472">
            <v>0</v>
          </cell>
          <cell r="H472">
            <v>0</v>
          </cell>
        </row>
        <row r="473">
          <cell r="B473">
            <v>7702020204015</v>
          </cell>
          <cell r="D473">
            <v>330666666</v>
          </cell>
          <cell r="E473">
            <v>0</v>
          </cell>
          <cell r="F473">
            <v>330666666</v>
          </cell>
          <cell r="G473">
            <v>0</v>
          </cell>
          <cell r="H473">
            <v>0</v>
          </cell>
        </row>
        <row r="474">
          <cell r="B474">
            <v>7702040104000</v>
          </cell>
          <cell r="D474">
            <v>4200000000</v>
          </cell>
          <cell r="E474">
            <v>0</v>
          </cell>
          <cell r="F474">
            <v>4200000000</v>
          </cell>
          <cell r="G474">
            <v>0</v>
          </cell>
          <cell r="H474">
            <v>4200000000</v>
          </cell>
        </row>
        <row r="475">
          <cell r="B475">
            <v>7702040104010</v>
          </cell>
          <cell r="D475">
            <v>3019999998</v>
          </cell>
          <cell r="E475">
            <v>0</v>
          </cell>
          <cell r="F475">
            <v>3019999998</v>
          </cell>
          <cell r="G475">
            <v>0</v>
          </cell>
          <cell r="H475">
            <v>1420000002</v>
          </cell>
        </row>
        <row r="476">
          <cell r="B476">
            <v>7702040104011</v>
          </cell>
          <cell r="D476">
            <v>5100000000</v>
          </cell>
          <cell r="E476">
            <v>0</v>
          </cell>
          <cell r="F476">
            <v>5100000000</v>
          </cell>
          <cell r="G476">
            <v>0</v>
          </cell>
          <cell r="H476">
            <v>5100000000</v>
          </cell>
        </row>
        <row r="477">
          <cell r="B477">
            <v>7702040104013</v>
          </cell>
          <cell r="D477">
            <v>2280000000</v>
          </cell>
          <cell r="E477">
            <v>0</v>
          </cell>
          <cell r="F477">
            <v>2280000000</v>
          </cell>
          <cell r="G477">
            <v>0</v>
          </cell>
          <cell r="H477">
            <v>2280000000</v>
          </cell>
        </row>
        <row r="478">
          <cell r="B478">
            <v>7702040104014</v>
          </cell>
          <cell r="D478">
            <v>2370000000</v>
          </cell>
          <cell r="E478">
            <v>0</v>
          </cell>
          <cell r="F478">
            <v>2370000000</v>
          </cell>
          <cell r="G478">
            <v>0</v>
          </cell>
          <cell r="H478">
            <v>2370000000</v>
          </cell>
        </row>
        <row r="479">
          <cell r="B479">
            <v>7702040104015</v>
          </cell>
          <cell r="D479">
            <v>1313333332</v>
          </cell>
          <cell r="E479">
            <v>0</v>
          </cell>
          <cell r="F479">
            <v>1313333332</v>
          </cell>
          <cell r="G479">
            <v>0</v>
          </cell>
          <cell r="H479">
            <v>3260000004</v>
          </cell>
        </row>
        <row r="480">
          <cell r="B480">
            <v>7702040104032</v>
          </cell>
          <cell r="D480">
            <v>1334999998</v>
          </cell>
          <cell r="E480">
            <v>0</v>
          </cell>
          <cell r="F480">
            <v>1334999998</v>
          </cell>
          <cell r="G480">
            <v>0</v>
          </cell>
          <cell r="H480">
            <v>889999998</v>
          </cell>
        </row>
        <row r="481">
          <cell r="B481">
            <v>7702040104050</v>
          </cell>
          <cell r="D481">
            <v>3619999999</v>
          </cell>
          <cell r="E481">
            <v>0</v>
          </cell>
          <cell r="F481">
            <v>3619999999</v>
          </cell>
          <cell r="G481">
            <v>0</v>
          </cell>
          <cell r="H481">
            <v>3619999998</v>
          </cell>
        </row>
        <row r="482">
          <cell r="B482">
            <v>7702050104120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10144470</v>
          </cell>
        </row>
        <row r="483">
          <cell r="B483">
            <v>7702050104131</v>
          </cell>
          <cell r="D483">
            <v>361708086</v>
          </cell>
          <cell r="E483">
            <v>0</v>
          </cell>
          <cell r="F483">
            <v>361708086</v>
          </cell>
          <cell r="G483">
            <v>0</v>
          </cell>
          <cell r="H483">
            <v>28249686</v>
          </cell>
        </row>
        <row r="484">
          <cell r="B484">
            <v>7702050104132</v>
          </cell>
          <cell r="D484">
            <v>471061578</v>
          </cell>
          <cell r="E484">
            <v>0</v>
          </cell>
          <cell r="F484">
            <v>471061578</v>
          </cell>
          <cell r="G484">
            <v>0</v>
          </cell>
          <cell r="H484">
            <v>0</v>
          </cell>
        </row>
        <row r="485">
          <cell r="B485">
            <v>7702050104133</v>
          </cell>
          <cell r="D485">
            <v>100941750</v>
          </cell>
          <cell r="E485">
            <v>0</v>
          </cell>
          <cell r="F485">
            <v>100941750</v>
          </cell>
          <cell r="G485">
            <v>0</v>
          </cell>
          <cell r="H485">
            <v>21870714</v>
          </cell>
        </row>
        <row r="486">
          <cell r="B486">
            <v>7702050104134</v>
          </cell>
          <cell r="D486">
            <v>159824586</v>
          </cell>
          <cell r="E486">
            <v>0</v>
          </cell>
          <cell r="F486">
            <v>159824586</v>
          </cell>
          <cell r="G486">
            <v>0</v>
          </cell>
          <cell r="H486">
            <v>0</v>
          </cell>
        </row>
        <row r="487">
          <cell r="B487">
            <v>7702050104135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53569788</v>
          </cell>
        </row>
        <row r="488">
          <cell r="B488">
            <v>7702050104230</v>
          </cell>
          <cell r="D488">
            <v>75706428</v>
          </cell>
          <cell r="E488">
            <v>0</v>
          </cell>
          <cell r="F488">
            <v>75706428</v>
          </cell>
          <cell r="G488">
            <v>0</v>
          </cell>
          <cell r="H488">
            <v>8201532</v>
          </cell>
        </row>
        <row r="489">
          <cell r="B489">
            <v>7702050104250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7710834</v>
          </cell>
        </row>
        <row r="490">
          <cell r="B490">
            <v>7702050104260</v>
          </cell>
          <cell r="D490">
            <v>476693154</v>
          </cell>
          <cell r="E490">
            <v>0</v>
          </cell>
          <cell r="F490">
            <v>476693154</v>
          </cell>
          <cell r="G490">
            <v>0</v>
          </cell>
          <cell r="H490">
            <v>34628658</v>
          </cell>
        </row>
        <row r="491">
          <cell r="B491">
            <v>7702050104270</v>
          </cell>
          <cell r="D491">
            <v>157043982</v>
          </cell>
          <cell r="E491">
            <v>0</v>
          </cell>
          <cell r="F491">
            <v>157043982</v>
          </cell>
          <cell r="G491">
            <v>0</v>
          </cell>
          <cell r="H491">
            <v>0</v>
          </cell>
        </row>
        <row r="492">
          <cell r="B492">
            <v>7702050204011</v>
          </cell>
          <cell r="D492">
            <v>1053750000</v>
          </cell>
          <cell r="E492">
            <v>0</v>
          </cell>
          <cell r="F492">
            <v>1053750000</v>
          </cell>
          <cell r="G492">
            <v>0</v>
          </cell>
          <cell r="H492">
            <v>1053750000</v>
          </cell>
        </row>
        <row r="493">
          <cell r="B493">
            <v>7702050204020</v>
          </cell>
          <cell r="D493">
            <v>240000000</v>
          </cell>
          <cell r="E493">
            <v>0</v>
          </cell>
          <cell r="F493">
            <v>240000000</v>
          </cell>
          <cell r="G493">
            <v>0</v>
          </cell>
          <cell r="H493">
            <v>160000002</v>
          </cell>
        </row>
        <row r="494">
          <cell r="B494">
            <v>7702050204032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333750000</v>
          </cell>
        </row>
        <row r="495">
          <cell r="B495">
            <v>7702050204050</v>
          </cell>
          <cell r="D495">
            <v>521250000</v>
          </cell>
          <cell r="E495">
            <v>0</v>
          </cell>
          <cell r="F495">
            <v>521250000</v>
          </cell>
          <cell r="G495">
            <v>0</v>
          </cell>
          <cell r="H495">
            <v>521250000</v>
          </cell>
        </row>
        <row r="496">
          <cell r="B496">
            <v>7702110204011</v>
          </cell>
          <cell r="D496">
            <v>2537059710</v>
          </cell>
          <cell r="E496">
            <v>0</v>
          </cell>
          <cell r="F496">
            <v>2537059710</v>
          </cell>
          <cell r="G496">
            <v>0</v>
          </cell>
          <cell r="H496">
            <v>0</v>
          </cell>
        </row>
        <row r="497">
          <cell r="B497">
            <v>7702110204021</v>
          </cell>
          <cell r="D497">
            <v>541302637</v>
          </cell>
          <cell r="E497">
            <v>0</v>
          </cell>
          <cell r="F497">
            <v>541302637</v>
          </cell>
          <cell r="G497">
            <v>0</v>
          </cell>
          <cell r="H497">
            <v>0</v>
          </cell>
        </row>
        <row r="498">
          <cell r="B498">
            <v>7702120204011</v>
          </cell>
          <cell r="D498">
            <v>936504040</v>
          </cell>
          <cell r="E498">
            <v>0</v>
          </cell>
          <cell r="F498">
            <v>936504040</v>
          </cell>
          <cell r="G498">
            <v>0</v>
          </cell>
          <cell r="H498">
            <v>0</v>
          </cell>
        </row>
        <row r="499">
          <cell r="B499">
            <v>7702120204050</v>
          </cell>
          <cell r="D499">
            <v>936504041</v>
          </cell>
          <cell r="E499">
            <v>0</v>
          </cell>
          <cell r="F499">
            <v>936504041</v>
          </cell>
          <cell r="G499">
            <v>0</v>
          </cell>
          <cell r="H499">
            <v>0</v>
          </cell>
        </row>
        <row r="500">
          <cell r="B500">
            <v>7702190204010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250200000</v>
          </cell>
        </row>
        <row r="501">
          <cell r="B501">
            <v>7702190204050</v>
          </cell>
          <cell r="D501">
            <v>884850000</v>
          </cell>
          <cell r="E501">
            <v>0</v>
          </cell>
          <cell r="F501">
            <v>884850000</v>
          </cell>
          <cell r="G501">
            <v>0</v>
          </cell>
          <cell r="H501">
            <v>0</v>
          </cell>
        </row>
        <row r="502">
          <cell r="B502">
            <v>7702192204000</v>
          </cell>
          <cell r="D502">
            <v>895035231</v>
          </cell>
          <cell r="E502">
            <v>0</v>
          </cell>
          <cell r="F502">
            <v>895035231</v>
          </cell>
          <cell r="G502">
            <v>0</v>
          </cell>
          <cell r="H502">
            <v>571800000</v>
          </cell>
        </row>
        <row r="503">
          <cell r="B503">
            <v>7702192204010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142900000</v>
          </cell>
        </row>
        <row r="504">
          <cell r="B504">
            <v>7702192204011</v>
          </cell>
          <cell r="D504">
            <v>12615358</v>
          </cell>
          <cell r="E504">
            <v>0</v>
          </cell>
          <cell r="F504">
            <v>12615358</v>
          </cell>
          <cell r="G504">
            <v>0</v>
          </cell>
          <cell r="H504">
            <v>357300000</v>
          </cell>
        </row>
        <row r="505">
          <cell r="B505">
            <v>7702192204013</v>
          </cell>
          <cell r="D505">
            <v>12615358</v>
          </cell>
          <cell r="E505">
            <v>0</v>
          </cell>
          <cell r="F505">
            <v>12615358</v>
          </cell>
          <cell r="G505">
            <v>0</v>
          </cell>
          <cell r="H505">
            <v>92900000</v>
          </cell>
        </row>
        <row r="506">
          <cell r="B506">
            <v>7702192204014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23600000</v>
          </cell>
        </row>
        <row r="507">
          <cell r="B507">
            <v>7702192204032</v>
          </cell>
          <cell r="D507">
            <v>209359604</v>
          </cell>
          <cell r="E507">
            <v>0</v>
          </cell>
          <cell r="F507">
            <v>209359604</v>
          </cell>
          <cell r="G507">
            <v>0</v>
          </cell>
          <cell r="H507">
            <v>0</v>
          </cell>
        </row>
        <row r="508">
          <cell r="B508">
            <v>7702192204050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285800000</v>
          </cell>
        </row>
        <row r="509">
          <cell r="B509">
            <v>7702210204000</v>
          </cell>
          <cell r="D509">
            <v>180268200</v>
          </cell>
          <cell r="E509">
            <v>0</v>
          </cell>
          <cell r="F509">
            <v>180268200</v>
          </cell>
          <cell r="G509">
            <v>0</v>
          </cell>
          <cell r="H509">
            <v>190080000</v>
          </cell>
        </row>
        <row r="510">
          <cell r="B510">
            <v>7702210204010</v>
          </cell>
          <cell r="D510">
            <v>537599832</v>
          </cell>
          <cell r="E510">
            <v>0</v>
          </cell>
          <cell r="F510">
            <v>537599832</v>
          </cell>
          <cell r="G510">
            <v>0</v>
          </cell>
          <cell r="H510">
            <v>380160000</v>
          </cell>
        </row>
        <row r="511">
          <cell r="B511">
            <v>7702210204011</v>
          </cell>
          <cell r="D511">
            <v>1039977121</v>
          </cell>
          <cell r="E511">
            <v>0</v>
          </cell>
          <cell r="F511">
            <v>1039977121</v>
          </cell>
          <cell r="G511">
            <v>0</v>
          </cell>
          <cell r="H511">
            <v>760320000</v>
          </cell>
        </row>
        <row r="512">
          <cell r="B512">
            <v>7702210204013</v>
          </cell>
          <cell r="D512">
            <v>360536400</v>
          </cell>
          <cell r="E512">
            <v>0</v>
          </cell>
          <cell r="F512">
            <v>360536400</v>
          </cell>
          <cell r="G512">
            <v>0</v>
          </cell>
          <cell r="H512">
            <v>380160000</v>
          </cell>
        </row>
        <row r="513">
          <cell r="B513">
            <v>7702210204014</v>
          </cell>
          <cell r="D513">
            <v>538300875</v>
          </cell>
          <cell r="E513">
            <v>0</v>
          </cell>
          <cell r="F513">
            <v>538300875</v>
          </cell>
          <cell r="G513">
            <v>0</v>
          </cell>
          <cell r="H513">
            <v>570240000</v>
          </cell>
        </row>
        <row r="514">
          <cell r="B514">
            <v>7702210204015</v>
          </cell>
          <cell r="D514">
            <v>299044914</v>
          </cell>
          <cell r="E514">
            <v>0</v>
          </cell>
          <cell r="F514">
            <v>299044914</v>
          </cell>
          <cell r="G514">
            <v>0</v>
          </cell>
          <cell r="H514">
            <v>570240000</v>
          </cell>
        </row>
        <row r="515">
          <cell r="B515">
            <v>7702210204021</v>
          </cell>
          <cell r="D515">
            <v>60089400</v>
          </cell>
          <cell r="E515">
            <v>0</v>
          </cell>
          <cell r="F515">
            <v>60089400</v>
          </cell>
          <cell r="G515">
            <v>0</v>
          </cell>
          <cell r="H515">
            <v>0</v>
          </cell>
        </row>
        <row r="516">
          <cell r="B516">
            <v>7702210204032</v>
          </cell>
          <cell r="D516">
            <v>182070882</v>
          </cell>
          <cell r="E516">
            <v>0</v>
          </cell>
          <cell r="F516">
            <v>182070882</v>
          </cell>
          <cell r="G516">
            <v>0</v>
          </cell>
          <cell r="H516">
            <v>190080000</v>
          </cell>
        </row>
        <row r="517">
          <cell r="B517">
            <v>7702210204050</v>
          </cell>
          <cell r="D517">
            <v>717567585</v>
          </cell>
          <cell r="E517">
            <v>0</v>
          </cell>
          <cell r="F517">
            <v>717567585</v>
          </cell>
          <cell r="G517">
            <v>0</v>
          </cell>
          <cell r="H517">
            <v>760320000</v>
          </cell>
        </row>
        <row r="518">
          <cell r="B518">
            <v>7702240204000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378000000</v>
          </cell>
        </row>
        <row r="519">
          <cell r="B519">
            <v>7702240204010</v>
          </cell>
          <cell r="D519">
            <v>298052999</v>
          </cell>
          <cell r="E519">
            <v>0</v>
          </cell>
          <cell r="F519">
            <v>298052999</v>
          </cell>
          <cell r="G519">
            <v>0</v>
          </cell>
          <cell r="H519">
            <v>127800000</v>
          </cell>
        </row>
        <row r="520">
          <cell r="B520">
            <v>7702240204011</v>
          </cell>
          <cell r="D520">
            <v>460440000</v>
          </cell>
          <cell r="E520">
            <v>0</v>
          </cell>
          <cell r="F520">
            <v>460440000</v>
          </cell>
          <cell r="G520">
            <v>0</v>
          </cell>
          <cell r="H520">
            <v>459000000</v>
          </cell>
        </row>
        <row r="521">
          <cell r="B521">
            <v>7702240204013</v>
          </cell>
          <cell r="D521">
            <v>205200000</v>
          </cell>
          <cell r="E521">
            <v>0</v>
          </cell>
          <cell r="F521">
            <v>205200000</v>
          </cell>
          <cell r="G521">
            <v>0</v>
          </cell>
          <cell r="H521">
            <v>205200000</v>
          </cell>
        </row>
        <row r="522">
          <cell r="B522">
            <v>7702240204014</v>
          </cell>
          <cell r="D522">
            <v>223906499</v>
          </cell>
          <cell r="E522">
            <v>0</v>
          </cell>
          <cell r="F522">
            <v>223906499</v>
          </cell>
          <cell r="G522">
            <v>0</v>
          </cell>
          <cell r="H522">
            <v>213300000</v>
          </cell>
        </row>
        <row r="523">
          <cell r="B523">
            <v>7702240204015</v>
          </cell>
          <cell r="D523">
            <v>128119997</v>
          </cell>
          <cell r="E523">
            <v>0</v>
          </cell>
          <cell r="F523">
            <v>128119997</v>
          </cell>
          <cell r="G523">
            <v>0</v>
          </cell>
          <cell r="H523">
            <v>293400000</v>
          </cell>
        </row>
        <row r="524">
          <cell r="B524">
            <v>7702240204021</v>
          </cell>
          <cell r="D524">
            <v>39000000</v>
          </cell>
          <cell r="E524">
            <v>0</v>
          </cell>
          <cell r="F524">
            <v>39000000</v>
          </cell>
          <cell r="G524">
            <v>0</v>
          </cell>
          <cell r="H524">
            <v>0</v>
          </cell>
        </row>
        <row r="525">
          <cell r="B525">
            <v>7702240204032</v>
          </cell>
          <cell r="D525">
            <v>81078999</v>
          </cell>
          <cell r="E525">
            <v>0</v>
          </cell>
          <cell r="F525">
            <v>81078999</v>
          </cell>
          <cell r="G525">
            <v>0</v>
          </cell>
          <cell r="H525">
            <v>80100000</v>
          </cell>
        </row>
        <row r="526">
          <cell r="B526">
            <v>7702240204050</v>
          </cell>
          <cell r="D526">
            <v>325800000</v>
          </cell>
          <cell r="E526">
            <v>0</v>
          </cell>
          <cell r="F526">
            <v>325800000</v>
          </cell>
          <cell r="G526">
            <v>0</v>
          </cell>
          <cell r="H526">
            <v>325800000</v>
          </cell>
        </row>
        <row r="527">
          <cell r="B527">
            <v>7702310104050</v>
          </cell>
          <cell r="D527">
            <v>656520000</v>
          </cell>
          <cell r="E527">
            <v>0</v>
          </cell>
          <cell r="F527">
            <v>656520000</v>
          </cell>
          <cell r="G527">
            <v>0</v>
          </cell>
          <cell r="H527">
            <v>405000000</v>
          </cell>
        </row>
        <row r="528">
          <cell r="B528">
            <v>7702310104120</v>
          </cell>
          <cell r="D528">
            <v>162950000</v>
          </cell>
          <cell r="E528">
            <v>0</v>
          </cell>
          <cell r="F528">
            <v>162950000</v>
          </cell>
          <cell r="G528">
            <v>0</v>
          </cell>
          <cell r="H528">
            <v>270000000</v>
          </cell>
        </row>
        <row r="529">
          <cell r="B529">
            <v>7702310104131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90000000</v>
          </cell>
        </row>
        <row r="530">
          <cell r="B530">
            <v>7702310104133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90000000</v>
          </cell>
        </row>
        <row r="531">
          <cell r="B531">
            <v>7702310104134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60000000</v>
          </cell>
        </row>
        <row r="532">
          <cell r="B532">
            <v>7702310104135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75000000</v>
          </cell>
        </row>
        <row r="533">
          <cell r="B533">
            <v>7702310104230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30000000</v>
          </cell>
        </row>
        <row r="534">
          <cell r="B534">
            <v>7702310104250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30000000</v>
          </cell>
        </row>
        <row r="535">
          <cell r="B535">
            <v>7702310104260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60000000</v>
          </cell>
        </row>
        <row r="536">
          <cell r="B536">
            <v>7702310104270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30000000</v>
          </cell>
        </row>
        <row r="537">
          <cell r="B537">
            <v>7702310104280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30000000</v>
          </cell>
        </row>
        <row r="538">
          <cell r="B538">
            <v>7702310104290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75000000</v>
          </cell>
        </row>
        <row r="539">
          <cell r="B539">
            <v>7702320104000</v>
          </cell>
          <cell r="D539">
            <v>136493528</v>
          </cell>
          <cell r="E539">
            <v>0</v>
          </cell>
          <cell r="F539">
            <v>136493528</v>
          </cell>
          <cell r="G539">
            <v>0</v>
          </cell>
          <cell r="H539">
            <v>156000000</v>
          </cell>
        </row>
        <row r="540">
          <cell r="B540">
            <v>7702320104010</v>
          </cell>
          <cell r="D540">
            <v>409480584</v>
          </cell>
          <cell r="E540">
            <v>0</v>
          </cell>
          <cell r="F540">
            <v>409480584</v>
          </cell>
          <cell r="G540">
            <v>0</v>
          </cell>
          <cell r="H540">
            <v>312000000</v>
          </cell>
        </row>
        <row r="541">
          <cell r="B541">
            <v>7702320104011</v>
          </cell>
          <cell r="D541">
            <v>531062938</v>
          </cell>
          <cell r="E541">
            <v>0</v>
          </cell>
          <cell r="F541">
            <v>531062938</v>
          </cell>
          <cell r="G541">
            <v>0</v>
          </cell>
          <cell r="H541">
            <v>624000000</v>
          </cell>
        </row>
        <row r="542">
          <cell r="B542">
            <v>7702320104013</v>
          </cell>
          <cell r="D542">
            <v>272987056</v>
          </cell>
          <cell r="E542">
            <v>0</v>
          </cell>
          <cell r="F542">
            <v>272987056</v>
          </cell>
          <cell r="G542">
            <v>0</v>
          </cell>
          <cell r="H542">
            <v>312000000</v>
          </cell>
        </row>
        <row r="543">
          <cell r="B543">
            <v>7702320104014</v>
          </cell>
          <cell r="D543">
            <v>409480584</v>
          </cell>
          <cell r="E543">
            <v>0</v>
          </cell>
          <cell r="F543">
            <v>409480584</v>
          </cell>
          <cell r="G543">
            <v>0</v>
          </cell>
          <cell r="H543">
            <v>468000000</v>
          </cell>
        </row>
        <row r="544">
          <cell r="B544">
            <v>7702320104015</v>
          </cell>
          <cell r="D544">
            <v>260760383</v>
          </cell>
          <cell r="E544">
            <v>0</v>
          </cell>
          <cell r="F544">
            <v>260760383</v>
          </cell>
          <cell r="G544">
            <v>0</v>
          </cell>
          <cell r="H544">
            <v>468000000</v>
          </cell>
        </row>
        <row r="545">
          <cell r="B545">
            <v>7702320104032</v>
          </cell>
          <cell r="D545">
            <v>101335703</v>
          </cell>
          <cell r="E545">
            <v>0</v>
          </cell>
          <cell r="F545">
            <v>101335703</v>
          </cell>
          <cell r="G545">
            <v>0</v>
          </cell>
          <cell r="H545">
            <v>156000000</v>
          </cell>
        </row>
        <row r="546">
          <cell r="B546">
            <v>7702320104050</v>
          </cell>
          <cell r="D546">
            <v>1256531205</v>
          </cell>
          <cell r="E546">
            <v>0</v>
          </cell>
          <cell r="F546">
            <v>1256531205</v>
          </cell>
          <cell r="G546">
            <v>0</v>
          </cell>
          <cell r="H546">
            <v>624000000</v>
          </cell>
        </row>
        <row r="547">
          <cell r="B547">
            <v>7702330104000</v>
          </cell>
          <cell r="D547">
            <v>100000000</v>
          </cell>
          <cell r="E547">
            <v>0</v>
          </cell>
          <cell r="F547">
            <v>100000000</v>
          </cell>
          <cell r="G547">
            <v>0</v>
          </cell>
          <cell r="H547">
            <v>0</v>
          </cell>
        </row>
        <row r="548">
          <cell r="B548">
            <v>7702330104050</v>
          </cell>
          <cell r="D548">
            <v>20765304</v>
          </cell>
          <cell r="E548">
            <v>0</v>
          </cell>
          <cell r="F548">
            <v>20765304</v>
          </cell>
          <cell r="G548">
            <v>0</v>
          </cell>
          <cell r="H548">
            <v>0</v>
          </cell>
        </row>
        <row r="549">
          <cell r="B549">
            <v>7702350104000</v>
          </cell>
          <cell r="D549">
            <v>245429378</v>
          </cell>
          <cell r="E549">
            <v>0</v>
          </cell>
          <cell r="F549">
            <v>245429378</v>
          </cell>
          <cell r="G549">
            <v>0</v>
          </cell>
          <cell r="H549">
            <v>60000000</v>
          </cell>
        </row>
        <row r="550">
          <cell r="B550">
            <v>7702350104010</v>
          </cell>
          <cell r="D550">
            <v>235547204</v>
          </cell>
          <cell r="E550">
            <v>0</v>
          </cell>
          <cell r="F550">
            <v>235547204</v>
          </cell>
          <cell r="G550">
            <v>0</v>
          </cell>
          <cell r="H550">
            <v>120000000</v>
          </cell>
        </row>
        <row r="551">
          <cell r="B551">
            <v>7702350104011</v>
          </cell>
          <cell r="D551">
            <v>12391304</v>
          </cell>
          <cell r="E551">
            <v>0</v>
          </cell>
          <cell r="F551">
            <v>12391304</v>
          </cell>
          <cell r="G551">
            <v>0</v>
          </cell>
          <cell r="H551">
            <v>240000000</v>
          </cell>
        </row>
        <row r="552">
          <cell r="B552">
            <v>7702350104013</v>
          </cell>
          <cell r="D552">
            <v>234891304</v>
          </cell>
          <cell r="E552">
            <v>0</v>
          </cell>
          <cell r="F552">
            <v>234891304</v>
          </cell>
          <cell r="G552">
            <v>0</v>
          </cell>
          <cell r="H552">
            <v>120000000</v>
          </cell>
        </row>
        <row r="553">
          <cell r="B553">
            <v>7702350104014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180000000</v>
          </cell>
        </row>
        <row r="554">
          <cell r="B554">
            <v>7702350104015</v>
          </cell>
          <cell r="D554">
            <v>4891304</v>
          </cell>
          <cell r="E554">
            <v>0</v>
          </cell>
          <cell r="F554">
            <v>4891304</v>
          </cell>
          <cell r="G554">
            <v>0</v>
          </cell>
          <cell r="H554">
            <v>180000000</v>
          </cell>
        </row>
        <row r="555">
          <cell r="B555">
            <v>7702350104032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60000000</v>
          </cell>
        </row>
        <row r="556">
          <cell r="B556">
            <v>7702350104050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240000000</v>
          </cell>
        </row>
        <row r="557">
          <cell r="B557">
            <v>7702360104000</v>
          </cell>
          <cell r="D557">
            <v>264787988</v>
          </cell>
          <cell r="E557">
            <v>0</v>
          </cell>
          <cell r="F557">
            <v>264787988</v>
          </cell>
          <cell r="G557">
            <v>0</v>
          </cell>
          <cell r="H557">
            <v>270000000</v>
          </cell>
        </row>
        <row r="558">
          <cell r="B558">
            <v>7702360104010</v>
          </cell>
          <cell r="D558">
            <v>794363964</v>
          </cell>
          <cell r="E558">
            <v>0</v>
          </cell>
          <cell r="F558">
            <v>794363964</v>
          </cell>
          <cell r="G558">
            <v>0</v>
          </cell>
          <cell r="H558">
            <v>540000000</v>
          </cell>
        </row>
        <row r="559">
          <cell r="B559">
            <v>7702360104011</v>
          </cell>
          <cell r="D559">
            <v>1027960381</v>
          </cell>
          <cell r="E559">
            <v>0</v>
          </cell>
          <cell r="F559">
            <v>1027960381</v>
          </cell>
          <cell r="G559">
            <v>0</v>
          </cell>
          <cell r="H559">
            <v>1080000000</v>
          </cell>
        </row>
        <row r="560">
          <cell r="B560">
            <v>7702360104013</v>
          </cell>
          <cell r="D560">
            <v>529575976</v>
          </cell>
          <cell r="E560">
            <v>0</v>
          </cell>
          <cell r="F560">
            <v>529575976</v>
          </cell>
          <cell r="G560">
            <v>0</v>
          </cell>
          <cell r="H560">
            <v>540000000</v>
          </cell>
        </row>
        <row r="561">
          <cell r="B561">
            <v>7702360104014</v>
          </cell>
          <cell r="D561">
            <v>794363964</v>
          </cell>
          <cell r="E561">
            <v>0</v>
          </cell>
          <cell r="F561">
            <v>794363964</v>
          </cell>
          <cell r="G561">
            <v>0</v>
          </cell>
          <cell r="H561">
            <v>810000000</v>
          </cell>
        </row>
        <row r="562">
          <cell r="B562">
            <v>7702360104015</v>
          </cell>
          <cell r="D562">
            <v>508913797</v>
          </cell>
          <cell r="E562">
            <v>0</v>
          </cell>
          <cell r="F562">
            <v>508913797</v>
          </cell>
          <cell r="G562">
            <v>0</v>
          </cell>
          <cell r="H562">
            <v>810000000</v>
          </cell>
        </row>
        <row r="563">
          <cell r="B563">
            <v>7702360104032</v>
          </cell>
          <cell r="D563">
            <v>206618296</v>
          </cell>
          <cell r="E563">
            <v>0</v>
          </cell>
          <cell r="F563">
            <v>206618296</v>
          </cell>
          <cell r="G563">
            <v>0</v>
          </cell>
          <cell r="H563">
            <v>270000000</v>
          </cell>
        </row>
        <row r="564">
          <cell r="B564">
            <v>7702360104050</v>
          </cell>
          <cell r="D564">
            <v>1059151958</v>
          </cell>
          <cell r="E564">
            <v>0</v>
          </cell>
          <cell r="F564">
            <v>1059151958</v>
          </cell>
          <cell r="G564">
            <v>0</v>
          </cell>
          <cell r="H564">
            <v>1080000000</v>
          </cell>
        </row>
        <row r="565">
          <cell r="B565">
            <v>7702490104000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2100000000</v>
          </cell>
        </row>
        <row r="566">
          <cell r="B566">
            <v>7703040104050</v>
          </cell>
          <cell r="D566">
            <v>1372871317</v>
          </cell>
          <cell r="E566">
            <v>0</v>
          </cell>
          <cell r="F566">
            <v>1372871317</v>
          </cell>
          <cell r="G566">
            <v>0</v>
          </cell>
          <cell r="H566">
            <v>1072000000</v>
          </cell>
        </row>
        <row r="567">
          <cell r="B567">
            <v>7703110104000</v>
          </cell>
          <cell r="D567">
            <v>849000000</v>
          </cell>
          <cell r="E567">
            <v>0</v>
          </cell>
          <cell r="F567">
            <v>849000000</v>
          </cell>
          <cell r="G567">
            <v>0</v>
          </cell>
          <cell r="H567">
            <v>714700000</v>
          </cell>
        </row>
        <row r="568">
          <cell r="B568">
            <v>7703120104011</v>
          </cell>
          <cell r="D568">
            <v>5400000</v>
          </cell>
          <cell r="E568">
            <v>0</v>
          </cell>
          <cell r="F568">
            <v>5400000</v>
          </cell>
          <cell r="G568">
            <v>0</v>
          </cell>
          <cell r="H568">
            <v>0</v>
          </cell>
        </row>
        <row r="569">
          <cell r="B569">
            <v>7703120104014</v>
          </cell>
          <cell r="D569">
            <v>15000000</v>
          </cell>
          <cell r="E569">
            <v>0</v>
          </cell>
          <cell r="F569">
            <v>15000000</v>
          </cell>
          <cell r="G569">
            <v>0</v>
          </cell>
          <cell r="H569">
            <v>0</v>
          </cell>
        </row>
        <row r="570">
          <cell r="B570">
            <v>7703120104050</v>
          </cell>
          <cell r="D570">
            <v>1264992500</v>
          </cell>
          <cell r="E570">
            <v>0</v>
          </cell>
          <cell r="F570">
            <v>1264992500</v>
          </cell>
          <cell r="G570">
            <v>0</v>
          </cell>
          <cell r="H570">
            <v>142900000</v>
          </cell>
        </row>
        <row r="571">
          <cell r="B571">
            <v>7703130104010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142900000</v>
          </cell>
        </row>
        <row r="572">
          <cell r="B572">
            <v>7703130104050</v>
          </cell>
          <cell r="D572">
            <v>75739130</v>
          </cell>
          <cell r="E572">
            <v>0</v>
          </cell>
          <cell r="F572">
            <v>75739130</v>
          </cell>
          <cell r="G572">
            <v>0</v>
          </cell>
          <cell r="H572">
            <v>142900000</v>
          </cell>
        </row>
        <row r="573">
          <cell r="B573">
            <v>7703160104050</v>
          </cell>
          <cell r="D573">
            <v>278564668</v>
          </cell>
          <cell r="E573">
            <v>0</v>
          </cell>
          <cell r="F573">
            <v>278564668</v>
          </cell>
          <cell r="G573">
            <v>0</v>
          </cell>
          <cell r="H573">
            <v>357300000</v>
          </cell>
        </row>
        <row r="574">
          <cell r="B574">
            <v>7703180104010</v>
          </cell>
          <cell r="D574">
            <v>19000000</v>
          </cell>
          <cell r="E574">
            <v>0</v>
          </cell>
          <cell r="F574">
            <v>19000000</v>
          </cell>
          <cell r="G574">
            <v>0</v>
          </cell>
          <cell r="H574">
            <v>35900000</v>
          </cell>
        </row>
        <row r="575">
          <cell r="B575">
            <v>7703180104011</v>
          </cell>
          <cell r="D575">
            <v>10000000</v>
          </cell>
          <cell r="E575">
            <v>0</v>
          </cell>
          <cell r="F575">
            <v>10000000</v>
          </cell>
          <cell r="G575">
            <v>0</v>
          </cell>
          <cell r="H575">
            <v>0</v>
          </cell>
        </row>
        <row r="576">
          <cell r="B576">
            <v>7703180104014</v>
          </cell>
          <cell r="D576">
            <v>4000000</v>
          </cell>
          <cell r="E576">
            <v>0</v>
          </cell>
          <cell r="F576">
            <v>4000000</v>
          </cell>
          <cell r="G576">
            <v>0</v>
          </cell>
          <cell r="H576">
            <v>9300000</v>
          </cell>
        </row>
        <row r="577">
          <cell r="B577">
            <v>7703180104015</v>
          </cell>
          <cell r="D577">
            <v>301973124</v>
          </cell>
          <cell r="E577">
            <v>0</v>
          </cell>
          <cell r="F577">
            <v>301973124</v>
          </cell>
          <cell r="G577">
            <v>0</v>
          </cell>
          <cell r="H577">
            <v>0</v>
          </cell>
        </row>
        <row r="578">
          <cell r="B578">
            <v>7703180104050</v>
          </cell>
          <cell r="D578">
            <v>1052996786</v>
          </cell>
          <cell r="E578">
            <v>0</v>
          </cell>
          <cell r="F578">
            <v>1052996786</v>
          </cell>
          <cell r="G578">
            <v>0</v>
          </cell>
          <cell r="H578">
            <v>714700000</v>
          </cell>
        </row>
        <row r="579">
          <cell r="B579">
            <v>7703180104070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>
            <v>7703190104010</v>
          </cell>
          <cell r="D580">
            <v>516160000</v>
          </cell>
          <cell r="E580">
            <v>0</v>
          </cell>
          <cell r="F580">
            <v>516160000</v>
          </cell>
          <cell r="G580">
            <v>0</v>
          </cell>
          <cell r="H580">
            <v>857600000</v>
          </cell>
        </row>
        <row r="581">
          <cell r="B581">
            <v>7703190104011</v>
          </cell>
          <cell r="D581">
            <v>267250000</v>
          </cell>
          <cell r="E581">
            <v>0</v>
          </cell>
          <cell r="F581">
            <v>267250000</v>
          </cell>
          <cell r="G581">
            <v>0</v>
          </cell>
          <cell r="H581">
            <v>0</v>
          </cell>
        </row>
        <row r="582">
          <cell r="B582">
            <v>7703190104013</v>
          </cell>
          <cell r="D582">
            <v>358861650</v>
          </cell>
          <cell r="E582">
            <v>0</v>
          </cell>
          <cell r="F582">
            <v>358861650</v>
          </cell>
          <cell r="G582">
            <v>0</v>
          </cell>
          <cell r="H582">
            <v>35900000</v>
          </cell>
        </row>
        <row r="583">
          <cell r="B583">
            <v>7703190104050</v>
          </cell>
          <cell r="D583">
            <v>5583075202</v>
          </cell>
          <cell r="E583">
            <v>0</v>
          </cell>
          <cell r="F583">
            <v>5583075202</v>
          </cell>
          <cell r="G583">
            <v>0</v>
          </cell>
          <cell r="H583">
            <v>7146400000</v>
          </cell>
        </row>
        <row r="584">
          <cell r="B584">
            <v>7703210104050</v>
          </cell>
          <cell r="D584">
            <v>22296120300</v>
          </cell>
          <cell r="E584">
            <v>0</v>
          </cell>
          <cell r="F584">
            <v>22296120300</v>
          </cell>
          <cell r="G584">
            <v>0</v>
          </cell>
          <cell r="H584">
            <v>19469700000</v>
          </cell>
        </row>
        <row r="585">
          <cell r="B585">
            <v>7703230104000</v>
          </cell>
          <cell r="D585">
            <v>100000000</v>
          </cell>
          <cell r="E585">
            <v>0</v>
          </cell>
          <cell r="F585">
            <v>100000000</v>
          </cell>
          <cell r="G585">
            <v>0</v>
          </cell>
          <cell r="H585">
            <v>0</v>
          </cell>
        </row>
        <row r="586">
          <cell r="B586">
            <v>7703230104010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46400000</v>
          </cell>
        </row>
        <row r="587">
          <cell r="B587">
            <v>7703230104011</v>
          </cell>
          <cell r="D587">
            <v>1000275000</v>
          </cell>
          <cell r="E587">
            <v>0</v>
          </cell>
          <cell r="F587">
            <v>1000275000</v>
          </cell>
          <cell r="G587">
            <v>0</v>
          </cell>
          <cell r="H587">
            <v>571800000</v>
          </cell>
        </row>
        <row r="588">
          <cell r="B588">
            <v>7703230104020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>
            <v>7703230204000</v>
          </cell>
          <cell r="D589">
            <v>1499461530</v>
          </cell>
          <cell r="E589">
            <v>0</v>
          </cell>
          <cell r="F589">
            <v>1499461530</v>
          </cell>
          <cell r="G589">
            <v>0</v>
          </cell>
          <cell r="H589">
            <v>0</v>
          </cell>
        </row>
        <row r="590">
          <cell r="B590">
            <v>7703240104010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107200000</v>
          </cell>
        </row>
        <row r="591">
          <cell r="B591">
            <v>7703290104050</v>
          </cell>
          <cell r="D591">
            <v>40000000</v>
          </cell>
          <cell r="E591">
            <v>0</v>
          </cell>
          <cell r="F591">
            <v>40000000</v>
          </cell>
          <cell r="G591">
            <v>0</v>
          </cell>
          <cell r="H591">
            <v>0</v>
          </cell>
        </row>
        <row r="592">
          <cell r="B592">
            <v>7703310104014</v>
          </cell>
          <cell r="D592">
            <v>746084860</v>
          </cell>
          <cell r="E592">
            <v>0</v>
          </cell>
          <cell r="F592">
            <v>746084860</v>
          </cell>
          <cell r="G592">
            <v>0</v>
          </cell>
          <cell r="H592">
            <v>0</v>
          </cell>
        </row>
        <row r="593">
          <cell r="B593">
            <v>7703310104060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>
            <v>7703320104010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357300000</v>
          </cell>
        </row>
        <row r="595">
          <cell r="B595">
            <v>7703320104050</v>
          </cell>
          <cell r="D595">
            <v>141521739</v>
          </cell>
          <cell r="E595">
            <v>0</v>
          </cell>
          <cell r="F595">
            <v>141521739</v>
          </cell>
          <cell r="G595">
            <v>0</v>
          </cell>
          <cell r="H595">
            <v>0</v>
          </cell>
        </row>
        <row r="596">
          <cell r="B596">
            <v>7704010104000</v>
          </cell>
          <cell r="D596">
            <v>64565217</v>
          </cell>
          <cell r="E596">
            <v>0</v>
          </cell>
          <cell r="F596">
            <v>64565217</v>
          </cell>
          <cell r="G596">
            <v>0</v>
          </cell>
          <cell r="H596">
            <v>71500000</v>
          </cell>
        </row>
        <row r="597">
          <cell r="B597">
            <v>7704010104010</v>
          </cell>
          <cell r="D597">
            <v>292768783</v>
          </cell>
          <cell r="E597">
            <v>0</v>
          </cell>
          <cell r="F597">
            <v>292768783</v>
          </cell>
          <cell r="G597">
            <v>0</v>
          </cell>
          <cell r="H597">
            <v>571800000</v>
          </cell>
        </row>
        <row r="598">
          <cell r="B598">
            <v>7704010104011</v>
          </cell>
          <cell r="D598">
            <v>64141959</v>
          </cell>
          <cell r="E598">
            <v>0</v>
          </cell>
          <cell r="F598">
            <v>64141959</v>
          </cell>
          <cell r="G598">
            <v>0</v>
          </cell>
          <cell r="H598">
            <v>89300000</v>
          </cell>
        </row>
        <row r="599">
          <cell r="B599">
            <v>7704010104013</v>
          </cell>
          <cell r="D599">
            <v>17828695</v>
          </cell>
          <cell r="E599">
            <v>0</v>
          </cell>
          <cell r="F599">
            <v>17828695</v>
          </cell>
          <cell r="G599">
            <v>0</v>
          </cell>
          <cell r="H599">
            <v>35900000</v>
          </cell>
        </row>
        <row r="600">
          <cell r="B600">
            <v>7704010104014</v>
          </cell>
          <cell r="D600">
            <v>34147825</v>
          </cell>
          <cell r="E600">
            <v>0</v>
          </cell>
          <cell r="F600">
            <v>34147825</v>
          </cell>
          <cell r="G600">
            <v>0</v>
          </cell>
          <cell r="H600">
            <v>199900000</v>
          </cell>
        </row>
        <row r="601">
          <cell r="B601">
            <v>7704010104032</v>
          </cell>
          <cell r="D601">
            <v>14208695</v>
          </cell>
          <cell r="E601">
            <v>0</v>
          </cell>
          <cell r="F601">
            <v>14208695</v>
          </cell>
          <cell r="G601">
            <v>0</v>
          </cell>
          <cell r="H601">
            <v>0</v>
          </cell>
        </row>
        <row r="602">
          <cell r="B602">
            <v>7704010104050</v>
          </cell>
          <cell r="D602">
            <v>148975216</v>
          </cell>
          <cell r="E602">
            <v>0</v>
          </cell>
          <cell r="F602">
            <v>148975216</v>
          </cell>
          <cell r="G602">
            <v>0</v>
          </cell>
          <cell r="H602">
            <v>428900000</v>
          </cell>
        </row>
        <row r="603">
          <cell r="B603">
            <v>7704020104000</v>
          </cell>
          <cell r="D603">
            <v>581249999</v>
          </cell>
          <cell r="E603">
            <v>0</v>
          </cell>
          <cell r="F603">
            <v>581249999</v>
          </cell>
          <cell r="G603">
            <v>0</v>
          </cell>
          <cell r="H603">
            <v>357300000</v>
          </cell>
        </row>
        <row r="604">
          <cell r="B604">
            <v>7704020104010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428900000</v>
          </cell>
        </row>
        <row r="605">
          <cell r="B605">
            <v>7704020104011</v>
          </cell>
          <cell r="D605">
            <v>623110004</v>
          </cell>
          <cell r="E605">
            <v>0</v>
          </cell>
          <cell r="F605">
            <v>623110004</v>
          </cell>
          <cell r="G605">
            <v>0</v>
          </cell>
          <cell r="H605">
            <v>321700000</v>
          </cell>
        </row>
        <row r="606">
          <cell r="B606">
            <v>7704020104013</v>
          </cell>
          <cell r="D606">
            <v>205953479</v>
          </cell>
          <cell r="E606">
            <v>0</v>
          </cell>
          <cell r="F606">
            <v>205953479</v>
          </cell>
          <cell r="G606">
            <v>0</v>
          </cell>
          <cell r="H606">
            <v>178700000</v>
          </cell>
        </row>
        <row r="607">
          <cell r="B607">
            <v>7704020104014</v>
          </cell>
          <cell r="D607">
            <v>55478260</v>
          </cell>
          <cell r="E607">
            <v>0</v>
          </cell>
          <cell r="F607">
            <v>55478260</v>
          </cell>
          <cell r="G607">
            <v>0</v>
          </cell>
          <cell r="H607">
            <v>0</v>
          </cell>
        </row>
        <row r="608">
          <cell r="B608">
            <v>7704020104015</v>
          </cell>
          <cell r="D608">
            <v>5000000</v>
          </cell>
          <cell r="E608">
            <v>0</v>
          </cell>
          <cell r="F608">
            <v>5000000</v>
          </cell>
          <cell r="G608">
            <v>0</v>
          </cell>
          <cell r="H608">
            <v>0</v>
          </cell>
        </row>
        <row r="609">
          <cell r="B609">
            <v>7704020104032</v>
          </cell>
          <cell r="D609">
            <v>6304347</v>
          </cell>
          <cell r="E609">
            <v>0</v>
          </cell>
          <cell r="F609">
            <v>6304347</v>
          </cell>
          <cell r="G609">
            <v>0</v>
          </cell>
          <cell r="H609">
            <v>0</v>
          </cell>
        </row>
        <row r="610">
          <cell r="B610">
            <v>7704020104050</v>
          </cell>
          <cell r="D610">
            <v>155673913</v>
          </cell>
          <cell r="E610">
            <v>0</v>
          </cell>
          <cell r="F610">
            <v>155673913</v>
          </cell>
          <cell r="G610">
            <v>0</v>
          </cell>
          <cell r="H610">
            <v>214400000</v>
          </cell>
        </row>
        <row r="611">
          <cell r="B611">
            <v>7704020204000</v>
          </cell>
          <cell r="D611">
            <v>367333207</v>
          </cell>
          <cell r="E611">
            <v>0</v>
          </cell>
          <cell r="F611">
            <v>367333207</v>
          </cell>
          <cell r="G611">
            <v>0</v>
          </cell>
          <cell r="H611">
            <v>357300000</v>
          </cell>
        </row>
        <row r="612">
          <cell r="B612">
            <v>7704020204010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328700000</v>
          </cell>
        </row>
        <row r="613">
          <cell r="B613">
            <v>7704020204011</v>
          </cell>
          <cell r="D613">
            <v>146051072</v>
          </cell>
          <cell r="E613">
            <v>0</v>
          </cell>
          <cell r="F613">
            <v>146051072</v>
          </cell>
          <cell r="G613">
            <v>0</v>
          </cell>
          <cell r="H613">
            <v>178700000</v>
          </cell>
        </row>
        <row r="614">
          <cell r="B614">
            <v>7704020204013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107200000</v>
          </cell>
        </row>
        <row r="615">
          <cell r="B615">
            <v>7704020204014</v>
          </cell>
          <cell r="D615">
            <v>24347826</v>
          </cell>
          <cell r="E615">
            <v>0</v>
          </cell>
          <cell r="F615">
            <v>24347826</v>
          </cell>
          <cell r="G615">
            <v>0</v>
          </cell>
          <cell r="H615">
            <v>0</v>
          </cell>
        </row>
        <row r="616">
          <cell r="B616">
            <v>7704020204015</v>
          </cell>
          <cell r="D616">
            <v>33911804</v>
          </cell>
          <cell r="E616">
            <v>0</v>
          </cell>
          <cell r="F616">
            <v>33911804</v>
          </cell>
          <cell r="G616">
            <v>0</v>
          </cell>
          <cell r="H616">
            <v>0</v>
          </cell>
        </row>
        <row r="617">
          <cell r="B617">
            <v>7704020204050</v>
          </cell>
          <cell r="D617">
            <v>52423783</v>
          </cell>
          <cell r="E617">
            <v>0</v>
          </cell>
          <cell r="F617">
            <v>52423783</v>
          </cell>
          <cell r="G617">
            <v>0</v>
          </cell>
          <cell r="H617">
            <v>142900000</v>
          </cell>
        </row>
        <row r="618">
          <cell r="B618">
            <v>7704030104000</v>
          </cell>
          <cell r="D618">
            <v>636845652</v>
          </cell>
          <cell r="E618">
            <v>0</v>
          </cell>
          <cell r="F618">
            <v>636845652</v>
          </cell>
          <cell r="G618">
            <v>0</v>
          </cell>
          <cell r="H618">
            <v>321700000</v>
          </cell>
        </row>
        <row r="619">
          <cell r="B619">
            <v>7704030104010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21400000</v>
          </cell>
        </row>
        <row r="620">
          <cell r="B620">
            <v>7704110104050</v>
          </cell>
          <cell r="D620">
            <v>1950000</v>
          </cell>
          <cell r="E620">
            <v>0</v>
          </cell>
          <cell r="F620">
            <v>1950000</v>
          </cell>
          <cell r="G620">
            <v>0</v>
          </cell>
          <cell r="H620">
            <v>0</v>
          </cell>
        </row>
        <row r="621">
          <cell r="B621">
            <v>7704130104000</v>
          </cell>
          <cell r="D621">
            <v>46400000</v>
          </cell>
          <cell r="E621">
            <v>0</v>
          </cell>
          <cell r="F621">
            <v>46400000</v>
          </cell>
          <cell r="G621">
            <v>0</v>
          </cell>
          <cell r="H621">
            <v>71500000</v>
          </cell>
        </row>
        <row r="622">
          <cell r="B622">
            <v>7704130104010</v>
          </cell>
          <cell r="D622">
            <v>16008695</v>
          </cell>
          <cell r="E622">
            <v>0</v>
          </cell>
          <cell r="F622">
            <v>16008695</v>
          </cell>
          <cell r="G622">
            <v>0</v>
          </cell>
          <cell r="H622">
            <v>0</v>
          </cell>
        </row>
        <row r="623">
          <cell r="B623">
            <v>7704130104050</v>
          </cell>
          <cell r="D623">
            <v>1501154782</v>
          </cell>
          <cell r="E623">
            <v>0</v>
          </cell>
          <cell r="F623">
            <v>1501154782</v>
          </cell>
          <cell r="G623">
            <v>0</v>
          </cell>
          <cell r="H623">
            <v>357300000</v>
          </cell>
        </row>
        <row r="624">
          <cell r="B624">
            <v>7704130204050</v>
          </cell>
          <cell r="D624">
            <v>428263742</v>
          </cell>
          <cell r="E624">
            <v>0</v>
          </cell>
          <cell r="F624">
            <v>428263742</v>
          </cell>
          <cell r="G624">
            <v>0</v>
          </cell>
          <cell r="H624">
            <v>0</v>
          </cell>
        </row>
        <row r="625">
          <cell r="B625">
            <v>7704140104000</v>
          </cell>
          <cell r="D625">
            <v>19733310</v>
          </cell>
          <cell r="E625">
            <v>0</v>
          </cell>
          <cell r="F625">
            <v>19733310</v>
          </cell>
          <cell r="G625">
            <v>0</v>
          </cell>
          <cell r="H625">
            <v>7200000</v>
          </cell>
        </row>
        <row r="626">
          <cell r="B626">
            <v>7704140104010</v>
          </cell>
          <cell r="D626">
            <v>98132709</v>
          </cell>
          <cell r="E626">
            <v>0</v>
          </cell>
          <cell r="F626">
            <v>98132709</v>
          </cell>
          <cell r="G626">
            <v>0</v>
          </cell>
          <cell r="H626">
            <v>285800000</v>
          </cell>
        </row>
        <row r="627">
          <cell r="B627">
            <v>7704140104011</v>
          </cell>
          <cell r="D627">
            <v>378433651</v>
          </cell>
          <cell r="E627">
            <v>0</v>
          </cell>
          <cell r="F627">
            <v>378433651</v>
          </cell>
          <cell r="G627">
            <v>0</v>
          </cell>
          <cell r="H627">
            <v>0</v>
          </cell>
        </row>
        <row r="628">
          <cell r="B628">
            <v>7704140104013</v>
          </cell>
          <cell r="D628">
            <v>105853299</v>
          </cell>
          <cell r="E628">
            <v>0</v>
          </cell>
          <cell r="F628">
            <v>105853299</v>
          </cell>
          <cell r="G628">
            <v>0</v>
          </cell>
          <cell r="H628">
            <v>35900000</v>
          </cell>
        </row>
        <row r="629">
          <cell r="B629">
            <v>7704140104014</v>
          </cell>
          <cell r="D629">
            <v>113974137</v>
          </cell>
          <cell r="E629">
            <v>0</v>
          </cell>
          <cell r="F629">
            <v>113974137</v>
          </cell>
          <cell r="G629">
            <v>0</v>
          </cell>
          <cell r="H629">
            <v>21400000</v>
          </cell>
        </row>
        <row r="630">
          <cell r="B630">
            <v>7704140104050</v>
          </cell>
          <cell r="D630">
            <v>59915034</v>
          </cell>
          <cell r="E630">
            <v>0</v>
          </cell>
          <cell r="F630">
            <v>59915034</v>
          </cell>
          <cell r="G630">
            <v>0</v>
          </cell>
          <cell r="H630">
            <v>14300000</v>
          </cell>
        </row>
        <row r="631">
          <cell r="B631">
            <v>7704220104000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53500000</v>
          </cell>
        </row>
        <row r="632">
          <cell r="B632">
            <v>7704320104000</v>
          </cell>
          <cell r="D632">
            <v>71875000</v>
          </cell>
          <cell r="E632">
            <v>0</v>
          </cell>
          <cell r="F632">
            <v>71875000</v>
          </cell>
          <cell r="G632">
            <v>0</v>
          </cell>
          <cell r="H632">
            <v>0</v>
          </cell>
        </row>
        <row r="633">
          <cell r="B633">
            <v>7704320104020</v>
          </cell>
          <cell r="D633">
            <v>183540000</v>
          </cell>
          <cell r="E633">
            <v>0</v>
          </cell>
          <cell r="F633">
            <v>183540000</v>
          </cell>
          <cell r="G633">
            <v>0</v>
          </cell>
          <cell r="H633">
            <v>0</v>
          </cell>
        </row>
        <row r="634">
          <cell r="B634">
            <v>7704320104050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76500000</v>
          </cell>
        </row>
        <row r="635">
          <cell r="B635">
            <v>7704330104050</v>
          </cell>
          <cell r="D635">
            <v>1238437496</v>
          </cell>
          <cell r="E635">
            <v>0</v>
          </cell>
          <cell r="F635">
            <v>1238437496</v>
          </cell>
          <cell r="G635">
            <v>0</v>
          </cell>
          <cell r="H635">
            <v>0</v>
          </cell>
        </row>
        <row r="636">
          <cell r="B636">
            <v>7704330204050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240400000</v>
          </cell>
        </row>
        <row r="637">
          <cell r="B637">
            <v>7704340104050</v>
          </cell>
          <cell r="D637">
            <v>8639358456</v>
          </cell>
          <cell r="E637">
            <v>0</v>
          </cell>
          <cell r="F637">
            <v>8639358456</v>
          </cell>
          <cell r="G637">
            <v>0</v>
          </cell>
          <cell r="H637">
            <v>12139100000</v>
          </cell>
        </row>
        <row r="638">
          <cell r="B638">
            <v>7704390104050</v>
          </cell>
          <cell r="D638">
            <v>1637887747</v>
          </cell>
          <cell r="E638">
            <v>0</v>
          </cell>
          <cell r="F638">
            <v>1637887747</v>
          </cell>
          <cell r="G638">
            <v>0</v>
          </cell>
          <cell r="H638">
            <v>0</v>
          </cell>
        </row>
        <row r="639">
          <cell r="B639">
            <v>7704430104050</v>
          </cell>
          <cell r="D639">
            <v>1287059715</v>
          </cell>
          <cell r="E639">
            <v>0</v>
          </cell>
          <cell r="F639">
            <v>1287059715</v>
          </cell>
          <cell r="G639">
            <v>0</v>
          </cell>
          <cell r="H639">
            <v>5965200000</v>
          </cell>
        </row>
        <row r="640">
          <cell r="B640">
            <v>7704480104050</v>
          </cell>
          <cell r="D640">
            <v>65224303</v>
          </cell>
          <cell r="E640">
            <v>0</v>
          </cell>
          <cell r="F640">
            <v>65224303</v>
          </cell>
          <cell r="G640">
            <v>0</v>
          </cell>
          <cell r="H640">
            <v>0</v>
          </cell>
        </row>
        <row r="641">
          <cell r="B641">
            <v>7704510104000</v>
          </cell>
          <cell r="D641">
            <v>178176159</v>
          </cell>
          <cell r="E641">
            <v>0</v>
          </cell>
          <cell r="F641">
            <v>178176159</v>
          </cell>
          <cell r="G641">
            <v>0</v>
          </cell>
          <cell r="H641">
            <v>107200000</v>
          </cell>
        </row>
        <row r="642">
          <cell r="B642">
            <v>7704510104010</v>
          </cell>
          <cell r="D642">
            <v>286631738</v>
          </cell>
          <cell r="E642">
            <v>0</v>
          </cell>
          <cell r="F642">
            <v>286631738</v>
          </cell>
          <cell r="G642">
            <v>0</v>
          </cell>
          <cell r="H642">
            <v>1000400000</v>
          </cell>
        </row>
        <row r="643">
          <cell r="B643">
            <v>7704510104011</v>
          </cell>
          <cell r="D643">
            <v>145201739</v>
          </cell>
          <cell r="E643">
            <v>0</v>
          </cell>
          <cell r="F643">
            <v>145201739</v>
          </cell>
          <cell r="G643">
            <v>0</v>
          </cell>
          <cell r="H643">
            <v>71500000</v>
          </cell>
        </row>
        <row r="644">
          <cell r="B644">
            <v>7704510104013</v>
          </cell>
          <cell r="D644">
            <v>416000000</v>
          </cell>
          <cell r="E644">
            <v>0</v>
          </cell>
          <cell r="F644">
            <v>416000000</v>
          </cell>
          <cell r="G644">
            <v>0</v>
          </cell>
          <cell r="H644">
            <v>250200000</v>
          </cell>
        </row>
        <row r="645">
          <cell r="B645">
            <v>7704510104014</v>
          </cell>
          <cell r="D645">
            <v>66175000</v>
          </cell>
          <cell r="E645">
            <v>0</v>
          </cell>
          <cell r="F645">
            <v>66175000</v>
          </cell>
          <cell r="G645">
            <v>0</v>
          </cell>
          <cell r="H645">
            <v>42900000</v>
          </cell>
        </row>
        <row r="646">
          <cell r="B646">
            <v>7704510104015</v>
          </cell>
          <cell r="D646">
            <v>461295437</v>
          </cell>
          <cell r="E646">
            <v>0</v>
          </cell>
          <cell r="F646">
            <v>461295437</v>
          </cell>
          <cell r="G646">
            <v>0</v>
          </cell>
          <cell r="H646">
            <v>0</v>
          </cell>
        </row>
        <row r="647">
          <cell r="B647">
            <v>7704510104050</v>
          </cell>
          <cell r="D647">
            <v>368510443</v>
          </cell>
          <cell r="E647">
            <v>0</v>
          </cell>
          <cell r="F647">
            <v>368510443</v>
          </cell>
          <cell r="G647">
            <v>0</v>
          </cell>
          <cell r="H647">
            <v>714700000</v>
          </cell>
        </row>
        <row r="648">
          <cell r="B648">
            <v>7704520104000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71500000</v>
          </cell>
        </row>
        <row r="649">
          <cell r="B649">
            <v>7704520104050</v>
          </cell>
          <cell r="D649">
            <v>101400000</v>
          </cell>
          <cell r="E649">
            <v>0</v>
          </cell>
          <cell r="F649">
            <v>101400000</v>
          </cell>
          <cell r="G649">
            <v>0</v>
          </cell>
          <cell r="H649">
            <v>0</v>
          </cell>
        </row>
        <row r="650">
          <cell r="B650">
            <v>7704530104010</v>
          </cell>
          <cell r="D650">
            <v>180000000</v>
          </cell>
          <cell r="E650">
            <v>0</v>
          </cell>
          <cell r="F650">
            <v>180000000</v>
          </cell>
          <cell r="G650">
            <v>0</v>
          </cell>
          <cell r="H650">
            <v>0</v>
          </cell>
        </row>
        <row r="651">
          <cell r="B651">
            <v>7704530104050</v>
          </cell>
          <cell r="D651">
            <v>204298339</v>
          </cell>
          <cell r="E651">
            <v>0</v>
          </cell>
          <cell r="F651">
            <v>204298339</v>
          </cell>
          <cell r="G651">
            <v>0</v>
          </cell>
          <cell r="H651">
            <v>0</v>
          </cell>
        </row>
        <row r="652">
          <cell r="B652">
            <v>7704540104050</v>
          </cell>
          <cell r="D652">
            <v>832047432</v>
          </cell>
          <cell r="E652">
            <v>0</v>
          </cell>
          <cell r="F652">
            <v>832047432</v>
          </cell>
          <cell r="G652">
            <v>0</v>
          </cell>
          <cell r="H652">
            <v>571800000</v>
          </cell>
        </row>
        <row r="653">
          <cell r="B653">
            <v>7704610104000</v>
          </cell>
          <cell r="D653">
            <v>124905797</v>
          </cell>
          <cell r="E653">
            <v>0</v>
          </cell>
          <cell r="F653">
            <v>124905797</v>
          </cell>
          <cell r="G653">
            <v>0</v>
          </cell>
          <cell r="H653">
            <v>536000000</v>
          </cell>
        </row>
        <row r="654">
          <cell r="B654">
            <v>7704610104011</v>
          </cell>
          <cell r="D654">
            <v>10000000</v>
          </cell>
          <cell r="E654">
            <v>0</v>
          </cell>
          <cell r="F654">
            <v>10000000</v>
          </cell>
          <cell r="G654">
            <v>0</v>
          </cell>
          <cell r="H654">
            <v>0</v>
          </cell>
        </row>
        <row r="655">
          <cell r="B655">
            <v>7704990204000</v>
          </cell>
          <cell r="D655">
            <v>281790924</v>
          </cell>
          <cell r="E655">
            <v>0</v>
          </cell>
          <cell r="F655">
            <v>281790924</v>
          </cell>
          <cell r="G655">
            <v>0</v>
          </cell>
          <cell r="H655">
            <v>178700000</v>
          </cell>
        </row>
        <row r="656">
          <cell r="B656">
            <v>7704990204010</v>
          </cell>
          <cell r="D656">
            <v>29391303</v>
          </cell>
          <cell r="E656">
            <v>0</v>
          </cell>
          <cell r="F656">
            <v>29391303</v>
          </cell>
          <cell r="G656">
            <v>0</v>
          </cell>
          <cell r="H656">
            <v>35900000</v>
          </cell>
        </row>
        <row r="657">
          <cell r="B657">
            <v>7704990204011</v>
          </cell>
          <cell r="D657">
            <v>109667696</v>
          </cell>
          <cell r="E657">
            <v>0</v>
          </cell>
          <cell r="F657">
            <v>109667696</v>
          </cell>
          <cell r="G657">
            <v>0</v>
          </cell>
          <cell r="H657">
            <v>107200000</v>
          </cell>
        </row>
        <row r="658">
          <cell r="B658">
            <v>7704990204013</v>
          </cell>
          <cell r="D658">
            <v>66420291</v>
          </cell>
          <cell r="E658">
            <v>0</v>
          </cell>
          <cell r="F658">
            <v>66420291</v>
          </cell>
          <cell r="G658">
            <v>0</v>
          </cell>
          <cell r="H658">
            <v>35900000</v>
          </cell>
        </row>
        <row r="659">
          <cell r="B659">
            <v>7704990204014</v>
          </cell>
          <cell r="D659">
            <v>1478260</v>
          </cell>
          <cell r="E659">
            <v>0</v>
          </cell>
          <cell r="F659">
            <v>1478260</v>
          </cell>
          <cell r="G659">
            <v>0</v>
          </cell>
          <cell r="H659">
            <v>0</v>
          </cell>
        </row>
        <row r="660">
          <cell r="B660">
            <v>7704990204032</v>
          </cell>
          <cell r="D660">
            <v>8700000</v>
          </cell>
          <cell r="E660">
            <v>0</v>
          </cell>
          <cell r="F660">
            <v>8700000</v>
          </cell>
          <cell r="G660">
            <v>0</v>
          </cell>
          <cell r="H660">
            <v>0</v>
          </cell>
        </row>
        <row r="661">
          <cell r="B661">
            <v>7704990204050</v>
          </cell>
          <cell r="D661">
            <v>129734055</v>
          </cell>
          <cell r="E661">
            <v>0</v>
          </cell>
          <cell r="F661">
            <v>129734055</v>
          </cell>
          <cell r="G661">
            <v>0</v>
          </cell>
          <cell r="H661">
            <v>35900000</v>
          </cell>
        </row>
        <row r="662">
          <cell r="B662">
            <v>7704999904000</v>
          </cell>
          <cell r="D662">
            <v>84356522</v>
          </cell>
          <cell r="E662">
            <v>0</v>
          </cell>
          <cell r="F662">
            <v>84356522</v>
          </cell>
          <cell r="G662">
            <v>0</v>
          </cell>
          <cell r="H662">
            <v>178700000</v>
          </cell>
        </row>
        <row r="663">
          <cell r="B663">
            <v>7704999904010</v>
          </cell>
          <cell r="D663">
            <v>19159781</v>
          </cell>
          <cell r="E663">
            <v>0</v>
          </cell>
          <cell r="F663">
            <v>19159781</v>
          </cell>
          <cell r="G663">
            <v>0</v>
          </cell>
          <cell r="H663">
            <v>57200000</v>
          </cell>
        </row>
        <row r="664">
          <cell r="B664">
            <v>7704999904011</v>
          </cell>
          <cell r="D664">
            <v>36140191</v>
          </cell>
          <cell r="E664">
            <v>0</v>
          </cell>
          <cell r="F664">
            <v>36140191</v>
          </cell>
          <cell r="G664">
            <v>0</v>
          </cell>
          <cell r="H664">
            <v>71500000</v>
          </cell>
        </row>
        <row r="665">
          <cell r="B665">
            <v>7704999904014</v>
          </cell>
          <cell r="D665">
            <v>2402174</v>
          </cell>
          <cell r="E665">
            <v>0</v>
          </cell>
          <cell r="F665">
            <v>2402174</v>
          </cell>
          <cell r="G665">
            <v>0</v>
          </cell>
          <cell r="H665">
            <v>0</v>
          </cell>
        </row>
        <row r="666">
          <cell r="B666">
            <v>7704999904032</v>
          </cell>
          <cell r="D666">
            <v>8113039</v>
          </cell>
          <cell r="E666">
            <v>0</v>
          </cell>
          <cell r="F666">
            <v>8113039</v>
          </cell>
          <cell r="G666">
            <v>0</v>
          </cell>
          <cell r="H666">
            <v>0</v>
          </cell>
        </row>
        <row r="667">
          <cell r="B667">
            <v>7704999904050</v>
          </cell>
          <cell r="D667">
            <v>620575673</v>
          </cell>
          <cell r="E667">
            <v>12600000</v>
          </cell>
          <cell r="F667">
            <v>607975673</v>
          </cell>
          <cell r="G667">
            <v>0</v>
          </cell>
          <cell r="H667">
            <v>500200000</v>
          </cell>
        </row>
        <row r="668">
          <cell r="B668">
            <v>7705440104050</v>
          </cell>
          <cell r="D668">
            <v>54419164</v>
          </cell>
          <cell r="E668">
            <v>0</v>
          </cell>
          <cell r="F668">
            <v>54419164</v>
          </cell>
          <cell r="G668">
            <v>0</v>
          </cell>
          <cell r="H668">
            <v>50100000</v>
          </cell>
        </row>
        <row r="669">
          <cell r="B669">
            <v>7705470104050</v>
          </cell>
          <cell r="D669">
            <v>25596998</v>
          </cell>
          <cell r="E669">
            <v>0</v>
          </cell>
          <cell r="F669">
            <v>25596998</v>
          </cell>
          <cell r="G669">
            <v>0</v>
          </cell>
          <cell r="H669">
            <v>14300000</v>
          </cell>
        </row>
        <row r="670">
          <cell r="B670">
            <v>7705520104050</v>
          </cell>
          <cell r="D670">
            <v>764641252</v>
          </cell>
          <cell r="E670">
            <v>2600131</v>
          </cell>
          <cell r="F670">
            <v>762041121</v>
          </cell>
          <cell r="G670">
            <v>0</v>
          </cell>
          <cell r="H670">
            <v>214400000</v>
          </cell>
        </row>
        <row r="671">
          <cell r="B671">
            <v>7705590104050</v>
          </cell>
          <cell r="D671">
            <v>15000000</v>
          </cell>
          <cell r="E671">
            <v>0</v>
          </cell>
          <cell r="F671">
            <v>15000000</v>
          </cell>
          <cell r="G671">
            <v>0</v>
          </cell>
          <cell r="H671">
            <v>0</v>
          </cell>
        </row>
        <row r="672">
          <cell r="B672">
            <v>7706210104050</v>
          </cell>
          <cell r="D672">
            <v>545</v>
          </cell>
          <cell r="E672">
            <v>0</v>
          </cell>
          <cell r="F672">
            <v>545</v>
          </cell>
          <cell r="G672">
            <v>0</v>
          </cell>
          <cell r="H672">
            <v>0</v>
          </cell>
        </row>
        <row r="673">
          <cell r="B673">
            <v>7706220104050</v>
          </cell>
          <cell r="D673">
            <v>1138612143</v>
          </cell>
          <cell r="E673">
            <v>0</v>
          </cell>
          <cell r="F673">
            <v>1138612143</v>
          </cell>
          <cell r="G673">
            <v>0</v>
          </cell>
          <cell r="H673">
            <v>0</v>
          </cell>
        </row>
        <row r="674">
          <cell r="B674">
            <v>7706240104020</v>
          </cell>
          <cell r="D674">
            <v>4164179</v>
          </cell>
          <cell r="E674">
            <v>0</v>
          </cell>
          <cell r="F674">
            <v>4164179</v>
          </cell>
          <cell r="G674">
            <v>0</v>
          </cell>
          <cell r="H674">
            <v>0</v>
          </cell>
        </row>
        <row r="675">
          <cell r="B675">
            <v>7706240104050</v>
          </cell>
          <cell r="D675">
            <v>563221897</v>
          </cell>
          <cell r="E675">
            <v>0</v>
          </cell>
          <cell r="F675">
            <v>563221897</v>
          </cell>
          <cell r="G675">
            <v>0</v>
          </cell>
          <cell r="H675">
            <v>0</v>
          </cell>
        </row>
        <row r="676">
          <cell r="B676">
            <v>7706250104050</v>
          </cell>
          <cell r="D676">
            <v>243284726</v>
          </cell>
          <cell r="E676">
            <v>0</v>
          </cell>
          <cell r="F676">
            <v>243284726</v>
          </cell>
          <cell r="G676">
            <v>0</v>
          </cell>
          <cell r="H676">
            <v>0</v>
          </cell>
        </row>
        <row r="677">
          <cell r="B677">
            <v>7706260104050</v>
          </cell>
          <cell r="D677">
            <v>333330</v>
          </cell>
          <cell r="E677">
            <v>0</v>
          </cell>
          <cell r="F677">
            <v>333330</v>
          </cell>
          <cell r="G677">
            <v>0</v>
          </cell>
          <cell r="H677">
            <v>0</v>
          </cell>
        </row>
        <row r="678">
          <cell r="B678">
            <v>7706270104010</v>
          </cell>
          <cell r="D678">
            <v>1920156</v>
          </cell>
          <cell r="E678">
            <v>0</v>
          </cell>
          <cell r="F678">
            <v>1920156</v>
          </cell>
          <cell r="G678">
            <v>0</v>
          </cell>
          <cell r="H678">
            <v>0</v>
          </cell>
        </row>
        <row r="679">
          <cell r="B679">
            <v>7706270104050</v>
          </cell>
          <cell r="D679">
            <v>156087905</v>
          </cell>
          <cell r="E679">
            <v>0</v>
          </cell>
          <cell r="F679">
            <v>156087905</v>
          </cell>
          <cell r="G679">
            <v>0</v>
          </cell>
          <cell r="H679">
            <v>0</v>
          </cell>
        </row>
        <row r="680">
          <cell r="B680">
            <v>7706270104070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</row>
        <row r="681">
          <cell r="B681">
            <v>7706280104050</v>
          </cell>
          <cell r="D681">
            <v>1820945140</v>
          </cell>
          <cell r="E681">
            <v>0</v>
          </cell>
          <cell r="F681">
            <v>1820945140</v>
          </cell>
          <cell r="G681">
            <v>0</v>
          </cell>
          <cell r="H681">
            <v>47907699996</v>
          </cell>
        </row>
        <row r="682">
          <cell r="B682">
            <v>7706360104050</v>
          </cell>
          <cell r="D682">
            <v>39938478</v>
          </cell>
          <cell r="E682">
            <v>0</v>
          </cell>
          <cell r="F682">
            <v>39938478</v>
          </cell>
          <cell r="G682">
            <v>0</v>
          </cell>
          <cell r="H682">
            <v>0</v>
          </cell>
        </row>
        <row r="683">
          <cell r="B683">
            <v>7707310104050</v>
          </cell>
          <cell r="D683">
            <v>37591785</v>
          </cell>
          <cell r="E683">
            <v>0</v>
          </cell>
          <cell r="F683">
            <v>37591785</v>
          </cell>
          <cell r="G683">
            <v>0</v>
          </cell>
          <cell r="H683">
            <v>0</v>
          </cell>
        </row>
        <row r="684">
          <cell r="B684">
            <v>771994010178</v>
          </cell>
          <cell r="D684">
            <v>0</v>
          </cell>
          <cell r="E684">
            <v>188571998279</v>
          </cell>
          <cell r="F684">
            <v>0</v>
          </cell>
          <cell r="G684">
            <v>188571998279</v>
          </cell>
          <cell r="H684">
            <v>0</v>
          </cell>
        </row>
        <row r="685">
          <cell r="B685">
            <v>7807330104050</v>
          </cell>
          <cell r="D685">
            <v>24370160329</v>
          </cell>
          <cell r="E685">
            <v>0</v>
          </cell>
          <cell r="F685">
            <v>24370160329</v>
          </cell>
          <cell r="G685">
            <v>0</v>
          </cell>
          <cell r="H685">
            <v>0</v>
          </cell>
        </row>
        <row r="686">
          <cell r="B686">
            <v>781995010178</v>
          </cell>
          <cell r="D686">
            <v>0</v>
          </cell>
          <cell r="E686">
            <v>24370160329</v>
          </cell>
          <cell r="F686">
            <v>0</v>
          </cell>
          <cell r="G686">
            <v>24370160329</v>
          </cell>
          <cell r="H686">
            <v>0</v>
          </cell>
        </row>
      </sheetData>
      <sheetData sheetId="26" refreshError="1">
        <row r="6">
          <cell r="B6">
            <v>600801010174</v>
          </cell>
          <cell r="D6">
            <v>0</v>
          </cell>
          <cell r="E6">
            <v>344748004917</v>
          </cell>
          <cell r="F6">
            <v>0</v>
          </cell>
          <cell r="G6">
            <v>344748004917</v>
          </cell>
          <cell r="H6">
            <v>0</v>
          </cell>
        </row>
        <row r="7">
          <cell r="B7">
            <v>600801011174</v>
          </cell>
          <cell r="D7">
            <v>0</v>
          </cell>
          <cell r="E7">
            <v>776115210748</v>
          </cell>
          <cell r="F7">
            <v>0</v>
          </cell>
          <cell r="G7">
            <v>776115210748</v>
          </cell>
          <cell r="H7">
            <v>0</v>
          </cell>
        </row>
        <row r="8">
          <cell r="B8">
            <v>600801020174</v>
          </cell>
          <cell r="D8">
            <v>0</v>
          </cell>
          <cell r="E8">
            <v>1859955400</v>
          </cell>
          <cell r="F8">
            <v>0</v>
          </cell>
          <cell r="G8">
            <v>1859955400</v>
          </cell>
          <cell r="H8">
            <v>0</v>
          </cell>
        </row>
        <row r="9">
          <cell r="B9">
            <v>600801021174</v>
          </cell>
          <cell r="D9">
            <v>0</v>
          </cell>
          <cell r="E9">
            <v>362815445</v>
          </cell>
          <cell r="F9">
            <v>0</v>
          </cell>
          <cell r="G9">
            <v>362815445</v>
          </cell>
          <cell r="H9">
            <v>0</v>
          </cell>
        </row>
        <row r="10">
          <cell r="B10">
            <v>600801040174</v>
          </cell>
          <cell r="D10">
            <v>0</v>
          </cell>
          <cell r="E10">
            <v>12662224042</v>
          </cell>
          <cell r="F10">
            <v>0</v>
          </cell>
          <cell r="G10">
            <v>12662224042</v>
          </cell>
          <cell r="H10">
            <v>0</v>
          </cell>
        </row>
        <row r="11">
          <cell r="B11">
            <v>600801041174</v>
          </cell>
          <cell r="D11">
            <v>0</v>
          </cell>
          <cell r="E11">
            <v>11304986890</v>
          </cell>
          <cell r="F11">
            <v>0</v>
          </cell>
          <cell r="G11">
            <v>11304986890</v>
          </cell>
          <cell r="H11">
            <v>0</v>
          </cell>
        </row>
        <row r="12">
          <cell r="B12">
            <v>600801050174</v>
          </cell>
          <cell r="D12">
            <v>0</v>
          </cell>
          <cell r="E12">
            <v>936811011997</v>
          </cell>
          <cell r="F12">
            <v>0</v>
          </cell>
          <cell r="G12">
            <v>936811011997</v>
          </cell>
          <cell r="H12">
            <v>0</v>
          </cell>
        </row>
        <row r="13">
          <cell r="B13">
            <v>600801051174</v>
          </cell>
          <cell r="D13">
            <v>0</v>
          </cell>
          <cell r="E13">
            <v>300680746411</v>
          </cell>
          <cell r="F13">
            <v>0</v>
          </cell>
          <cell r="G13">
            <v>300680746411</v>
          </cell>
          <cell r="H13">
            <v>0</v>
          </cell>
        </row>
        <row r="14">
          <cell r="B14">
            <v>600801100174</v>
          </cell>
          <cell r="D14">
            <v>0</v>
          </cell>
          <cell r="E14">
            <v>117276478916</v>
          </cell>
          <cell r="F14">
            <v>0</v>
          </cell>
          <cell r="G14">
            <v>117276478916</v>
          </cell>
          <cell r="H14">
            <v>0</v>
          </cell>
        </row>
        <row r="15">
          <cell r="B15">
            <v>600801120174</v>
          </cell>
          <cell r="D15">
            <v>0</v>
          </cell>
          <cell r="E15">
            <v>6054640000</v>
          </cell>
          <cell r="F15">
            <v>0</v>
          </cell>
          <cell r="G15">
            <v>6054640000</v>
          </cell>
          <cell r="H15">
            <v>0</v>
          </cell>
        </row>
        <row r="16">
          <cell r="B16">
            <v>600801121174</v>
          </cell>
          <cell r="D16">
            <v>0</v>
          </cell>
          <cell r="E16">
            <v>152000000</v>
          </cell>
          <cell r="F16">
            <v>0</v>
          </cell>
          <cell r="G16">
            <v>152000000</v>
          </cell>
          <cell r="H16">
            <v>0</v>
          </cell>
        </row>
        <row r="17">
          <cell r="B17">
            <v>600801130174</v>
          </cell>
          <cell r="D17">
            <v>0</v>
          </cell>
          <cell r="E17">
            <v>592129473</v>
          </cell>
          <cell r="F17">
            <v>0</v>
          </cell>
          <cell r="G17">
            <v>592129473</v>
          </cell>
          <cell r="H17">
            <v>0</v>
          </cell>
        </row>
        <row r="18">
          <cell r="B18">
            <v>600801140174</v>
          </cell>
          <cell r="D18">
            <v>0</v>
          </cell>
          <cell r="E18">
            <v>3095764500</v>
          </cell>
          <cell r="F18">
            <v>0</v>
          </cell>
          <cell r="G18">
            <v>3095764500</v>
          </cell>
          <cell r="H18">
            <v>0</v>
          </cell>
        </row>
        <row r="19">
          <cell r="B19">
            <v>600801190174</v>
          </cell>
          <cell r="D19">
            <v>0</v>
          </cell>
          <cell r="E19">
            <v>9265074260</v>
          </cell>
          <cell r="F19">
            <v>0</v>
          </cell>
          <cell r="G19">
            <v>9265074260</v>
          </cell>
          <cell r="H19">
            <v>0</v>
          </cell>
        </row>
        <row r="20">
          <cell r="B20">
            <v>600808010174</v>
          </cell>
          <cell r="D20">
            <v>0</v>
          </cell>
          <cell r="E20">
            <v>26211166476</v>
          </cell>
          <cell r="F20">
            <v>0</v>
          </cell>
          <cell r="G20">
            <v>26211166476</v>
          </cell>
          <cell r="H20">
            <v>0</v>
          </cell>
        </row>
        <row r="21">
          <cell r="B21">
            <v>601801010174</v>
          </cell>
          <cell r="D21">
            <v>103652142</v>
          </cell>
          <cell r="E21">
            <v>84124853761</v>
          </cell>
          <cell r="F21">
            <v>0</v>
          </cell>
          <cell r="G21">
            <v>84021201619</v>
          </cell>
          <cell r="H21">
            <v>0</v>
          </cell>
        </row>
        <row r="22">
          <cell r="B22">
            <v>601801050174</v>
          </cell>
          <cell r="D22">
            <v>0</v>
          </cell>
          <cell r="E22">
            <v>201971389847</v>
          </cell>
          <cell r="F22">
            <v>0</v>
          </cell>
          <cell r="G22">
            <v>201971389847</v>
          </cell>
          <cell r="H22">
            <v>0</v>
          </cell>
        </row>
        <row r="23">
          <cell r="B23">
            <v>601801100174</v>
          </cell>
          <cell r="D23">
            <v>0</v>
          </cell>
          <cell r="E23">
            <v>192178950761</v>
          </cell>
          <cell r="F23">
            <v>0</v>
          </cell>
          <cell r="G23">
            <v>192178950761</v>
          </cell>
          <cell r="H23">
            <v>0</v>
          </cell>
        </row>
        <row r="24">
          <cell r="B24">
            <v>601801130174</v>
          </cell>
          <cell r="D24">
            <v>0</v>
          </cell>
          <cell r="E24">
            <v>13581394</v>
          </cell>
          <cell r="F24">
            <v>0</v>
          </cell>
          <cell r="G24">
            <v>13581394</v>
          </cell>
          <cell r="H24">
            <v>0</v>
          </cell>
        </row>
        <row r="25">
          <cell r="B25">
            <v>601801190174</v>
          </cell>
          <cell r="D25">
            <v>0</v>
          </cell>
          <cell r="E25">
            <v>10978580347</v>
          </cell>
          <cell r="F25">
            <v>0</v>
          </cell>
          <cell r="G25">
            <v>10978580347</v>
          </cell>
          <cell r="H25">
            <v>0</v>
          </cell>
        </row>
        <row r="26">
          <cell r="B26">
            <v>610816011174</v>
          </cell>
          <cell r="D26">
            <v>7635215695</v>
          </cell>
          <cell r="E26">
            <v>0</v>
          </cell>
          <cell r="F26">
            <v>7635215695</v>
          </cell>
          <cell r="G26">
            <v>0</v>
          </cell>
          <cell r="H26">
            <v>0</v>
          </cell>
        </row>
        <row r="27">
          <cell r="B27">
            <v>610816050174</v>
          </cell>
          <cell r="D27">
            <v>179670000</v>
          </cell>
          <cell r="E27">
            <v>0</v>
          </cell>
          <cell r="F27">
            <v>179670000</v>
          </cell>
          <cell r="G27">
            <v>0</v>
          </cell>
          <cell r="H27">
            <v>0</v>
          </cell>
        </row>
        <row r="28">
          <cell r="B28">
            <v>611816010174</v>
          </cell>
          <cell r="D28">
            <v>2279150058</v>
          </cell>
          <cell r="E28">
            <v>34500000</v>
          </cell>
          <cell r="F28">
            <v>2244650058</v>
          </cell>
          <cell r="G28">
            <v>0</v>
          </cell>
          <cell r="H28">
            <v>0</v>
          </cell>
        </row>
        <row r="29">
          <cell r="B29">
            <v>611816011174</v>
          </cell>
          <cell r="D29">
            <v>73525769</v>
          </cell>
          <cell r="E29">
            <v>0</v>
          </cell>
          <cell r="F29">
            <v>73525769</v>
          </cell>
          <cell r="G29">
            <v>0</v>
          </cell>
          <cell r="H29">
            <v>0</v>
          </cell>
        </row>
        <row r="30">
          <cell r="B30">
            <v>611816031174</v>
          </cell>
          <cell r="D30">
            <v>17654925</v>
          </cell>
          <cell r="E30">
            <v>0</v>
          </cell>
          <cell r="F30">
            <v>17654925</v>
          </cell>
          <cell r="G30">
            <v>0</v>
          </cell>
          <cell r="H30">
            <v>0</v>
          </cell>
        </row>
        <row r="31">
          <cell r="B31">
            <v>611816050174</v>
          </cell>
          <cell r="D31">
            <v>7609590230</v>
          </cell>
          <cell r="E31">
            <v>0</v>
          </cell>
          <cell r="F31">
            <v>7609590230</v>
          </cell>
          <cell r="G31">
            <v>0</v>
          </cell>
          <cell r="H31">
            <v>0</v>
          </cell>
        </row>
        <row r="32">
          <cell r="B32">
            <v>620852010174</v>
          </cell>
          <cell r="D32">
            <v>2230728403596</v>
          </cell>
          <cell r="E32">
            <v>7993534992</v>
          </cell>
          <cell r="F32">
            <v>2222734868604</v>
          </cell>
          <cell r="G32">
            <v>0</v>
          </cell>
          <cell r="H32">
            <v>0</v>
          </cell>
        </row>
        <row r="33">
          <cell r="B33">
            <v>620852040174</v>
          </cell>
          <cell r="D33">
            <v>21402048871</v>
          </cell>
          <cell r="E33">
            <v>0</v>
          </cell>
          <cell r="F33">
            <v>21402048871</v>
          </cell>
          <cell r="G33">
            <v>0</v>
          </cell>
          <cell r="H33">
            <v>0</v>
          </cell>
        </row>
        <row r="34">
          <cell r="B34">
            <v>621859010174</v>
          </cell>
          <cell r="D34">
            <v>26794515918</v>
          </cell>
          <cell r="E34">
            <v>0</v>
          </cell>
          <cell r="F34">
            <v>26794515918</v>
          </cell>
          <cell r="G34">
            <v>0</v>
          </cell>
          <cell r="H34">
            <v>0</v>
          </cell>
        </row>
        <row r="35">
          <cell r="B35">
            <v>631993010174</v>
          </cell>
          <cell r="D35">
            <v>256946966502</v>
          </cell>
          <cell r="E35">
            <v>0</v>
          </cell>
          <cell r="F35">
            <v>256946966502</v>
          </cell>
          <cell r="G35">
            <v>0</v>
          </cell>
          <cell r="H35">
            <v>0</v>
          </cell>
        </row>
        <row r="36">
          <cell r="B36">
            <v>6324780105120</v>
          </cell>
          <cell r="D36">
            <v>4756529291</v>
          </cell>
          <cell r="E36">
            <v>0</v>
          </cell>
          <cell r="F36">
            <v>4756529291</v>
          </cell>
          <cell r="G36">
            <v>0</v>
          </cell>
          <cell r="H36">
            <v>5266014282</v>
          </cell>
        </row>
        <row r="37">
          <cell r="B37">
            <v>6324780105131</v>
          </cell>
          <cell r="D37">
            <v>2986970145</v>
          </cell>
          <cell r="E37">
            <v>0</v>
          </cell>
          <cell r="F37">
            <v>2986970145</v>
          </cell>
          <cell r="G37">
            <v>0</v>
          </cell>
          <cell r="H37">
            <v>3838065636</v>
          </cell>
        </row>
        <row r="38">
          <cell r="B38">
            <v>6324780105132</v>
          </cell>
          <cell r="D38">
            <v>1358879535</v>
          </cell>
          <cell r="E38">
            <v>0</v>
          </cell>
          <cell r="F38">
            <v>1358879535</v>
          </cell>
          <cell r="G38">
            <v>0</v>
          </cell>
          <cell r="H38">
            <v>1792005630</v>
          </cell>
        </row>
        <row r="39">
          <cell r="B39">
            <v>6324780105133</v>
          </cell>
          <cell r="D39">
            <v>2996839253</v>
          </cell>
          <cell r="E39">
            <v>0</v>
          </cell>
          <cell r="F39">
            <v>2996839253</v>
          </cell>
          <cell r="G39">
            <v>0</v>
          </cell>
          <cell r="H39">
            <v>3682456206</v>
          </cell>
        </row>
        <row r="40">
          <cell r="B40">
            <v>6324780105134</v>
          </cell>
          <cell r="D40">
            <v>721752986</v>
          </cell>
          <cell r="E40">
            <v>0</v>
          </cell>
          <cell r="F40">
            <v>721752986</v>
          </cell>
          <cell r="G40">
            <v>0</v>
          </cell>
          <cell r="H40">
            <v>953784384</v>
          </cell>
        </row>
        <row r="41">
          <cell r="B41">
            <v>6324780105135</v>
          </cell>
          <cell r="D41">
            <v>3570740159</v>
          </cell>
          <cell r="E41">
            <v>2695082990</v>
          </cell>
          <cell r="F41">
            <v>875657169</v>
          </cell>
          <cell r="G41">
            <v>0</v>
          </cell>
          <cell r="H41">
            <v>1941384666</v>
          </cell>
        </row>
        <row r="42">
          <cell r="B42">
            <v>6324780105230</v>
          </cell>
          <cell r="D42">
            <v>466228452</v>
          </cell>
          <cell r="E42">
            <v>0</v>
          </cell>
          <cell r="F42">
            <v>466228452</v>
          </cell>
          <cell r="G42">
            <v>0</v>
          </cell>
          <cell r="H42">
            <v>848456688</v>
          </cell>
        </row>
        <row r="43">
          <cell r="B43">
            <v>6324780105250</v>
          </cell>
          <cell r="D43">
            <v>810425232</v>
          </cell>
          <cell r="E43">
            <v>0</v>
          </cell>
          <cell r="F43">
            <v>810425232</v>
          </cell>
          <cell r="G43">
            <v>0</v>
          </cell>
          <cell r="H43">
            <v>1100555988</v>
          </cell>
        </row>
        <row r="44">
          <cell r="B44">
            <v>6324780105251</v>
          </cell>
          <cell r="D44">
            <v>561662990</v>
          </cell>
          <cell r="E44">
            <v>0</v>
          </cell>
          <cell r="F44">
            <v>561662990</v>
          </cell>
          <cell r="G44">
            <v>0</v>
          </cell>
          <cell r="H44">
            <v>836979270</v>
          </cell>
        </row>
        <row r="45">
          <cell r="B45">
            <v>6324780105260</v>
          </cell>
          <cell r="D45">
            <v>1128426459</v>
          </cell>
          <cell r="E45">
            <v>0</v>
          </cell>
          <cell r="F45">
            <v>1128426459</v>
          </cell>
          <cell r="G45">
            <v>0</v>
          </cell>
          <cell r="H45">
            <v>1904364000</v>
          </cell>
        </row>
        <row r="46">
          <cell r="B46">
            <v>6324780105270</v>
          </cell>
          <cell r="D46">
            <v>277217432</v>
          </cell>
          <cell r="E46">
            <v>0</v>
          </cell>
          <cell r="F46">
            <v>277217432</v>
          </cell>
          <cell r="G46">
            <v>0</v>
          </cell>
          <cell r="H46">
            <v>287751864</v>
          </cell>
        </row>
        <row r="47">
          <cell r="B47">
            <v>6324780105280</v>
          </cell>
          <cell r="D47">
            <v>708954903</v>
          </cell>
          <cell r="E47">
            <v>0</v>
          </cell>
          <cell r="F47">
            <v>708954903</v>
          </cell>
          <cell r="G47">
            <v>0</v>
          </cell>
          <cell r="H47">
            <v>981212844</v>
          </cell>
        </row>
        <row r="48">
          <cell r="B48">
            <v>6324780105290</v>
          </cell>
          <cell r="D48">
            <v>1240256997</v>
          </cell>
          <cell r="E48">
            <v>0</v>
          </cell>
          <cell r="F48">
            <v>1240256997</v>
          </cell>
          <cell r="G48">
            <v>0</v>
          </cell>
          <cell r="H48">
            <v>2528186316</v>
          </cell>
        </row>
        <row r="49">
          <cell r="B49">
            <v>6324780205000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6324780205010</v>
          </cell>
          <cell r="D50">
            <v>2503810614</v>
          </cell>
          <cell r="E50">
            <v>0</v>
          </cell>
          <cell r="F50">
            <v>2503810614</v>
          </cell>
          <cell r="G50">
            <v>0</v>
          </cell>
          <cell r="H50">
            <v>2574906510</v>
          </cell>
        </row>
        <row r="51">
          <cell r="B51">
            <v>6324780205011</v>
          </cell>
          <cell r="D51">
            <v>555894864</v>
          </cell>
          <cell r="E51">
            <v>0</v>
          </cell>
          <cell r="F51">
            <v>555894864</v>
          </cell>
          <cell r="G51">
            <v>0</v>
          </cell>
          <cell r="H51">
            <v>555894864</v>
          </cell>
        </row>
        <row r="52">
          <cell r="B52">
            <v>6324780205012</v>
          </cell>
          <cell r="D52">
            <v>251661816</v>
          </cell>
          <cell r="E52">
            <v>0</v>
          </cell>
          <cell r="F52">
            <v>251661816</v>
          </cell>
          <cell r="G52">
            <v>0</v>
          </cell>
          <cell r="H52">
            <v>251661810</v>
          </cell>
        </row>
        <row r="53">
          <cell r="B53">
            <v>6324780205013</v>
          </cell>
          <cell r="D53">
            <v>556949316</v>
          </cell>
          <cell r="E53">
            <v>0</v>
          </cell>
          <cell r="F53">
            <v>556949316</v>
          </cell>
          <cell r="G53">
            <v>0</v>
          </cell>
          <cell r="H53">
            <v>556949310</v>
          </cell>
        </row>
        <row r="54">
          <cell r="B54">
            <v>6324780205014</v>
          </cell>
          <cell r="D54">
            <v>1133215584</v>
          </cell>
          <cell r="E54">
            <v>0</v>
          </cell>
          <cell r="F54">
            <v>1133215584</v>
          </cell>
          <cell r="G54">
            <v>0</v>
          </cell>
          <cell r="H54">
            <v>1133215584</v>
          </cell>
        </row>
        <row r="55">
          <cell r="B55">
            <v>6324780205015</v>
          </cell>
          <cell r="D55">
            <v>910174488</v>
          </cell>
          <cell r="E55">
            <v>0</v>
          </cell>
          <cell r="F55">
            <v>910174488</v>
          </cell>
          <cell r="G55">
            <v>0</v>
          </cell>
          <cell r="H55">
            <v>910174488</v>
          </cell>
        </row>
        <row r="56">
          <cell r="B56">
            <v>6324780205020</v>
          </cell>
          <cell r="D56">
            <v>3821425170</v>
          </cell>
          <cell r="E56">
            <v>0</v>
          </cell>
          <cell r="F56">
            <v>3821425170</v>
          </cell>
          <cell r="G56">
            <v>0</v>
          </cell>
          <cell r="H56">
            <v>3994899144</v>
          </cell>
        </row>
        <row r="57">
          <cell r="B57">
            <v>6324780205021</v>
          </cell>
          <cell r="D57">
            <v>317086189</v>
          </cell>
          <cell r="E57">
            <v>30574201</v>
          </cell>
          <cell r="F57">
            <v>286511988</v>
          </cell>
          <cell r="G57">
            <v>0</v>
          </cell>
          <cell r="H57">
            <v>286511988</v>
          </cell>
        </row>
        <row r="58">
          <cell r="B58">
            <v>6324780205030</v>
          </cell>
          <cell r="D58">
            <v>230350686</v>
          </cell>
          <cell r="E58">
            <v>0</v>
          </cell>
          <cell r="F58">
            <v>230350686</v>
          </cell>
          <cell r="G58">
            <v>0</v>
          </cell>
          <cell r="H58">
            <v>230350680</v>
          </cell>
        </row>
        <row r="59">
          <cell r="B59">
            <v>6324780205032</v>
          </cell>
          <cell r="D59">
            <v>909563071</v>
          </cell>
          <cell r="E59">
            <v>234123175</v>
          </cell>
          <cell r="F59">
            <v>675439896</v>
          </cell>
          <cell r="G59">
            <v>0</v>
          </cell>
          <cell r="H59">
            <v>675439896</v>
          </cell>
        </row>
        <row r="60">
          <cell r="B60">
            <v>6324780205050</v>
          </cell>
          <cell r="D60">
            <v>3997337250</v>
          </cell>
          <cell r="E60">
            <v>1132933140</v>
          </cell>
          <cell r="F60">
            <v>2864404110</v>
          </cell>
          <cell r="G60">
            <v>0</v>
          </cell>
          <cell r="H60">
            <v>2864404110</v>
          </cell>
        </row>
        <row r="61">
          <cell r="B61">
            <v>632994010174</v>
          </cell>
          <cell r="D61">
            <v>155649269791</v>
          </cell>
          <cell r="E61">
            <v>0</v>
          </cell>
          <cell r="F61">
            <v>155649269791</v>
          </cell>
          <cell r="G61">
            <v>0</v>
          </cell>
          <cell r="H61">
            <v>0</v>
          </cell>
        </row>
        <row r="62">
          <cell r="B62">
            <v>64291401101</v>
          </cell>
          <cell r="D62">
            <v>907647</v>
          </cell>
          <cell r="E62">
            <v>907647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642915010174</v>
          </cell>
          <cell r="D63">
            <v>2068905121</v>
          </cell>
          <cell r="E63">
            <v>14640550104</v>
          </cell>
          <cell r="F63">
            <v>0</v>
          </cell>
          <cell r="G63">
            <v>12571644983</v>
          </cell>
          <cell r="H63">
            <v>0</v>
          </cell>
        </row>
        <row r="64">
          <cell r="B64">
            <v>644947010174</v>
          </cell>
          <cell r="D64">
            <v>0</v>
          </cell>
          <cell r="E64">
            <v>6919156683</v>
          </cell>
          <cell r="F64">
            <v>0</v>
          </cell>
          <cell r="G64">
            <v>6919156683</v>
          </cell>
          <cell r="H64">
            <v>0</v>
          </cell>
        </row>
        <row r="65">
          <cell r="B65">
            <v>644947020174</v>
          </cell>
          <cell r="D65">
            <v>0</v>
          </cell>
          <cell r="E65">
            <v>58109848845</v>
          </cell>
          <cell r="F65">
            <v>0</v>
          </cell>
          <cell r="G65">
            <v>58109848845</v>
          </cell>
          <cell r="H65">
            <v>0</v>
          </cell>
        </row>
        <row r="66">
          <cell r="B66">
            <v>646935010174</v>
          </cell>
          <cell r="D66">
            <v>0</v>
          </cell>
          <cell r="E66">
            <v>5137616346</v>
          </cell>
          <cell r="F66">
            <v>0</v>
          </cell>
          <cell r="G66">
            <v>5137616346</v>
          </cell>
          <cell r="H66">
            <v>0</v>
          </cell>
        </row>
        <row r="67">
          <cell r="B67">
            <v>647916010174</v>
          </cell>
          <cell r="D67">
            <v>0</v>
          </cell>
          <cell r="E67">
            <v>29630830392</v>
          </cell>
          <cell r="F67">
            <v>0</v>
          </cell>
          <cell r="G67">
            <v>29630830392</v>
          </cell>
          <cell r="H67">
            <v>0</v>
          </cell>
        </row>
        <row r="68">
          <cell r="B68">
            <v>649889010174</v>
          </cell>
          <cell r="D68">
            <v>13919805976</v>
          </cell>
          <cell r="E68">
            <v>14033380976</v>
          </cell>
          <cell r="F68">
            <v>0</v>
          </cell>
          <cell r="G68">
            <v>113575000</v>
          </cell>
          <cell r="H68">
            <v>0</v>
          </cell>
        </row>
        <row r="69">
          <cell r="B69">
            <v>649889020174</v>
          </cell>
          <cell r="D69">
            <v>0</v>
          </cell>
          <cell r="E69">
            <v>312500000</v>
          </cell>
          <cell r="F69">
            <v>0</v>
          </cell>
          <cell r="G69">
            <v>312500000</v>
          </cell>
          <cell r="H69">
            <v>0</v>
          </cell>
        </row>
        <row r="70">
          <cell r="B70">
            <v>649889030174</v>
          </cell>
          <cell r="D70">
            <v>0</v>
          </cell>
          <cell r="E70">
            <v>118163913</v>
          </cell>
          <cell r="F70">
            <v>0</v>
          </cell>
          <cell r="G70">
            <v>118163913</v>
          </cell>
          <cell r="H70">
            <v>0</v>
          </cell>
        </row>
        <row r="71">
          <cell r="B71">
            <v>649889040174</v>
          </cell>
          <cell r="D71">
            <v>0</v>
          </cell>
          <cell r="E71">
            <v>252390000</v>
          </cell>
          <cell r="F71">
            <v>0</v>
          </cell>
          <cell r="G71">
            <v>252390000</v>
          </cell>
          <cell r="H71">
            <v>0</v>
          </cell>
        </row>
        <row r="72">
          <cell r="B72">
            <v>649889050174</v>
          </cell>
          <cell r="D72">
            <v>0</v>
          </cell>
          <cell r="E72">
            <v>1677499222</v>
          </cell>
          <cell r="F72">
            <v>0</v>
          </cell>
          <cell r="G72">
            <v>1677499222</v>
          </cell>
          <cell r="H72">
            <v>0</v>
          </cell>
        </row>
        <row r="73">
          <cell r="B73">
            <v>649949010174</v>
          </cell>
          <cell r="D73">
            <v>1136</v>
          </cell>
          <cell r="E73">
            <v>1857</v>
          </cell>
          <cell r="F73">
            <v>0</v>
          </cell>
          <cell r="G73">
            <v>721</v>
          </cell>
          <cell r="H73">
            <v>0</v>
          </cell>
        </row>
        <row r="74">
          <cell r="B74">
            <v>6544960105020</v>
          </cell>
          <cell r="D74">
            <v>6241353643</v>
          </cell>
          <cell r="E74">
            <v>0</v>
          </cell>
          <cell r="F74">
            <v>6241353643</v>
          </cell>
          <cell r="G74">
            <v>0</v>
          </cell>
          <cell r="H74">
            <v>0</v>
          </cell>
        </row>
        <row r="75">
          <cell r="B75">
            <v>6544960105050</v>
          </cell>
          <cell r="D75">
            <v>1432071775</v>
          </cell>
          <cell r="E75">
            <v>0</v>
          </cell>
          <cell r="F75">
            <v>1432071775</v>
          </cell>
          <cell r="G75">
            <v>0</v>
          </cell>
          <cell r="H75">
            <v>0</v>
          </cell>
        </row>
        <row r="76">
          <cell r="B76">
            <v>6567330105050</v>
          </cell>
          <cell r="D76">
            <v>235889280</v>
          </cell>
          <cell r="E76">
            <v>0</v>
          </cell>
          <cell r="F76">
            <v>235889280</v>
          </cell>
          <cell r="G76">
            <v>0</v>
          </cell>
          <cell r="H76">
            <v>0</v>
          </cell>
        </row>
        <row r="77">
          <cell r="B77">
            <v>657736010174</v>
          </cell>
          <cell r="D77">
            <v>1860285443</v>
          </cell>
          <cell r="E77">
            <v>0</v>
          </cell>
          <cell r="F77">
            <v>1860285443</v>
          </cell>
          <cell r="G77">
            <v>0</v>
          </cell>
          <cell r="H77">
            <v>0</v>
          </cell>
        </row>
        <row r="78">
          <cell r="B78">
            <v>657736020174</v>
          </cell>
          <cell r="D78">
            <v>38182726794</v>
          </cell>
          <cell r="E78">
            <v>0</v>
          </cell>
          <cell r="F78">
            <v>38182726794</v>
          </cell>
          <cell r="G78">
            <v>0</v>
          </cell>
          <cell r="H78">
            <v>0</v>
          </cell>
        </row>
        <row r="79">
          <cell r="B79">
            <v>6594770105050</v>
          </cell>
          <cell r="D79">
            <v>305645000</v>
          </cell>
          <cell r="E79">
            <v>0</v>
          </cell>
          <cell r="F79">
            <v>305645000</v>
          </cell>
          <cell r="G79">
            <v>0</v>
          </cell>
          <cell r="H79">
            <v>0</v>
          </cell>
        </row>
        <row r="80">
          <cell r="B80">
            <v>6594770205050</v>
          </cell>
          <cell r="D80">
            <v>22486087</v>
          </cell>
          <cell r="E80">
            <v>0</v>
          </cell>
          <cell r="F80">
            <v>22486087</v>
          </cell>
          <cell r="G80">
            <v>0</v>
          </cell>
          <cell r="H80">
            <v>0</v>
          </cell>
        </row>
        <row r="81">
          <cell r="B81">
            <v>6595410105050</v>
          </cell>
          <cell r="D81">
            <v>316823000</v>
          </cell>
          <cell r="E81">
            <v>0</v>
          </cell>
          <cell r="F81">
            <v>316823000</v>
          </cell>
          <cell r="G81">
            <v>0</v>
          </cell>
          <cell r="H81">
            <v>564600000</v>
          </cell>
        </row>
        <row r="82">
          <cell r="B82">
            <v>6595430105050</v>
          </cell>
          <cell r="D82">
            <v>57100000</v>
          </cell>
          <cell r="E82">
            <v>0</v>
          </cell>
          <cell r="F82">
            <v>57100000</v>
          </cell>
          <cell r="G82">
            <v>0</v>
          </cell>
          <cell r="H82">
            <v>0</v>
          </cell>
        </row>
        <row r="83">
          <cell r="B83">
            <v>6595480105050</v>
          </cell>
          <cell r="D83">
            <v>1777873000</v>
          </cell>
          <cell r="E83">
            <v>0</v>
          </cell>
          <cell r="F83">
            <v>1777873000</v>
          </cell>
          <cell r="G83">
            <v>0</v>
          </cell>
          <cell r="H83">
            <v>0</v>
          </cell>
        </row>
        <row r="84">
          <cell r="B84">
            <v>659735010174</v>
          </cell>
          <cell r="D84">
            <v>40479683816</v>
          </cell>
          <cell r="E84">
            <v>532561718</v>
          </cell>
          <cell r="F84">
            <v>39947122098</v>
          </cell>
          <cell r="G84">
            <v>0</v>
          </cell>
          <cell r="H84">
            <v>0</v>
          </cell>
        </row>
        <row r="85">
          <cell r="B85">
            <v>659899010174</v>
          </cell>
          <cell r="D85">
            <v>14167876920</v>
          </cell>
          <cell r="E85">
            <v>14111255986</v>
          </cell>
          <cell r="F85">
            <v>56620934</v>
          </cell>
          <cell r="G85">
            <v>0</v>
          </cell>
          <cell r="H85">
            <v>0</v>
          </cell>
        </row>
        <row r="86">
          <cell r="B86">
            <v>659899020174</v>
          </cell>
          <cell r="D86">
            <v>314757854</v>
          </cell>
          <cell r="E86">
            <v>0</v>
          </cell>
          <cell r="F86">
            <v>314757854</v>
          </cell>
          <cell r="G86">
            <v>0</v>
          </cell>
          <cell r="H86">
            <v>0</v>
          </cell>
        </row>
        <row r="87">
          <cell r="B87">
            <v>659899040174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>
            <v>659899050174</v>
          </cell>
          <cell r="D88">
            <v>619802911</v>
          </cell>
          <cell r="E88">
            <v>0</v>
          </cell>
          <cell r="F88">
            <v>619802911</v>
          </cell>
          <cell r="G88">
            <v>0</v>
          </cell>
          <cell r="H88">
            <v>0</v>
          </cell>
        </row>
        <row r="89">
          <cell r="B89">
            <v>661995010174</v>
          </cell>
          <cell r="D89">
            <v>24819049273</v>
          </cell>
          <cell r="E89">
            <v>0</v>
          </cell>
          <cell r="F89">
            <v>24819049273</v>
          </cell>
          <cell r="G89">
            <v>0</v>
          </cell>
          <cell r="H89">
            <v>0</v>
          </cell>
        </row>
        <row r="90">
          <cell r="B90">
            <v>6799460105050</v>
          </cell>
          <cell r="D90">
            <v>0</v>
          </cell>
          <cell r="E90">
            <v>158753000</v>
          </cell>
          <cell r="F90">
            <v>0</v>
          </cell>
          <cell r="G90">
            <v>158753000</v>
          </cell>
          <cell r="H90">
            <v>0</v>
          </cell>
        </row>
        <row r="91">
          <cell r="B91">
            <v>6799490105050</v>
          </cell>
          <cell r="D91">
            <v>0</v>
          </cell>
          <cell r="E91">
            <v>1507</v>
          </cell>
          <cell r="F91">
            <v>0</v>
          </cell>
          <cell r="G91">
            <v>1507</v>
          </cell>
          <cell r="H91">
            <v>0</v>
          </cell>
        </row>
        <row r="92">
          <cell r="B92">
            <v>6799490405050</v>
          </cell>
          <cell r="D92">
            <v>0</v>
          </cell>
          <cell r="E92">
            <v>33706193</v>
          </cell>
          <cell r="F92">
            <v>0</v>
          </cell>
          <cell r="G92">
            <v>33706193</v>
          </cell>
          <cell r="H92">
            <v>0</v>
          </cell>
        </row>
        <row r="93">
          <cell r="B93">
            <v>6814970105050</v>
          </cell>
          <cell r="D93">
            <v>67173913</v>
          </cell>
          <cell r="E93">
            <v>0</v>
          </cell>
          <cell r="F93">
            <v>67173913</v>
          </cell>
          <cell r="G93">
            <v>0</v>
          </cell>
          <cell r="H93">
            <v>0</v>
          </cell>
        </row>
        <row r="94">
          <cell r="B94">
            <v>6894760105000</v>
          </cell>
          <cell r="D94">
            <v>17000000</v>
          </cell>
          <cell r="E94">
            <v>0</v>
          </cell>
          <cell r="F94">
            <v>17000000</v>
          </cell>
          <cell r="G94">
            <v>0</v>
          </cell>
          <cell r="H94">
            <v>0</v>
          </cell>
        </row>
        <row r="95">
          <cell r="B95">
            <v>6894760405000</v>
          </cell>
          <cell r="D95">
            <v>5000000</v>
          </cell>
          <cell r="E95">
            <v>0</v>
          </cell>
          <cell r="F95">
            <v>5000000</v>
          </cell>
          <cell r="G95">
            <v>0</v>
          </cell>
          <cell r="H95">
            <v>0</v>
          </cell>
        </row>
        <row r="96">
          <cell r="B96">
            <v>6894870105050</v>
          </cell>
          <cell r="D96">
            <v>1605982453</v>
          </cell>
          <cell r="E96">
            <v>0</v>
          </cell>
          <cell r="F96">
            <v>1605982453</v>
          </cell>
          <cell r="G96">
            <v>0</v>
          </cell>
          <cell r="H96">
            <v>0</v>
          </cell>
        </row>
        <row r="97">
          <cell r="B97">
            <v>6894940105050</v>
          </cell>
          <cell r="D97">
            <v>11773183</v>
          </cell>
          <cell r="E97">
            <v>0</v>
          </cell>
          <cell r="F97">
            <v>11773183</v>
          </cell>
          <cell r="G97">
            <v>0</v>
          </cell>
          <cell r="H97">
            <v>0</v>
          </cell>
        </row>
        <row r="98">
          <cell r="B98">
            <v>7100010105120</v>
          </cell>
          <cell r="D98">
            <v>3444010314</v>
          </cell>
          <cell r="E98">
            <v>0</v>
          </cell>
          <cell r="F98">
            <v>3444010314</v>
          </cell>
          <cell r="G98">
            <v>0</v>
          </cell>
          <cell r="H98">
            <v>0</v>
          </cell>
        </row>
        <row r="99">
          <cell r="B99">
            <v>7100010105220</v>
          </cell>
          <cell r="D99">
            <v>11811172955</v>
          </cell>
          <cell r="E99">
            <v>0</v>
          </cell>
          <cell r="F99">
            <v>11811172955</v>
          </cell>
          <cell r="G99">
            <v>0</v>
          </cell>
          <cell r="H99">
            <v>0</v>
          </cell>
        </row>
        <row r="100">
          <cell r="B100">
            <v>7100010205120</v>
          </cell>
          <cell r="D100">
            <v>103729113112</v>
          </cell>
          <cell r="E100">
            <v>0</v>
          </cell>
          <cell r="F100">
            <v>103729113112</v>
          </cell>
          <cell r="G100">
            <v>0</v>
          </cell>
          <cell r="H100">
            <v>0</v>
          </cell>
        </row>
        <row r="101">
          <cell r="B101">
            <v>7100010305120</v>
          </cell>
          <cell r="D101">
            <v>65643510212</v>
          </cell>
          <cell r="E101">
            <v>0</v>
          </cell>
          <cell r="F101">
            <v>65643510212</v>
          </cell>
          <cell r="G101">
            <v>0</v>
          </cell>
          <cell r="H101">
            <v>0</v>
          </cell>
        </row>
        <row r="102">
          <cell r="B102">
            <v>7100010405120</v>
          </cell>
          <cell r="D102">
            <v>874478666</v>
          </cell>
          <cell r="E102">
            <v>0</v>
          </cell>
          <cell r="F102">
            <v>874478666</v>
          </cell>
          <cell r="G102">
            <v>0</v>
          </cell>
          <cell r="H102">
            <v>0</v>
          </cell>
        </row>
        <row r="103">
          <cell r="B103">
            <v>7100010405220</v>
          </cell>
          <cell r="D103">
            <v>49957281514</v>
          </cell>
          <cell r="E103">
            <v>0</v>
          </cell>
          <cell r="F103">
            <v>49957281514</v>
          </cell>
          <cell r="G103">
            <v>0</v>
          </cell>
          <cell r="H103">
            <v>0</v>
          </cell>
        </row>
        <row r="104">
          <cell r="B104">
            <v>7100010505120</v>
          </cell>
          <cell r="D104">
            <v>189502761321</v>
          </cell>
          <cell r="E104">
            <v>0</v>
          </cell>
          <cell r="F104">
            <v>189502761321</v>
          </cell>
          <cell r="G104">
            <v>0</v>
          </cell>
          <cell r="H104">
            <v>0</v>
          </cell>
        </row>
        <row r="105">
          <cell r="B105">
            <v>7100010605120</v>
          </cell>
          <cell r="D105">
            <v>7677300381</v>
          </cell>
          <cell r="E105">
            <v>0</v>
          </cell>
          <cell r="F105">
            <v>7677300381</v>
          </cell>
          <cell r="G105">
            <v>0</v>
          </cell>
          <cell r="H105">
            <v>0</v>
          </cell>
        </row>
        <row r="106">
          <cell r="B106">
            <v>7100011605220</v>
          </cell>
          <cell r="D106">
            <v>35494325907</v>
          </cell>
          <cell r="E106">
            <v>0</v>
          </cell>
          <cell r="F106">
            <v>35494325907</v>
          </cell>
          <cell r="G106">
            <v>0</v>
          </cell>
          <cell r="H106">
            <v>0</v>
          </cell>
        </row>
        <row r="107">
          <cell r="B107">
            <v>7100011705120</v>
          </cell>
          <cell r="D107">
            <v>17387900714</v>
          </cell>
          <cell r="E107">
            <v>0</v>
          </cell>
          <cell r="F107">
            <v>17387900714</v>
          </cell>
          <cell r="G107">
            <v>0</v>
          </cell>
          <cell r="H107">
            <v>0</v>
          </cell>
        </row>
        <row r="108">
          <cell r="B108">
            <v>7100011705220</v>
          </cell>
          <cell r="D108">
            <v>106255513</v>
          </cell>
          <cell r="E108">
            <v>0</v>
          </cell>
          <cell r="F108">
            <v>106255513</v>
          </cell>
          <cell r="G108">
            <v>0</v>
          </cell>
          <cell r="H108">
            <v>0</v>
          </cell>
        </row>
        <row r="109">
          <cell r="B109">
            <v>7100011805120</v>
          </cell>
          <cell r="D109">
            <v>72681010445</v>
          </cell>
          <cell r="E109">
            <v>0</v>
          </cell>
          <cell r="F109">
            <v>72681010445</v>
          </cell>
          <cell r="G109">
            <v>0</v>
          </cell>
          <cell r="H109">
            <v>0</v>
          </cell>
        </row>
        <row r="110">
          <cell r="B110">
            <v>7100011805220</v>
          </cell>
          <cell r="D110">
            <v>71639864929</v>
          </cell>
          <cell r="E110">
            <v>0</v>
          </cell>
          <cell r="F110">
            <v>71639864929</v>
          </cell>
          <cell r="G110">
            <v>0</v>
          </cell>
          <cell r="H110">
            <v>0</v>
          </cell>
        </row>
        <row r="111">
          <cell r="B111">
            <v>7100011905220</v>
          </cell>
          <cell r="D111">
            <v>342948388</v>
          </cell>
          <cell r="E111">
            <v>0</v>
          </cell>
          <cell r="F111">
            <v>342948388</v>
          </cell>
          <cell r="G111">
            <v>0</v>
          </cell>
          <cell r="H111">
            <v>0</v>
          </cell>
        </row>
        <row r="112">
          <cell r="B112">
            <v>7100012005220</v>
          </cell>
          <cell r="D112">
            <v>23397948570</v>
          </cell>
          <cell r="E112">
            <v>0</v>
          </cell>
          <cell r="F112">
            <v>23397948570</v>
          </cell>
          <cell r="G112">
            <v>0</v>
          </cell>
          <cell r="H112">
            <v>0</v>
          </cell>
        </row>
        <row r="113">
          <cell r="B113">
            <v>7100012905120</v>
          </cell>
          <cell r="D113">
            <v>1852111926</v>
          </cell>
          <cell r="E113">
            <v>0</v>
          </cell>
          <cell r="F113">
            <v>1852111926</v>
          </cell>
          <cell r="G113">
            <v>0</v>
          </cell>
          <cell r="H113">
            <v>0</v>
          </cell>
        </row>
        <row r="114">
          <cell r="B114">
            <v>7100013105220</v>
          </cell>
          <cell r="D114">
            <v>4974628451</v>
          </cell>
          <cell r="E114">
            <v>0</v>
          </cell>
          <cell r="F114">
            <v>4974628451</v>
          </cell>
          <cell r="G114">
            <v>0</v>
          </cell>
          <cell r="H114">
            <v>0</v>
          </cell>
        </row>
        <row r="115">
          <cell r="B115">
            <v>7100013405220</v>
          </cell>
          <cell r="D115">
            <v>3024364097</v>
          </cell>
          <cell r="E115">
            <v>0</v>
          </cell>
          <cell r="F115">
            <v>3024364097</v>
          </cell>
          <cell r="G115">
            <v>0</v>
          </cell>
          <cell r="H115">
            <v>0</v>
          </cell>
        </row>
        <row r="116">
          <cell r="B116">
            <v>7100013505120</v>
          </cell>
          <cell r="D116">
            <v>12781116007</v>
          </cell>
          <cell r="E116">
            <v>0</v>
          </cell>
          <cell r="F116">
            <v>12781116007</v>
          </cell>
          <cell r="G116">
            <v>0</v>
          </cell>
          <cell r="H116">
            <v>0</v>
          </cell>
        </row>
        <row r="117">
          <cell r="B117">
            <v>7100014005120</v>
          </cell>
          <cell r="D117">
            <v>6977234978</v>
          </cell>
          <cell r="E117">
            <v>0</v>
          </cell>
          <cell r="F117">
            <v>6977234978</v>
          </cell>
          <cell r="G117">
            <v>0</v>
          </cell>
          <cell r="H117">
            <v>0</v>
          </cell>
        </row>
        <row r="118">
          <cell r="B118">
            <v>7100014105120</v>
          </cell>
          <cell r="D118">
            <v>1103358194</v>
          </cell>
          <cell r="E118">
            <v>0</v>
          </cell>
          <cell r="F118">
            <v>1103358194</v>
          </cell>
          <cell r="G118">
            <v>0</v>
          </cell>
          <cell r="H118">
            <v>0</v>
          </cell>
        </row>
        <row r="119">
          <cell r="B119">
            <v>7100014205120</v>
          </cell>
          <cell r="D119">
            <v>13162115479</v>
          </cell>
          <cell r="E119">
            <v>0</v>
          </cell>
          <cell r="F119">
            <v>13162115479</v>
          </cell>
          <cell r="G119">
            <v>0</v>
          </cell>
          <cell r="H119">
            <v>0</v>
          </cell>
        </row>
        <row r="120">
          <cell r="B120">
            <v>7100014605220</v>
          </cell>
          <cell r="D120">
            <v>13461435248</v>
          </cell>
          <cell r="E120">
            <v>0</v>
          </cell>
          <cell r="F120">
            <v>13461435248</v>
          </cell>
          <cell r="G120">
            <v>0</v>
          </cell>
          <cell r="H120">
            <v>0</v>
          </cell>
        </row>
        <row r="121">
          <cell r="B121">
            <v>7100014705120</v>
          </cell>
          <cell r="D121">
            <v>69987047062</v>
          </cell>
          <cell r="E121">
            <v>0</v>
          </cell>
          <cell r="F121">
            <v>69987047062</v>
          </cell>
          <cell r="G121">
            <v>0</v>
          </cell>
          <cell r="H121">
            <v>0</v>
          </cell>
        </row>
        <row r="122">
          <cell r="B122">
            <v>7100014705220</v>
          </cell>
          <cell r="D122">
            <v>26429265659</v>
          </cell>
          <cell r="E122">
            <v>0</v>
          </cell>
          <cell r="F122">
            <v>26429265659</v>
          </cell>
          <cell r="G122">
            <v>0</v>
          </cell>
          <cell r="H122">
            <v>0</v>
          </cell>
        </row>
        <row r="123">
          <cell r="B123">
            <v>7100014805120</v>
          </cell>
          <cell r="D123">
            <v>478274327</v>
          </cell>
          <cell r="E123">
            <v>0</v>
          </cell>
          <cell r="F123">
            <v>478274327</v>
          </cell>
          <cell r="G123">
            <v>0</v>
          </cell>
          <cell r="H123">
            <v>0</v>
          </cell>
        </row>
        <row r="124">
          <cell r="B124">
            <v>7100014905120</v>
          </cell>
          <cell r="D124">
            <v>62880804483</v>
          </cell>
          <cell r="E124">
            <v>0</v>
          </cell>
          <cell r="F124">
            <v>62880804483</v>
          </cell>
          <cell r="G124">
            <v>0</v>
          </cell>
          <cell r="H124">
            <v>0</v>
          </cell>
        </row>
        <row r="125">
          <cell r="B125">
            <v>7100014905220</v>
          </cell>
          <cell r="D125">
            <v>96199353799</v>
          </cell>
          <cell r="E125">
            <v>0</v>
          </cell>
          <cell r="F125">
            <v>96199353799</v>
          </cell>
          <cell r="G125">
            <v>0</v>
          </cell>
          <cell r="H125">
            <v>0</v>
          </cell>
        </row>
        <row r="126">
          <cell r="B126">
            <v>7100015005220</v>
          </cell>
          <cell r="D126">
            <v>139658595</v>
          </cell>
          <cell r="E126">
            <v>0</v>
          </cell>
          <cell r="F126">
            <v>139658595</v>
          </cell>
          <cell r="G126">
            <v>0</v>
          </cell>
          <cell r="H126">
            <v>0</v>
          </cell>
        </row>
        <row r="127">
          <cell r="B127">
            <v>7100015105220</v>
          </cell>
          <cell r="D127">
            <v>31774420063</v>
          </cell>
          <cell r="E127">
            <v>0</v>
          </cell>
          <cell r="F127">
            <v>31774420063</v>
          </cell>
          <cell r="G127">
            <v>0</v>
          </cell>
          <cell r="H127">
            <v>0</v>
          </cell>
        </row>
        <row r="128">
          <cell r="B128">
            <v>7100015505120</v>
          </cell>
          <cell r="D128">
            <v>4569629824</v>
          </cell>
          <cell r="E128">
            <v>0</v>
          </cell>
          <cell r="F128">
            <v>4569629824</v>
          </cell>
          <cell r="G128">
            <v>0</v>
          </cell>
          <cell r="H128">
            <v>0</v>
          </cell>
        </row>
        <row r="129">
          <cell r="B129">
            <v>7100015605120</v>
          </cell>
          <cell r="D129">
            <v>47887216204</v>
          </cell>
          <cell r="E129">
            <v>0</v>
          </cell>
          <cell r="F129">
            <v>47887216204</v>
          </cell>
          <cell r="G129">
            <v>0</v>
          </cell>
          <cell r="H129">
            <v>0</v>
          </cell>
        </row>
        <row r="130">
          <cell r="B130">
            <v>7100015705120</v>
          </cell>
          <cell r="D130">
            <v>11215286641</v>
          </cell>
          <cell r="E130">
            <v>0</v>
          </cell>
          <cell r="F130">
            <v>11215286641</v>
          </cell>
          <cell r="G130">
            <v>0</v>
          </cell>
          <cell r="H130">
            <v>0</v>
          </cell>
        </row>
        <row r="131">
          <cell r="B131">
            <v>7100015805120</v>
          </cell>
          <cell r="D131">
            <v>17247276188</v>
          </cell>
          <cell r="E131">
            <v>0</v>
          </cell>
          <cell r="F131">
            <v>17247276188</v>
          </cell>
          <cell r="G131">
            <v>0</v>
          </cell>
          <cell r="H131">
            <v>0</v>
          </cell>
        </row>
        <row r="132">
          <cell r="B132">
            <v>7100015905120</v>
          </cell>
          <cell r="D132">
            <v>32594043011</v>
          </cell>
          <cell r="E132">
            <v>0</v>
          </cell>
          <cell r="F132">
            <v>32594043011</v>
          </cell>
          <cell r="G132">
            <v>0</v>
          </cell>
          <cell r="H132">
            <v>0</v>
          </cell>
        </row>
        <row r="133">
          <cell r="B133">
            <v>7100016605120</v>
          </cell>
          <cell r="D133">
            <v>95707632398</v>
          </cell>
          <cell r="E133">
            <v>0</v>
          </cell>
          <cell r="F133">
            <v>95707632398</v>
          </cell>
          <cell r="G133">
            <v>0</v>
          </cell>
          <cell r="H133">
            <v>0</v>
          </cell>
        </row>
        <row r="134">
          <cell r="B134">
            <v>7100016805120</v>
          </cell>
          <cell r="D134">
            <v>29902207561</v>
          </cell>
          <cell r="E134">
            <v>0</v>
          </cell>
          <cell r="F134">
            <v>29902207561</v>
          </cell>
          <cell r="G134">
            <v>0</v>
          </cell>
          <cell r="H134">
            <v>0</v>
          </cell>
        </row>
        <row r="135">
          <cell r="B135">
            <v>7100017405120</v>
          </cell>
          <cell r="D135">
            <v>2709886237</v>
          </cell>
          <cell r="E135">
            <v>0</v>
          </cell>
          <cell r="F135">
            <v>2709886237</v>
          </cell>
          <cell r="G135">
            <v>0</v>
          </cell>
          <cell r="H135">
            <v>0</v>
          </cell>
        </row>
        <row r="136">
          <cell r="B136">
            <v>7100017505120</v>
          </cell>
          <cell r="D136">
            <v>1150496134</v>
          </cell>
          <cell r="E136">
            <v>0</v>
          </cell>
          <cell r="F136">
            <v>1150496134</v>
          </cell>
          <cell r="G136">
            <v>0</v>
          </cell>
          <cell r="H136">
            <v>0</v>
          </cell>
        </row>
        <row r="137">
          <cell r="B137">
            <v>7100017605220</v>
          </cell>
          <cell r="D137">
            <v>412085624</v>
          </cell>
          <cell r="E137">
            <v>0</v>
          </cell>
          <cell r="F137">
            <v>412085624</v>
          </cell>
          <cell r="G137">
            <v>0</v>
          </cell>
          <cell r="H137">
            <v>0</v>
          </cell>
        </row>
        <row r="138">
          <cell r="B138">
            <v>7100017705220</v>
          </cell>
          <cell r="D138">
            <v>944024428</v>
          </cell>
          <cell r="E138">
            <v>0</v>
          </cell>
          <cell r="F138">
            <v>944024428</v>
          </cell>
          <cell r="G138">
            <v>0</v>
          </cell>
          <cell r="H138">
            <v>0</v>
          </cell>
        </row>
        <row r="139">
          <cell r="B139">
            <v>7100017905220</v>
          </cell>
          <cell r="D139">
            <v>2128855785</v>
          </cell>
          <cell r="E139">
            <v>0</v>
          </cell>
          <cell r="F139">
            <v>2128855785</v>
          </cell>
          <cell r="G139">
            <v>0</v>
          </cell>
          <cell r="H139">
            <v>0</v>
          </cell>
        </row>
        <row r="140">
          <cell r="B140">
            <v>7100018005120</v>
          </cell>
          <cell r="D140">
            <v>8845781557</v>
          </cell>
          <cell r="E140">
            <v>0</v>
          </cell>
          <cell r="F140">
            <v>8845781557</v>
          </cell>
          <cell r="G140">
            <v>0</v>
          </cell>
          <cell r="H140">
            <v>0</v>
          </cell>
        </row>
        <row r="141">
          <cell r="B141">
            <v>7100018205220</v>
          </cell>
          <cell r="D141">
            <v>9430395467</v>
          </cell>
          <cell r="E141">
            <v>0</v>
          </cell>
          <cell r="F141">
            <v>9430395467</v>
          </cell>
          <cell r="G141">
            <v>0</v>
          </cell>
          <cell r="H141">
            <v>0</v>
          </cell>
        </row>
        <row r="142">
          <cell r="B142">
            <v>7100018405120</v>
          </cell>
          <cell r="D142">
            <v>64278206863</v>
          </cell>
          <cell r="E142">
            <v>0</v>
          </cell>
          <cell r="F142">
            <v>64278206863</v>
          </cell>
          <cell r="G142">
            <v>0</v>
          </cell>
          <cell r="H142">
            <v>0</v>
          </cell>
        </row>
        <row r="143">
          <cell r="B143">
            <v>7100018505120</v>
          </cell>
          <cell r="D143">
            <v>1889424126</v>
          </cell>
          <cell r="E143">
            <v>0</v>
          </cell>
          <cell r="F143">
            <v>1889424126</v>
          </cell>
          <cell r="G143">
            <v>0</v>
          </cell>
          <cell r="H143">
            <v>0</v>
          </cell>
        </row>
        <row r="144">
          <cell r="B144">
            <v>7100018605220</v>
          </cell>
          <cell r="D144">
            <v>4800848615</v>
          </cell>
          <cell r="E144">
            <v>0</v>
          </cell>
          <cell r="F144">
            <v>4800848615</v>
          </cell>
          <cell r="G144">
            <v>0</v>
          </cell>
          <cell r="H144">
            <v>0</v>
          </cell>
        </row>
        <row r="145">
          <cell r="B145">
            <v>7100018905220</v>
          </cell>
          <cell r="D145">
            <v>7879421319</v>
          </cell>
          <cell r="E145">
            <v>0</v>
          </cell>
          <cell r="F145">
            <v>7879421319</v>
          </cell>
          <cell r="G145">
            <v>0</v>
          </cell>
          <cell r="H145">
            <v>0</v>
          </cell>
        </row>
        <row r="146">
          <cell r="B146">
            <v>7100019405120</v>
          </cell>
          <cell r="D146">
            <v>11685225948</v>
          </cell>
          <cell r="E146">
            <v>0</v>
          </cell>
          <cell r="F146">
            <v>11685225948</v>
          </cell>
          <cell r="G146">
            <v>0</v>
          </cell>
          <cell r="H146">
            <v>0</v>
          </cell>
        </row>
        <row r="147">
          <cell r="B147">
            <v>7100019505120</v>
          </cell>
          <cell r="D147">
            <v>127594321640</v>
          </cell>
          <cell r="E147">
            <v>0</v>
          </cell>
          <cell r="F147">
            <v>127594321640</v>
          </cell>
          <cell r="G147">
            <v>0</v>
          </cell>
          <cell r="H147">
            <v>0</v>
          </cell>
        </row>
        <row r="148">
          <cell r="B148">
            <v>7100019605120</v>
          </cell>
          <cell r="D148">
            <v>15835461072</v>
          </cell>
          <cell r="E148">
            <v>0</v>
          </cell>
          <cell r="F148">
            <v>15835461072</v>
          </cell>
          <cell r="G148">
            <v>0</v>
          </cell>
          <cell r="H148">
            <v>0</v>
          </cell>
        </row>
        <row r="149">
          <cell r="B149">
            <v>7100019705120</v>
          </cell>
          <cell r="D149">
            <v>30451068249</v>
          </cell>
          <cell r="E149">
            <v>0</v>
          </cell>
          <cell r="F149">
            <v>30451068249</v>
          </cell>
          <cell r="G149">
            <v>0</v>
          </cell>
          <cell r="H149">
            <v>0</v>
          </cell>
        </row>
        <row r="150">
          <cell r="B150">
            <v>7100019705220</v>
          </cell>
          <cell r="D150">
            <v>8604392086</v>
          </cell>
          <cell r="E150">
            <v>0</v>
          </cell>
          <cell r="F150">
            <v>8604392086</v>
          </cell>
          <cell r="G150">
            <v>0</v>
          </cell>
          <cell r="H150">
            <v>0</v>
          </cell>
        </row>
        <row r="151">
          <cell r="B151">
            <v>7100019805120</v>
          </cell>
          <cell r="D151">
            <v>61799777204</v>
          </cell>
          <cell r="E151">
            <v>0</v>
          </cell>
          <cell r="F151">
            <v>61799777204</v>
          </cell>
          <cell r="G151">
            <v>0</v>
          </cell>
          <cell r="H151">
            <v>0</v>
          </cell>
        </row>
        <row r="152">
          <cell r="B152">
            <v>7100019805220</v>
          </cell>
          <cell r="D152">
            <v>4690440116</v>
          </cell>
          <cell r="E152">
            <v>0</v>
          </cell>
          <cell r="F152">
            <v>4690440116</v>
          </cell>
          <cell r="G152">
            <v>0</v>
          </cell>
          <cell r="H152">
            <v>0</v>
          </cell>
        </row>
        <row r="153">
          <cell r="B153">
            <v>7100019905120</v>
          </cell>
          <cell r="D153">
            <v>5036206034</v>
          </cell>
          <cell r="E153">
            <v>0</v>
          </cell>
          <cell r="F153">
            <v>5036206034</v>
          </cell>
          <cell r="G153">
            <v>0</v>
          </cell>
          <cell r="H153">
            <v>0</v>
          </cell>
        </row>
        <row r="154">
          <cell r="B154">
            <v>7100019905131</v>
          </cell>
          <cell r="D154">
            <v>45855624488</v>
          </cell>
          <cell r="E154">
            <v>0</v>
          </cell>
          <cell r="F154">
            <v>45855624488</v>
          </cell>
          <cell r="G154">
            <v>0</v>
          </cell>
          <cell r="H154">
            <v>0</v>
          </cell>
        </row>
        <row r="155">
          <cell r="B155">
            <v>7100019905220</v>
          </cell>
          <cell r="D155">
            <v>5416995411</v>
          </cell>
          <cell r="E155">
            <v>0</v>
          </cell>
          <cell r="F155">
            <v>5416995411</v>
          </cell>
          <cell r="G155">
            <v>0</v>
          </cell>
          <cell r="H155">
            <v>0</v>
          </cell>
        </row>
        <row r="156">
          <cell r="B156">
            <v>7100050105131</v>
          </cell>
          <cell r="D156">
            <v>11610364076</v>
          </cell>
          <cell r="E156">
            <v>0</v>
          </cell>
          <cell r="F156">
            <v>11610364076</v>
          </cell>
          <cell r="G156">
            <v>0</v>
          </cell>
          <cell r="H156">
            <v>0</v>
          </cell>
        </row>
        <row r="157">
          <cell r="B157">
            <v>7100050105132</v>
          </cell>
          <cell r="D157">
            <v>10112513578</v>
          </cell>
          <cell r="E157">
            <v>0</v>
          </cell>
          <cell r="F157">
            <v>10112513578</v>
          </cell>
          <cell r="G157">
            <v>0</v>
          </cell>
          <cell r="H157">
            <v>0</v>
          </cell>
        </row>
        <row r="158">
          <cell r="B158">
            <v>7100050105133</v>
          </cell>
          <cell r="D158">
            <v>16911038902</v>
          </cell>
          <cell r="E158">
            <v>0</v>
          </cell>
          <cell r="F158">
            <v>16911038902</v>
          </cell>
          <cell r="G158">
            <v>0</v>
          </cell>
          <cell r="H158">
            <v>0</v>
          </cell>
        </row>
        <row r="159">
          <cell r="B159">
            <v>7100050105134</v>
          </cell>
          <cell r="D159">
            <v>1239624250</v>
          </cell>
          <cell r="E159">
            <v>0</v>
          </cell>
          <cell r="F159">
            <v>1239624250</v>
          </cell>
          <cell r="G159">
            <v>0</v>
          </cell>
          <cell r="H159">
            <v>0</v>
          </cell>
        </row>
        <row r="160">
          <cell r="B160">
            <v>7100050205120</v>
          </cell>
          <cell r="D160">
            <v>16820570000</v>
          </cell>
          <cell r="E160">
            <v>0</v>
          </cell>
          <cell r="F160">
            <v>16820570000</v>
          </cell>
          <cell r="G160">
            <v>0</v>
          </cell>
          <cell r="H160">
            <v>0</v>
          </cell>
        </row>
        <row r="161">
          <cell r="B161">
            <v>7100050305120</v>
          </cell>
          <cell r="D161">
            <v>49045000000</v>
          </cell>
          <cell r="E161">
            <v>0</v>
          </cell>
          <cell r="F161">
            <v>49045000000</v>
          </cell>
          <cell r="G161">
            <v>0</v>
          </cell>
          <cell r="H161">
            <v>0</v>
          </cell>
        </row>
        <row r="162">
          <cell r="B162">
            <v>7100050405120</v>
          </cell>
          <cell r="D162">
            <v>7391736771</v>
          </cell>
          <cell r="E162">
            <v>0</v>
          </cell>
          <cell r="F162">
            <v>7391736771</v>
          </cell>
          <cell r="G162">
            <v>0</v>
          </cell>
          <cell r="H162">
            <v>0</v>
          </cell>
        </row>
        <row r="163">
          <cell r="B163">
            <v>7100050405131</v>
          </cell>
          <cell r="D163">
            <v>900205362</v>
          </cell>
          <cell r="E163">
            <v>0</v>
          </cell>
          <cell r="F163">
            <v>900205362</v>
          </cell>
          <cell r="G163">
            <v>0</v>
          </cell>
          <cell r="H163">
            <v>0</v>
          </cell>
        </row>
        <row r="164">
          <cell r="B164">
            <v>7100050405132</v>
          </cell>
          <cell r="D164">
            <v>850570903</v>
          </cell>
          <cell r="E164">
            <v>0</v>
          </cell>
          <cell r="F164">
            <v>850570903</v>
          </cell>
          <cell r="G164">
            <v>0</v>
          </cell>
          <cell r="H164">
            <v>0</v>
          </cell>
        </row>
        <row r="165">
          <cell r="B165">
            <v>7100050405134</v>
          </cell>
          <cell r="D165">
            <v>63212094</v>
          </cell>
          <cell r="E165">
            <v>0</v>
          </cell>
          <cell r="F165">
            <v>63212094</v>
          </cell>
          <cell r="G165">
            <v>0</v>
          </cell>
          <cell r="H165">
            <v>0</v>
          </cell>
        </row>
        <row r="166">
          <cell r="B166">
            <v>7100050505132</v>
          </cell>
          <cell r="D166">
            <v>15404971</v>
          </cell>
          <cell r="E166">
            <v>0</v>
          </cell>
          <cell r="F166">
            <v>15404971</v>
          </cell>
          <cell r="G166">
            <v>0</v>
          </cell>
          <cell r="H166">
            <v>0</v>
          </cell>
        </row>
        <row r="167">
          <cell r="B167">
            <v>7100050505135</v>
          </cell>
          <cell r="D167">
            <v>940703298</v>
          </cell>
          <cell r="E167">
            <v>0</v>
          </cell>
          <cell r="F167">
            <v>940703298</v>
          </cell>
          <cell r="G167">
            <v>0</v>
          </cell>
          <cell r="H167">
            <v>0</v>
          </cell>
        </row>
        <row r="168">
          <cell r="B168">
            <v>7100051205120</v>
          </cell>
          <cell r="D168">
            <v>743122762</v>
          </cell>
          <cell r="E168">
            <v>0</v>
          </cell>
          <cell r="F168">
            <v>743122762</v>
          </cell>
          <cell r="G168">
            <v>0</v>
          </cell>
          <cell r="H168">
            <v>0</v>
          </cell>
        </row>
        <row r="169">
          <cell r="B169">
            <v>7100052205120</v>
          </cell>
          <cell r="D169">
            <v>785872333</v>
          </cell>
          <cell r="E169">
            <v>0</v>
          </cell>
          <cell r="F169">
            <v>785872333</v>
          </cell>
          <cell r="G169">
            <v>0</v>
          </cell>
          <cell r="H169">
            <v>0</v>
          </cell>
        </row>
        <row r="170">
          <cell r="B170">
            <v>711981010174</v>
          </cell>
          <cell r="D170">
            <v>0</v>
          </cell>
          <cell r="E170">
            <v>1688407978917</v>
          </cell>
          <cell r="F170">
            <v>0</v>
          </cell>
          <cell r="G170">
            <v>1688407978917</v>
          </cell>
          <cell r="H170">
            <v>0</v>
          </cell>
        </row>
        <row r="171">
          <cell r="B171">
            <v>711981020174</v>
          </cell>
          <cell r="D171">
            <v>0</v>
          </cell>
          <cell r="E171">
            <v>88499261922</v>
          </cell>
          <cell r="F171">
            <v>0</v>
          </cell>
          <cell r="G171">
            <v>88499261922</v>
          </cell>
          <cell r="H171">
            <v>0</v>
          </cell>
        </row>
        <row r="172">
          <cell r="B172">
            <v>7201011105120</v>
          </cell>
          <cell r="D172">
            <v>14484045834</v>
          </cell>
          <cell r="E172">
            <v>0</v>
          </cell>
          <cell r="F172">
            <v>14484045834</v>
          </cell>
          <cell r="G172">
            <v>0</v>
          </cell>
          <cell r="H172">
            <v>14806317660</v>
          </cell>
        </row>
        <row r="173">
          <cell r="B173">
            <v>7201011105131</v>
          </cell>
          <cell r="D173">
            <v>7691091675</v>
          </cell>
          <cell r="E173">
            <v>0</v>
          </cell>
          <cell r="F173">
            <v>7691091675</v>
          </cell>
          <cell r="G173">
            <v>0</v>
          </cell>
          <cell r="H173">
            <v>7779235200</v>
          </cell>
        </row>
        <row r="174">
          <cell r="B174">
            <v>7201011105132</v>
          </cell>
          <cell r="D174">
            <v>5130686730</v>
          </cell>
          <cell r="E174">
            <v>0</v>
          </cell>
          <cell r="F174">
            <v>5130686730</v>
          </cell>
          <cell r="G174">
            <v>0</v>
          </cell>
          <cell r="H174">
            <v>5101083180</v>
          </cell>
        </row>
        <row r="175">
          <cell r="B175">
            <v>7201011105133</v>
          </cell>
          <cell r="D175">
            <v>7536100549</v>
          </cell>
          <cell r="E175">
            <v>0</v>
          </cell>
          <cell r="F175">
            <v>7536100549</v>
          </cell>
          <cell r="G175">
            <v>0</v>
          </cell>
          <cell r="H175">
            <v>7612690314</v>
          </cell>
        </row>
        <row r="176">
          <cell r="B176">
            <v>7201011105134</v>
          </cell>
          <cell r="D176">
            <v>2495299627</v>
          </cell>
          <cell r="E176">
            <v>0</v>
          </cell>
          <cell r="F176">
            <v>2495299627</v>
          </cell>
          <cell r="G176">
            <v>0</v>
          </cell>
          <cell r="H176">
            <v>2501104155</v>
          </cell>
        </row>
        <row r="177">
          <cell r="B177">
            <v>7201011105135</v>
          </cell>
          <cell r="D177">
            <v>2740572585</v>
          </cell>
          <cell r="E177">
            <v>0</v>
          </cell>
          <cell r="F177">
            <v>2740572585</v>
          </cell>
          <cell r="G177">
            <v>0</v>
          </cell>
          <cell r="H177">
            <v>2740572585</v>
          </cell>
        </row>
        <row r="178">
          <cell r="B178">
            <v>7201020105120</v>
          </cell>
          <cell r="D178">
            <v>1297061257</v>
          </cell>
          <cell r="E178">
            <v>0</v>
          </cell>
          <cell r="F178">
            <v>1297061257</v>
          </cell>
          <cell r="G178">
            <v>0</v>
          </cell>
          <cell r="H178">
            <v>1146821213</v>
          </cell>
        </row>
        <row r="179">
          <cell r="B179">
            <v>7201020105131</v>
          </cell>
          <cell r="D179">
            <v>239686155</v>
          </cell>
          <cell r="E179">
            <v>0</v>
          </cell>
          <cell r="F179">
            <v>239686155</v>
          </cell>
          <cell r="G179">
            <v>0</v>
          </cell>
          <cell r="H179">
            <v>584654616</v>
          </cell>
        </row>
        <row r="180">
          <cell r="B180">
            <v>7201020105132</v>
          </cell>
          <cell r="D180">
            <v>208822528</v>
          </cell>
          <cell r="E180">
            <v>0</v>
          </cell>
          <cell r="F180">
            <v>208822528</v>
          </cell>
          <cell r="G180">
            <v>0</v>
          </cell>
          <cell r="H180">
            <v>295034053</v>
          </cell>
        </row>
        <row r="181">
          <cell r="B181">
            <v>7201020105133</v>
          </cell>
          <cell r="D181">
            <v>428273523</v>
          </cell>
          <cell r="E181">
            <v>0</v>
          </cell>
          <cell r="F181">
            <v>428273523</v>
          </cell>
          <cell r="G181">
            <v>0</v>
          </cell>
          <cell r="H181">
            <v>609015225</v>
          </cell>
        </row>
        <row r="182">
          <cell r="B182">
            <v>7201020105134</v>
          </cell>
          <cell r="D182">
            <v>77840639</v>
          </cell>
          <cell r="E182">
            <v>0</v>
          </cell>
          <cell r="F182">
            <v>77840639</v>
          </cell>
          <cell r="G182">
            <v>0</v>
          </cell>
          <cell r="H182">
            <v>162404131</v>
          </cell>
        </row>
        <row r="183">
          <cell r="B183">
            <v>7201020105135</v>
          </cell>
          <cell r="D183">
            <v>155282294</v>
          </cell>
          <cell r="E183">
            <v>0</v>
          </cell>
          <cell r="F183">
            <v>155282294</v>
          </cell>
          <cell r="G183">
            <v>0</v>
          </cell>
          <cell r="H183">
            <v>219245807</v>
          </cell>
        </row>
        <row r="184">
          <cell r="B184">
            <v>7201040105120</v>
          </cell>
          <cell r="D184">
            <v>4908170250</v>
          </cell>
          <cell r="E184">
            <v>0</v>
          </cell>
          <cell r="F184">
            <v>4908170250</v>
          </cell>
          <cell r="G184">
            <v>0</v>
          </cell>
          <cell r="H184">
            <v>4935439220</v>
          </cell>
        </row>
        <row r="185">
          <cell r="B185">
            <v>7201040105131</v>
          </cell>
          <cell r="D185">
            <v>2621731203</v>
          </cell>
          <cell r="E185">
            <v>42979203</v>
          </cell>
          <cell r="F185">
            <v>2578752000</v>
          </cell>
          <cell r="G185">
            <v>0</v>
          </cell>
          <cell r="H185">
            <v>2593078400</v>
          </cell>
        </row>
        <row r="186">
          <cell r="B186">
            <v>7201040105132</v>
          </cell>
          <cell r="D186">
            <v>1798031649</v>
          </cell>
          <cell r="E186">
            <v>107065749</v>
          </cell>
          <cell r="F186">
            <v>1690965900</v>
          </cell>
          <cell r="G186">
            <v>0</v>
          </cell>
          <cell r="H186">
            <v>1700361060</v>
          </cell>
        </row>
        <row r="187">
          <cell r="B187">
            <v>7201040105133</v>
          </cell>
          <cell r="D187">
            <v>2561540679</v>
          </cell>
          <cell r="E187">
            <v>37996479</v>
          </cell>
          <cell r="F187">
            <v>2523544200</v>
          </cell>
          <cell r="G187">
            <v>0</v>
          </cell>
          <cell r="H187">
            <v>2537563439</v>
          </cell>
        </row>
        <row r="188">
          <cell r="B188">
            <v>7201040105134</v>
          </cell>
          <cell r="D188">
            <v>842913099</v>
          </cell>
          <cell r="E188">
            <v>13818249</v>
          </cell>
          <cell r="F188">
            <v>829094850</v>
          </cell>
          <cell r="G188">
            <v>0</v>
          </cell>
          <cell r="H188">
            <v>833701385</v>
          </cell>
        </row>
        <row r="189">
          <cell r="B189">
            <v>7201040105135</v>
          </cell>
          <cell r="D189">
            <v>923618385</v>
          </cell>
          <cell r="E189">
            <v>15141285</v>
          </cell>
          <cell r="F189">
            <v>908477100</v>
          </cell>
          <cell r="G189">
            <v>0</v>
          </cell>
          <cell r="H189">
            <v>913524195</v>
          </cell>
        </row>
        <row r="190">
          <cell r="B190">
            <v>7201210105120</v>
          </cell>
          <cell r="D190">
            <v>2250152515</v>
          </cell>
          <cell r="E190">
            <v>0</v>
          </cell>
          <cell r="F190">
            <v>2250152515</v>
          </cell>
          <cell r="G190">
            <v>0</v>
          </cell>
          <cell r="H190">
            <v>2471040000</v>
          </cell>
        </row>
        <row r="191">
          <cell r="B191">
            <v>7201210105131</v>
          </cell>
          <cell r="D191">
            <v>1359254430</v>
          </cell>
          <cell r="E191">
            <v>0</v>
          </cell>
          <cell r="F191">
            <v>1359254430</v>
          </cell>
          <cell r="G191">
            <v>0</v>
          </cell>
          <cell r="H191">
            <v>1520640000</v>
          </cell>
        </row>
        <row r="192">
          <cell r="B192">
            <v>7201210105132</v>
          </cell>
          <cell r="D192">
            <v>1095925354</v>
          </cell>
          <cell r="E192">
            <v>0</v>
          </cell>
          <cell r="F192">
            <v>1095925354</v>
          </cell>
          <cell r="G192">
            <v>0</v>
          </cell>
          <cell r="H192">
            <v>1330560000</v>
          </cell>
        </row>
        <row r="193">
          <cell r="B193">
            <v>7201210105133</v>
          </cell>
          <cell r="D193">
            <v>1251161458</v>
          </cell>
          <cell r="E193">
            <v>0</v>
          </cell>
          <cell r="F193">
            <v>1251161458</v>
          </cell>
          <cell r="G193">
            <v>0</v>
          </cell>
          <cell r="H193">
            <v>1330560000</v>
          </cell>
        </row>
        <row r="194">
          <cell r="B194">
            <v>7201210105134</v>
          </cell>
          <cell r="D194">
            <v>479179082</v>
          </cell>
          <cell r="E194">
            <v>0</v>
          </cell>
          <cell r="F194">
            <v>479179082</v>
          </cell>
          <cell r="G194">
            <v>0</v>
          </cell>
          <cell r="H194">
            <v>570240000</v>
          </cell>
        </row>
        <row r="195">
          <cell r="B195">
            <v>7201210105135</v>
          </cell>
          <cell r="D195">
            <v>537166301</v>
          </cell>
          <cell r="E195">
            <v>0</v>
          </cell>
          <cell r="F195">
            <v>537166301</v>
          </cell>
          <cell r="G195">
            <v>0</v>
          </cell>
          <cell r="H195">
            <v>570240000</v>
          </cell>
        </row>
        <row r="196">
          <cell r="B196">
            <v>7201240105120</v>
          </cell>
          <cell r="D196">
            <v>476332012</v>
          </cell>
          <cell r="E196">
            <v>0</v>
          </cell>
          <cell r="F196">
            <v>476332012</v>
          </cell>
          <cell r="G196">
            <v>0</v>
          </cell>
          <cell r="H196">
            <v>478594168</v>
          </cell>
        </row>
        <row r="197">
          <cell r="B197">
            <v>7201240105131</v>
          </cell>
          <cell r="D197">
            <v>239132876</v>
          </cell>
          <cell r="E197">
            <v>0</v>
          </cell>
          <cell r="F197">
            <v>239132876</v>
          </cell>
          <cell r="G197">
            <v>0</v>
          </cell>
          <cell r="H197">
            <v>250916692</v>
          </cell>
        </row>
        <row r="198">
          <cell r="B198">
            <v>7201240105132</v>
          </cell>
          <cell r="D198">
            <v>160947493</v>
          </cell>
          <cell r="E198">
            <v>0</v>
          </cell>
          <cell r="F198">
            <v>160947493</v>
          </cell>
          <cell r="G198">
            <v>0</v>
          </cell>
          <cell r="H198">
            <v>161883516</v>
          </cell>
        </row>
        <row r="199">
          <cell r="B199">
            <v>7201240105133</v>
          </cell>
          <cell r="D199">
            <v>240277096</v>
          </cell>
          <cell r="E199">
            <v>0</v>
          </cell>
          <cell r="F199">
            <v>240277096</v>
          </cell>
          <cell r="G199">
            <v>0</v>
          </cell>
          <cell r="H199">
            <v>246651166</v>
          </cell>
        </row>
        <row r="200">
          <cell r="B200">
            <v>7201240105134</v>
          </cell>
          <cell r="D200">
            <v>77350351</v>
          </cell>
          <cell r="E200">
            <v>0</v>
          </cell>
          <cell r="F200">
            <v>77350351</v>
          </cell>
          <cell r="G200">
            <v>0</v>
          </cell>
          <cell r="H200">
            <v>79905248</v>
          </cell>
        </row>
        <row r="201">
          <cell r="B201">
            <v>7201240105135</v>
          </cell>
          <cell r="D201">
            <v>86875637</v>
          </cell>
          <cell r="E201">
            <v>0</v>
          </cell>
          <cell r="F201">
            <v>86875637</v>
          </cell>
          <cell r="G201">
            <v>0</v>
          </cell>
          <cell r="H201">
            <v>88794553</v>
          </cell>
        </row>
        <row r="202">
          <cell r="B202">
            <v>721982010174</v>
          </cell>
          <cell r="D202">
            <v>0</v>
          </cell>
          <cell r="E202">
            <v>23415761868</v>
          </cell>
          <cell r="F202">
            <v>0</v>
          </cell>
          <cell r="G202">
            <v>23415761868</v>
          </cell>
          <cell r="H202">
            <v>0</v>
          </cell>
        </row>
        <row r="203">
          <cell r="B203">
            <v>721982020174</v>
          </cell>
          <cell r="D203">
            <v>0</v>
          </cell>
          <cell r="E203">
            <v>40761760433</v>
          </cell>
          <cell r="F203">
            <v>0</v>
          </cell>
          <cell r="G203">
            <v>40761760433</v>
          </cell>
          <cell r="H203">
            <v>0</v>
          </cell>
        </row>
        <row r="204">
          <cell r="B204">
            <v>7300110205120</v>
          </cell>
          <cell r="D204">
            <v>1217774493</v>
          </cell>
          <cell r="E204">
            <v>0</v>
          </cell>
          <cell r="F204">
            <v>1217774493</v>
          </cell>
          <cell r="G204">
            <v>0</v>
          </cell>
          <cell r="H204">
            <v>0</v>
          </cell>
        </row>
        <row r="205">
          <cell r="B205">
            <v>7300110205240</v>
          </cell>
          <cell r="D205">
            <v>364426269</v>
          </cell>
          <cell r="E205">
            <v>0</v>
          </cell>
          <cell r="F205">
            <v>364426269</v>
          </cell>
          <cell r="G205">
            <v>0</v>
          </cell>
          <cell r="H205">
            <v>0</v>
          </cell>
        </row>
        <row r="206">
          <cell r="B206">
            <v>7300110305131</v>
          </cell>
          <cell r="D206">
            <v>7960000</v>
          </cell>
          <cell r="E206">
            <v>0</v>
          </cell>
          <cell r="F206">
            <v>7960000</v>
          </cell>
          <cell r="G206">
            <v>0</v>
          </cell>
          <cell r="H206">
            <v>0</v>
          </cell>
        </row>
        <row r="207">
          <cell r="B207">
            <v>7300110305132</v>
          </cell>
          <cell r="D207">
            <v>7960000</v>
          </cell>
          <cell r="E207">
            <v>0</v>
          </cell>
          <cell r="F207">
            <v>7960000</v>
          </cell>
          <cell r="G207">
            <v>0</v>
          </cell>
          <cell r="H207">
            <v>0</v>
          </cell>
        </row>
        <row r="208">
          <cell r="B208">
            <v>7300110305133</v>
          </cell>
          <cell r="D208">
            <v>15920000</v>
          </cell>
          <cell r="E208">
            <v>0</v>
          </cell>
          <cell r="F208">
            <v>15920000</v>
          </cell>
          <cell r="G208">
            <v>0</v>
          </cell>
          <cell r="H208">
            <v>0</v>
          </cell>
        </row>
        <row r="209">
          <cell r="B209">
            <v>7300110305240</v>
          </cell>
          <cell r="D209">
            <v>2059846931</v>
          </cell>
          <cell r="E209">
            <v>0</v>
          </cell>
          <cell r="F209">
            <v>2059846931</v>
          </cell>
          <cell r="G209">
            <v>0</v>
          </cell>
          <cell r="H209">
            <v>0</v>
          </cell>
        </row>
        <row r="210">
          <cell r="B210">
            <v>7300110405250</v>
          </cell>
          <cell r="D210">
            <v>980000</v>
          </cell>
          <cell r="E210">
            <v>0</v>
          </cell>
          <cell r="F210">
            <v>980000</v>
          </cell>
          <cell r="G210">
            <v>0</v>
          </cell>
          <cell r="H210">
            <v>0</v>
          </cell>
        </row>
        <row r="211">
          <cell r="B211">
            <v>7300110505120</v>
          </cell>
          <cell r="D211">
            <v>380103195</v>
          </cell>
          <cell r="E211">
            <v>0</v>
          </cell>
          <cell r="F211">
            <v>380103195</v>
          </cell>
          <cell r="G211">
            <v>0</v>
          </cell>
          <cell r="H211">
            <v>0</v>
          </cell>
        </row>
        <row r="212">
          <cell r="B212">
            <v>7300110605120</v>
          </cell>
          <cell r="D212">
            <v>460534453</v>
          </cell>
          <cell r="E212">
            <v>0</v>
          </cell>
          <cell r="F212">
            <v>460534453</v>
          </cell>
          <cell r="G212">
            <v>0</v>
          </cell>
          <cell r="H212">
            <v>0</v>
          </cell>
        </row>
        <row r="213">
          <cell r="B213">
            <v>7300110605131</v>
          </cell>
          <cell r="D213">
            <v>31181429</v>
          </cell>
          <cell r="E213">
            <v>0</v>
          </cell>
          <cell r="F213">
            <v>31181429</v>
          </cell>
          <cell r="G213">
            <v>0</v>
          </cell>
          <cell r="H213">
            <v>0</v>
          </cell>
        </row>
        <row r="214">
          <cell r="B214">
            <v>7300110605132</v>
          </cell>
          <cell r="D214">
            <v>57771428</v>
          </cell>
          <cell r="E214">
            <v>0</v>
          </cell>
          <cell r="F214">
            <v>57771428</v>
          </cell>
          <cell r="G214">
            <v>0</v>
          </cell>
          <cell r="H214">
            <v>0</v>
          </cell>
        </row>
        <row r="215">
          <cell r="B215">
            <v>7300110605133</v>
          </cell>
          <cell r="D215">
            <v>28046435</v>
          </cell>
          <cell r="E215">
            <v>0</v>
          </cell>
          <cell r="F215">
            <v>28046435</v>
          </cell>
          <cell r="G215">
            <v>0</v>
          </cell>
          <cell r="H215">
            <v>0</v>
          </cell>
        </row>
        <row r="216">
          <cell r="B216">
            <v>7300110605240</v>
          </cell>
          <cell r="D216">
            <v>222324816</v>
          </cell>
          <cell r="E216">
            <v>0</v>
          </cell>
          <cell r="F216">
            <v>222324816</v>
          </cell>
          <cell r="G216">
            <v>0</v>
          </cell>
          <cell r="H216">
            <v>0</v>
          </cell>
        </row>
        <row r="217">
          <cell r="B217">
            <v>7300110605270</v>
          </cell>
          <cell r="D217">
            <v>20987500</v>
          </cell>
          <cell r="E217">
            <v>0</v>
          </cell>
          <cell r="F217">
            <v>20987500</v>
          </cell>
          <cell r="G217">
            <v>0</v>
          </cell>
          <cell r="H217">
            <v>0</v>
          </cell>
        </row>
        <row r="218">
          <cell r="B218">
            <v>7300110605320</v>
          </cell>
          <cell r="D218">
            <v>285015454</v>
          </cell>
          <cell r="E218">
            <v>0</v>
          </cell>
          <cell r="F218">
            <v>285015454</v>
          </cell>
          <cell r="G218">
            <v>0</v>
          </cell>
          <cell r="H218">
            <v>0</v>
          </cell>
        </row>
        <row r="219">
          <cell r="B219">
            <v>7300110705120</v>
          </cell>
          <cell r="D219">
            <v>45026077</v>
          </cell>
          <cell r="E219">
            <v>0</v>
          </cell>
          <cell r="F219">
            <v>45026077</v>
          </cell>
          <cell r="G219">
            <v>0</v>
          </cell>
          <cell r="H219">
            <v>0</v>
          </cell>
        </row>
        <row r="220">
          <cell r="B220">
            <v>7300110805270</v>
          </cell>
          <cell r="D220">
            <v>4351140442</v>
          </cell>
          <cell r="E220">
            <v>0</v>
          </cell>
          <cell r="F220">
            <v>4351140442</v>
          </cell>
          <cell r="G220">
            <v>0</v>
          </cell>
          <cell r="H220">
            <v>0</v>
          </cell>
        </row>
        <row r="221">
          <cell r="B221">
            <v>7300119905270</v>
          </cell>
          <cell r="D221">
            <v>23497579175</v>
          </cell>
          <cell r="E221">
            <v>405816000</v>
          </cell>
          <cell r="F221">
            <v>23091763175</v>
          </cell>
          <cell r="G221">
            <v>0</v>
          </cell>
          <cell r="H221">
            <v>0</v>
          </cell>
        </row>
        <row r="222">
          <cell r="B222">
            <v>7300150105131</v>
          </cell>
          <cell r="D222">
            <v>866270350</v>
          </cell>
          <cell r="E222">
            <v>0</v>
          </cell>
          <cell r="F222">
            <v>866270350</v>
          </cell>
          <cell r="G222">
            <v>0</v>
          </cell>
          <cell r="H222">
            <v>0</v>
          </cell>
        </row>
        <row r="223">
          <cell r="B223">
            <v>7300150105132</v>
          </cell>
          <cell r="D223">
            <v>935913543</v>
          </cell>
          <cell r="E223">
            <v>0</v>
          </cell>
          <cell r="F223">
            <v>935913543</v>
          </cell>
          <cell r="G223">
            <v>0</v>
          </cell>
          <cell r="H223">
            <v>0</v>
          </cell>
        </row>
        <row r="224">
          <cell r="B224">
            <v>7300150105133</v>
          </cell>
          <cell r="D224">
            <v>587382167</v>
          </cell>
          <cell r="E224">
            <v>0</v>
          </cell>
          <cell r="F224">
            <v>587382167</v>
          </cell>
          <cell r="G224">
            <v>0</v>
          </cell>
          <cell r="H224">
            <v>0</v>
          </cell>
        </row>
        <row r="225">
          <cell r="B225">
            <v>7300150105135</v>
          </cell>
          <cell r="D225">
            <v>314872834</v>
          </cell>
          <cell r="E225">
            <v>0</v>
          </cell>
          <cell r="F225">
            <v>314872834</v>
          </cell>
          <cell r="G225">
            <v>0</v>
          </cell>
          <cell r="H225">
            <v>0</v>
          </cell>
        </row>
        <row r="226">
          <cell r="B226">
            <v>7300150105230</v>
          </cell>
          <cell r="D226">
            <v>3955764662</v>
          </cell>
          <cell r="E226">
            <v>0</v>
          </cell>
          <cell r="F226">
            <v>3955764662</v>
          </cell>
          <cell r="G226">
            <v>0</v>
          </cell>
          <cell r="H226">
            <v>0</v>
          </cell>
        </row>
        <row r="227">
          <cell r="B227">
            <v>7300150505131</v>
          </cell>
          <cell r="D227">
            <v>4992016374</v>
          </cell>
          <cell r="E227">
            <v>0</v>
          </cell>
          <cell r="F227">
            <v>4992016374</v>
          </cell>
          <cell r="G227">
            <v>0</v>
          </cell>
          <cell r="H227">
            <v>0</v>
          </cell>
        </row>
        <row r="228">
          <cell r="B228">
            <v>7300150505132</v>
          </cell>
          <cell r="D228">
            <v>3051861500</v>
          </cell>
          <cell r="E228">
            <v>0</v>
          </cell>
          <cell r="F228">
            <v>3051861500</v>
          </cell>
          <cell r="G228">
            <v>0</v>
          </cell>
          <cell r="H228">
            <v>0</v>
          </cell>
        </row>
        <row r="229">
          <cell r="B229">
            <v>7300150505133</v>
          </cell>
          <cell r="D229">
            <v>3219321101</v>
          </cell>
          <cell r="E229">
            <v>0</v>
          </cell>
          <cell r="F229">
            <v>3219321101</v>
          </cell>
          <cell r="G229">
            <v>0</v>
          </cell>
          <cell r="H229">
            <v>0</v>
          </cell>
        </row>
        <row r="230">
          <cell r="B230">
            <v>7300159905131</v>
          </cell>
          <cell r="D230">
            <v>150757234</v>
          </cell>
          <cell r="E230">
            <v>0</v>
          </cell>
          <cell r="F230">
            <v>150757234</v>
          </cell>
          <cell r="G230">
            <v>0</v>
          </cell>
          <cell r="H230">
            <v>0</v>
          </cell>
        </row>
        <row r="231">
          <cell r="B231">
            <v>7300159905132</v>
          </cell>
          <cell r="D231">
            <v>287567731</v>
          </cell>
          <cell r="E231">
            <v>0</v>
          </cell>
          <cell r="F231">
            <v>287567731</v>
          </cell>
          <cell r="G231">
            <v>0</v>
          </cell>
          <cell r="H231">
            <v>0</v>
          </cell>
        </row>
        <row r="232">
          <cell r="B232">
            <v>7300159905133</v>
          </cell>
          <cell r="D232">
            <v>452897178</v>
          </cell>
          <cell r="E232">
            <v>0</v>
          </cell>
          <cell r="F232">
            <v>452897178</v>
          </cell>
          <cell r="G232">
            <v>0</v>
          </cell>
          <cell r="H232">
            <v>0</v>
          </cell>
        </row>
        <row r="233">
          <cell r="B233">
            <v>7300159905134</v>
          </cell>
          <cell r="D233">
            <v>19187086</v>
          </cell>
          <cell r="E233">
            <v>0</v>
          </cell>
          <cell r="F233">
            <v>19187086</v>
          </cell>
          <cell r="G233">
            <v>0</v>
          </cell>
          <cell r="H233">
            <v>0</v>
          </cell>
        </row>
        <row r="234">
          <cell r="B234">
            <v>7300159905135</v>
          </cell>
          <cell r="D234">
            <v>35615000</v>
          </cell>
          <cell r="E234">
            <v>0</v>
          </cell>
          <cell r="F234">
            <v>35615000</v>
          </cell>
          <cell r="G234">
            <v>0</v>
          </cell>
          <cell r="H234">
            <v>0</v>
          </cell>
        </row>
        <row r="235">
          <cell r="B235">
            <v>7300159905230</v>
          </cell>
          <cell r="D235">
            <v>5653572490</v>
          </cell>
          <cell r="E235">
            <v>0</v>
          </cell>
          <cell r="F235">
            <v>5653572490</v>
          </cell>
          <cell r="G235">
            <v>0</v>
          </cell>
          <cell r="H235">
            <v>0</v>
          </cell>
        </row>
        <row r="236">
          <cell r="B236">
            <v>7300159905320</v>
          </cell>
          <cell r="D236">
            <v>993492432</v>
          </cell>
          <cell r="E236">
            <v>0</v>
          </cell>
          <cell r="F236">
            <v>993492432</v>
          </cell>
          <cell r="G236">
            <v>0</v>
          </cell>
          <cell r="H236">
            <v>0</v>
          </cell>
        </row>
        <row r="237">
          <cell r="B237">
            <v>7303010105131</v>
          </cell>
          <cell r="D237">
            <v>949770000</v>
          </cell>
          <cell r="E237">
            <v>0</v>
          </cell>
          <cell r="F237">
            <v>949770000</v>
          </cell>
          <cell r="G237">
            <v>0</v>
          </cell>
          <cell r="H237">
            <v>0</v>
          </cell>
        </row>
        <row r="238">
          <cell r="B238">
            <v>7303020105120</v>
          </cell>
          <cell r="D238">
            <v>14245321286</v>
          </cell>
          <cell r="E238">
            <v>0</v>
          </cell>
          <cell r="F238">
            <v>14245321286</v>
          </cell>
          <cell r="G238">
            <v>0</v>
          </cell>
          <cell r="H238">
            <v>0</v>
          </cell>
        </row>
        <row r="239">
          <cell r="B239">
            <v>7303040105120</v>
          </cell>
          <cell r="D239">
            <v>10459362958</v>
          </cell>
          <cell r="E239">
            <v>0</v>
          </cell>
          <cell r="F239">
            <v>10459362958</v>
          </cell>
          <cell r="G239">
            <v>0</v>
          </cell>
          <cell r="H239">
            <v>0</v>
          </cell>
        </row>
        <row r="240">
          <cell r="B240">
            <v>7303040105131</v>
          </cell>
          <cell r="D240">
            <v>11972481724</v>
          </cell>
          <cell r="E240">
            <v>0</v>
          </cell>
          <cell r="F240">
            <v>11972481724</v>
          </cell>
          <cell r="G240">
            <v>0</v>
          </cell>
          <cell r="H240">
            <v>0</v>
          </cell>
        </row>
        <row r="241">
          <cell r="B241">
            <v>731983010174</v>
          </cell>
          <cell r="D241">
            <v>0</v>
          </cell>
          <cell r="E241">
            <v>26808122462</v>
          </cell>
          <cell r="F241">
            <v>0</v>
          </cell>
          <cell r="G241">
            <v>26808122462</v>
          </cell>
          <cell r="H241">
            <v>0</v>
          </cell>
        </row>
        <row r="242">
          <cell r="B242">
            <v>731983020174</v>
          </cell>
          <cell r="D242">
            <v>0</v>
          </cell>
          <cell r="E242">
            <v>68984067285</v>
          </cell>
          <cell r="F242">
            <v>0</v>
          </cell>
          <cell r="G242">
            <v>68984067285</v>
          </cell>
          <cell r="H242">
            <v>0</v>
          </cell>
        </row>
        <row r="243">
          <cell r="B243">
            <v>7350210905120</v>
          </cell>
          <cell r="D243">
            <v>28409091</v>
          </cell>
          <cell r="E243">
            <v>0</v>
          </cell>
          <cell r="F243">
            <v>28409091</v>
          </cell>
          <cell r="G243">
            <v>0</v>
          </cell>
          <cell r="H243">
            <v>0</v>
          </cell>
        </row>
        <row r="244">
          <cell r="B244">
            <v>7350210905133</v>
          </cell>
          <cell r="D244">
            <v>22238636</v>
          </cell>
          <cell r="E244">
            <v>0</v>
          </cell>
          <cell r="F244">
            <v>22238636</v>
          </cell>
          <cell r="G244">
            <v>0</v>
          </cell>
          <cell r="H244">
            <v>0</v>
          </cell>
        </row>
        <row r="245">
          <cell r="B245">
            <v>7350211105120</v>
          </cell>
          <cell r="D245">
            <v>58193694</v>
          </cell>
          <cell r="E245">
            <v>0</v>
          </cell>
          <cell r="F245">
            <v>58193694</v>
          </cell>
          <cell r="G245">
            <v>0</v>
          </cell>
          <cell r="H245">
            <v>0</v>
          </cell>
        </row>
        <row r="246">
          <cell r="B246">
            <v>7350211105131</v>
          </cell>
          <cell r="D246">
            <v>101876323</v>
          </cell>
          <cell r="E246">
            <v>0</v>
          </cell>
          <cell r="F246">
            <v>101876323</v>
          </cell>
          <cell r="G246">
            <v>0</v>
          </cell>
          <cell r="H246">
            <v>0</v>
          </cell>
        </row>
        <row r="247">
          <cell r="B247">
            <v>7350211105132</v>
          </cell>
          <cell r="D247">
            <v>80241979</v>
          </cell>
          <cell r="E247">
            <v>0</v>
          </cell>
          <cell r="F247">
            <v>80241979</v>
          </cell>
          <cell r="G247">
            <v>0</v>
          </cell>
          <cell r="H247">
            <v>0</v>
          </cell>
        </row>
        <row r="248">
          <cell r="B248">
            <v>7350211105133</v>
          </cell>
          <cell r="D248">
            <v>311938156</v>
          </cell>
          <cell r="E248">
            <v>0</v>
          </cell>
          <cell r="F248">
            <v>311938156</v>
          </cell>
          <cell r="G248">
            <v>0</v>
          </cell>
          <cell r="H248">
            <v>0</v>
          </cell>
        </row>
        <row r="249">
          <cell r="B249">
            <v>7350211105134</v>
          </cell>
          <cell r="D249">
            <v>1674682</v>
          </cell>
          <cell r="E249">
            <v>0</v>
          </cell>
          <cell r="F249">
            <v>1674682</v>
          </cell>
          <cell r="G249">
            <v>0</v>
          </cell>
          <cell r="H249">
            <v>0</v>
          </cell>
        </row>
        <row r="250">
          <cell r="B250">
            <v>7350211105135</v>
          </cell>
          <cell r="D250">
            <v>51524301</v>
          </cell>
          <cell r="E250">
            <v>0</v>
          </cell>
          <cell r="F250">
            <v>51524301</v>
          </cell>
          <cell r="G250">
            <v>0</v>
          </cell>
          <cell r="H250">
            <v>0</v>
          </cell>
        </row>
        <row r="251">
          <cell r="B251">
            <v>7350211105240</v>
          </cell>
          <cell r="D251">
            <v>151715635</v>
          </cell>
          <cell r="E251">
            <v>0</v>
          </cell>
          <cell r="F251">
            <v>151715635</v>
          </cell>
          <cell r="G251">
            <v>0</v>
          </cell>
          <cell r="H251">
            <v>0</v>
          </cell>
        </row>
        <row r="252">
          <cell r="B252">
            <v>7350211105340</v>
          </cell>
          <cell r="D252">
            <v>3270150</v>
          </cell>
          <cell r="E252">
            <v>0</v>
          </cell>
          <cell r="F252">
            <v>3270150</v>
          </cell>
          <cell r="G252">
            <v>0</v>
          </cell>
          <cell r="H252">
            <v>0</v>
          </cell>
        </row>
        <row r="253">
          <cell r="B253">
            <v>7350211405260</v>
          </cell>
          <cell r="D253">
            <v>490803217</v>
          </cell>
          <cell r="E253">
            <v>0</v>
          </cell>
          <cell r="F253">
            <v>490803217</v>
          </cell>
          <cell r="G253">
            <v>0</v>
          </cell>
          <cell r="H253">
            <v>0</v>
          </cell>
        </row>
        <row r="254">
          <cell r="B254">
            <v>7350211505240</v>
          </cell>
          <cell r="D254">
            <v>264386000</v>
          </cell>
          <cell r="E254">
            <v>0</v>
          </cell>
          <cell r="F254">
            <v>264386000</v>
          </cell>
          <cell r="G254">
            <v>0</v>
          </cell>
          <cell r="H254">
            <v>0</v>
          </cell>
        </row>
        <row r="255">
          <cell r="B255">
            <v>7350211605120</v>
          </cell>
          <cell r="D255">
            <v>25412600</v>
          </cell>
          <cell r="E255">
            <v>0</v>
          </cell>
          <cell r="F255">
            <v>25412600</v>
          </cell>
          <cell r="G255">
            <v>0</v>
          </cell>
          <cell r="H255">
            <v>0</v>
          </cell>
        </row>
        <row r="256">
          <cell r="B256">
            <v>7350211605131</v>
          </cell>
          <cell r="D256">
            <v>1949056</v>
          </cell>
          <cell r="E256">
            <v>0</v>
          </cell>
          <cell r="F256">
            <v>1949056</v>
          </cell>
          <cell r="G256">
            <v>0</v>
          </cell>
          <cell r="H256">
            <v>0</v>
          </cell>
        </row>
        <row r="257">
          <cell r="B257">
            <v>7350211605132</v>
          </cell>
          <cell r="D257">
            <v>1298111</v>
          </cell>
          <cell r="E257">
            <v>0</v>
          </cell>
          <cell r="F257">
            <v>1298111</v>
          </cell>
          <cell r="G257">
            <v>0</v>
          </cell>
          <cell r="H257">
            <v>0</v>
          </cell>
        </row>
        <row r="258">
          <cell r="B258">
            <v>7350211605133</v>
          </cell>
          <cell r="D258">
            <v>3235500</v>
          </cell>
          <cell r="E258">
            <v>0</v>
          </cell>
          <cell r="F258">
            <v>3235500</v>
          </cell>
          <cell r="G258">
            <v>0</v>
          </cell>
          <cell r="H258">
            <v>0</v>
          </cell>
        </row>
        <row r="259">
          <cell r="B259">
            <v>7350211705120</v>
          </cell>
          <cell r="D259">
            <v>5532982242</v>
          </cell>
          <cell r="E259">
            <v>0</v>
          </cell>
          <cell r="F259">
            <v>5532982242</v>
          </cell>
          <cell r="G259">
            <v>0</v>
          </cell>
          <cell r="H259">
            <v>0</v>
          </cell>
        </row>
        <row r="260">
          <cell r="B260">
            <v>7350211705131</v>
          </cell>
          <cell r="D260">
            <v>945826816</v>
          </cell>
          <cell r="E260">
            <v>0</v>
          </cell>
          <cell r="F260">
            <v>945826816</v>
          </cell>
          <cell r="G260">
            <v>0</v>
          </cell>
          <cell r="H260">
            <v>0</v>
          </cell>
        </row>
        <row r="261">
          <cell r="B261">
            <v>7350211705132</v>
          </cell>
          <cell r="D261">
            <v>855362098</v>
          </cell>
          <cell r="E261">
            <v>0</v>
          </cell>
          <cell r="F261">
            <v>855362098</v>
          </cell>
          <cell r="G261">
            <v>0</v>
          </cell>
          <cell r="H261">
            <v>0</v>
          </cell>
        </row>
        <row r="262">
          <cell r="B262">
            <v>7350211705133</v>
          </cell>
          <cell r="D262">
            <v>1483232348</v>
          </cell>
          <cell r="E262">
            <v>0</v>
          </cell>
          <cell r="F262">
            <v>1483232348</v>
          </cell>
          <cell r="G262">
            <v>0</v>
          </cell>
          <cell r="H262">
            <v>0</v>
          </cell>
        </row>
        <row r="263">
          <cell r="B263">
            <v>7350211705134</v>
          </cell>
          <cell r="D263">
            <v>12922618</v>
          </cell>
          <cell r="E263">
            <v>0</v>
          </cell>
          <cell r="F263">
            <v>12922618</v>
          </cell>
          <cell r="G263">
            <v>0</v>
          </cell>
          <cell r="H263">
            <v>0</v>
          </cell>
        </row>
        <row r="264">
          <cell r="B264">
            <v>7350211705135</v>
          </cell>
          <cell r="D264">
            <v>21871542</v>
          </cell>
          <cell r="E264">
            <v>0</v>
          </cell>
          <cell r="F264">
            <v>21871542</v>
          </cell>
          <cell r="G264">
            <v>0</v>
          </cell>
          <cell r="H264">
            <v>0</v>
          </cell>
        </row>
        <row r="265">
          <cell r="B265">
            <v>7350211705230</v>
          </cell>
          <cell r="D265">
            <v>988549676</v>
          </cell>
          <cell r="E265">
            <v>0</v>
          </cell>
          <cell r="F265">
            <v>988549676</v>
          </cell>
          <cell r="G265">
            <v>0</v>
          </cell>
          <cell r="H265">
            <v>0</v>
          </cell>
        </row>
        <row r="266">
          <cell r="B266">
            <v>7350211705240</v>
          </cell>
          <cell r="D266">
            <v>46000000</v>
          </cell>
          <cell r="E266">
            <v>0</v>
          </cell>
          <cell r="F266">
            <v>46000000</v>
          </cell>
          <cell r="G266">
            <v>0</v>
          </cell>
          <cell r="H266">
            <v>0</v>
          </cell>
        </row>
        <row r="267">
          <cell r="B267">
            <v>7350211705270</v>
          </cell>
          <cell r="D267">
            <v>140194092</v>
          </cell>
          <cell r="E267">
            <v>0</v>
          </cell>
          <cell r="F267">
            <v>140194092</v>
          </cell>
          <cell r="G267">
            <v>0</v>
          </cell>
          <cell r="H267">
            <v>0</v>
          </cell>
        </row>
        <row r="268">
          <cell r="B268">
            <v>7350211705340</v>
          </cell>
          <cell r="D268">
            <v>1549126335</v>
          </cell>
          <cell r="E268">
            <v>0</v>
          </cell>
          <cell r="F268">
            <v>1549126335</v>
          </cell>
          <cell r="G268">
            <v>0</v>
          </cell>
          <cell r="H268">
            <v>0</v>
          </cell>
        </row>
        <row r="269">
          <cell r="B269">
            <v>7350310105120</v>
          </cell>
          <cell r="D269">
            <v>2848184</v>
          </cell>
          <cell r="E269">
            <v>0</v>
          </cell>
          <cell r="F269">
            <v>2848184</v>
          </cell>
          <cell r="G269">
            <v>0</v>
          </cell>
          <cell r="H269">
            <v>0</v>
          </cell>
        </row>
        <row r="270">
          <cell r="B270">
            <v>7350310105131</v>
          </cell>
          <cell r="D270">
            <v>10402783</v>
          </cell>
          <cell r="E270">
            <v>0</v>
          </cell>
          <cell r="F270">
            <v>10402783</v>
          </cell>
          <cell r="G270">
            <v>0</v>
          </cell>
          <cell r="H270">
            <v>0</v>
          </cell>
        </row>
        <row r="271">
          <cell r="B271">
            <v>7350310105132</v>
          </cell>
          <cell r="D271">
            <v>11749672</v>
          </cell>
          <cell r="E271">
            <v>0</v>
          </cell>
          <cell r="F271">
            <v>11749672</v>
          </cell>
          <cell r="G271">
            <v>0</v>
          </cell>
          <cell r="H271">
            <v>0</v>
          </cell>
        </row>
        <row r="272">
          <cell r="B272">
            <v>7350310105133</v>
          </cell>
          <cell r="D272">
            <v>10960142</v>
          </cell>
          <cell r="E272">
            <v>0</v>
          </cell>
          <cell r="F272">
            <v>10960142</v>
          </cell>
          <cell r="G272">
            <v>0</v>
          </cell>
          <cell r="H272">
            <v>0</v>
          </cell>
        </row>
        <row r="273">
          <cell r="B273">
            <v>7350310105134</v>
          </cell>
          <cell r="D273">
            <v>2030575</v>
          </cell>
          <cell r="E273">
            <v>0</v>
          </cell>
          <cell r="F273">
            <v>2030575</v>
          </cell>
          <cell r="G273">
            <v>0</v>
          </cell>
          <cell r="H273">
            <v>0</v>
          </cell>
        </row>
        <row r="274">
          <cell r="B274">
            <v>7350310105135</v>
          </cell>
          <cell r="D274">
            <v>1987458</v>
          </cell>
          <cell r="E274">
            <v>0</v>
          </cell>
          <cell r="F274">
            <v>1987458</v>
          </cell>
          <cell r="G274">
            <v>0</v>
          </cell>
          <cell r="H274">
            <v>0</v>
          </cell>
        </row>
        <row r="275">
          <cell r="B275">
            <v>7350310105230</v>
          </cell>
          <cell r="D275">
            <v>325000</v>
          </cell>
          <cell r="E275">
            <v>0</v>
          </cell>
          <cell r="F275">
            <v>325000</v>
          </cell>
          <cell r="G275">
            <v>0</v>
          </cell>
          <cell r="H275">
            <v>0</v>
          </cell>
        </row>
        <row r="276">
          <cell r="B276">
            <v>7350310105250</v>
          </cell>
          <cell r="D276">
            <v>1656466</v>
          </cell>
          <cell r="E276">
            <v>0</v>
          </cell>
          <cell r="F276">
            <v>1656466</v>
          </cell>
          <cell r="G276">
            <v>0</v>
          </cell>
          <cell r="H276">
            <v>0</v>
          </cell>
        </row>
        <row r="277">
          <cell r="B277">
            <v>7350310205120</v>
          </cell>
          <cell r="D277">
            <v>76190100</v>
          </cell>
          <cell r="E277">
            <v>0</v>
          </cell>
          <cell r="F277">
            <v>76190100</v>
          </cell>
          <cell r="G277">
            <v>0</v>
          </cell>
          <cell r="H277">
            <v>0</v>
          </cell>
        </row>
        <row r="278">
          <cell r="B278">
            <v>7350310205131</v>
          </cell>
          <cell r="D278">
            <v>135616299</v>
          </cell>
          <cell r="E278">
            <v>0</v>
          </cell>
          <cell r="F278">
            <v>135616299</v>
          </cell>
          <cell r="G278">
            <v>0</v>
          </cell>
          <cell r="H278">
            <v>0</v>
          </cell>
        </row>
        <row r="279">
          <cell r="B279">
            <v>7350310205132</v>
          </cell>
          <cell r="D279">
            <v>84742105</v>
          </cell>
          <cell r="E279">
            <v>0</v>
          </cell>
          <cell r="F279">
            <v>84742105</v>
          </cell>
          <cell r="G279">
            <v>0</v>
          </cell>
          <cell r="H279">
            <v>0</v>
          </cell>
        </row>
        <row r="280">
          <cell r="B280">
            <v>7350310205133</v>
          </cell>
          <cell r="D280">
            <v>343641911</v>
          </cell>
          <cell r="E280">
            <v>0</v>
          </cell>
          <cell r="F280">
            <v>343641911</v>
          </cell>
          <cell r="G280">
            <v>0</v>
          </cell>
          <cell r="H280">
            <v>0</v>
          </cell>
        </row>
        <row r="281">
          <cell r="B281">
            <v>7350310205134</v>
          </cell>
          <cell r="D281">
            <v>59762000</v>
          </cell>
          <cell r="E281">
            <v>0</v>
          </cell>
          <cell r="F281">
            <v>59762000</v>
          </cell>
          <cell r="G281">
            <v>0</v>
          </cell>
          <cell r="H281">
            <v>0</v>
          </cell>
        </row>
        <row r="282">
          <cell r="B282">
            <v>7350310205135</v>
          </cell>
          <cell r="D282">
            <v>61258422</v>
          </cell>
          <cell r="E282">
            <v>0</v>
          </cell>
          <cell r="F282">
            <v>61258422</v>
          </cell>
          <cell r="G282">
            <v>0</v>
          </cell>
          <cell r="H282">
            <v>0</v>
          </cell>
        </row>
        <row r="283">
          <cell r="B283">
            <v>7350310205230</v>
          </cell>
          <cell r="D283">
            <v>86651142</v>
          </cell>
          <cell r="E283">
            <v>0</v>
          </cell>
          <cell r="F283">
            <v>86651142</v>
          </cell>
          <cell r="G283">
            <v>0</v>
          </cell>
          <cell r="H283">
            <v>0</v>
          </cell>
        </row>
        <row r="284">
          <cell r="B284">
            <v>7350310205240</v>
          </cell>
          <cell r="D284">
            <v>23974757</v>
          </cell>
          <cell r="E284">
            <v>0</v>
          </cell>
          <cell r="F284">
            <v>23974757</v>
          </cell>
          <cell r="G284">
            <v>0</v>
          </cell>
          <cell r="H284">
            <v>0</v>
          </cell>
        </row>
        <row r="285">
          <cell r="B285">
            <v>7350310205250</v>
          </cell>
          <cell r="D285">
            <v>4700920</v>
          </cell>
          <cell r="E285">
            <v>0</v>
          </cell>
          <cell r="F285">
            <v>4700920</v>
          </cell>
          <cell r="G285">
            <v>0</v>
          </cell>
          <cell r="H285">
            <v>0</v>
          </cell>
        </row>
        <row r="286">
          <cell r="B286">
            <v>7350310205260</v>
          </cell>
          <cell r="D286">
            <v>20273538</v>
          </cell>
          <cell r="E286">
            <v>0</v>
          </cell>
          <cell r="F286">
            <v>20273538</v>
          </cell>
          <cell r="G286">
            <v>0</v>
          </cell>
          <cell r="H286">
            <v>0</v>
          </cell>
        </row>
        <row r="287">
          <cell r="B287">
            <v>7350310205320</v>
          </cell>
          <cell r="D287">
            <v>8046336</v>
          </cell>
          <cell r="E287">
            <v>0</v>
          </cell>
          <cell r="F287">
            <v>8046336</v>
          </cell>
          <cell r="G287">
            <v>0</v>
          </cell>
          <cell r="H287">
            <v>0</v>
          </cell>
        </row>
        <row r="288">
          <cell r="B288">
            <v>7350310205340</v>
          </cell>
          <cell r="D288">
            <v>48252000</v>
          </cell>
          <cell r="E288">
            <v>0</v>
          </cell>
          <cell r="F288">
            <v>48252000</v>
          </cell>
          <cell r="G288">
            <v>0</v>
          </cell>
          <cell r="H288">
            <v>0</v>
          </cell>
        </row>
        <row r="289">
          <cell r="B289">
            <v>7350310305120</v>
          </cell>
          <cell r="D289">
            <v>4950000</v>
          </cell>
          <cell r="E289">
            <v>0</v>
          </cell>
          <cell r="F289">
            <v>4950000</v>
          </cell>
          <cell r="G289">
            <v>0</v>
          </cell>
          <cell r="H289">
            <v>0</v>
          </cell>
        </row>
        <row r="290">
          <cell r="B290">
            <v>7350310305133</v>
          </cell>
          <cell r="D290">
            <v>8011567</v>
          </cell>
          <cell r="E290">
            <v>0</v>
          </cell>
          <cell r="F290">
            <v>8011567</v>
          </cell>
          <cell r="G290">
            <v>0</v>
          </cell>
          <cell r="H290">
            <v>0</v>
          </cell>
        </row>
        <row r="291">
          <cell r="B291">
            <v>7350310305135</v>
          </cell>
          <cell r="D291">
            <v>19778000</v>
          </cell>
          <cell r="E291">
            <v>0</v>
          </cell>
          <cell r="F291">
            <v>19778000</v>
          </cell>
          <cell r="G291">
            <v>0</v>
          </cell>
          <cell r="H291">
            <v>0</v>
          </cell>
        </row>
        <row r="292">
          <cell r="B292">
            <v>7350310305250</v>
          </cell>
          <cell r="D292">
            <v>144437725</v>
          </cell>
          <cell r="E292">
            <v>0</v>
          </cell>
          <cell r="F292">
            <v>144437725</v>
          </cell>
          <cell r="G292">
            <v>0</v>
          </cell>
          <cell r="H292">
            <v>0</v>
          </cell>
        </row>
        <row r="293">
          <cell r="B293">
            <v>7350310405120</v>
          </cell>
          <cell r="D293">
            <v>991696979</v>
          </cell>
          <cell r="E293">
            <v>0</v>
          </cell>
          <cell r="F293">
            <v>991696979</v>
          </cell>
          <cell r="G293">
            <v>0</v>
          </cell>
          <cell r="H293">
            <v>0</v>
          </cell>
        </row>
        <row r="294">
          <cell r="B294">
            <v>7350310405132</v>
          </cell>
          <cell r="D294">
            <v>3157433</v>
          </cell>
          <cell r="E294">
            <v>0</v>
          </cell>
          <cell r="F294">
            <v>3157433</v>
          </cell>
          <cell r="G294">
            <v>0</v>
          </cell>
          <cell r="H294">
            <v>0</v>
          </cell>
        </row>
        <row r="295">
          <cell r="B295">
            <v>7350310405133</v>
          </cell>
          <cell r="D295">
            <v>998509</v>
          </cell>
          <cell r="E295">
            <v>0</v>
          </cell>
          <cell r="F295">
            <v>998509</v>
          </cell>
          <cell r="G295">
            <v>0</v>
          </cell>
          <cell r="H295">
            <v>0</v>
          </cell>
        </row>
        <row r="296">
          <cell r="B296">
            <v>7350310405135</v>
          </cell>
          <cell r="D296">
            <v>202381</v>
          </cell>
          <cell r="E296">
            <v>0</v>
          </cell>
          <cell r="F296">
            <v>202381</v>
          </cell>
          <cell r="G296">
            <v>0</v>
          </cell>
          <cell r="H296">
            <v>0</v>
          </cell>
        </row>
        <row r="297">
          <cell r="B297">
            <v>7350310405250</v>
          </cell>
          <cell r="D297">
            <v>17705714</v>
          </cell>
          <cell r="E297">
            <v>0</v>
          </cell>
          <cell r="F297">
            <v>17705714</v>
          </cell>
          <cell r="G297">
            <v>0</v>
          </cell>
          <cell r="H297">
            <v>0</v>
          </cell>
        </row>
        <row r="298">
          <cell r="B298">
            <v>7350310405270</v>
          </cell>
          <cell r="D298">
            <v>71771785</v>
          </cell>
          <cell r="E298">
            <v>0</v>
          </cell>
          <cell r="F298">
            <v>71771785</v>
          </cell>
          <cell r="G298">
            <v>0</v>
          </cell>
          <cell r="H298">
            <v>0</v>
          </cell>
        </row>
        <row r="299">
          <cell r="B299">
            <v>7350310405320</v>
          </cell>
          <cell r="D299">
            <v>28800000</v>
          </cell>
          <cell r="E299">
            <v>0</v>
          </cell>
          <cell r="F299">
            <v>28800000</v>
          </cell>
          <cell r="G299">
            <v>0</v>
          </cell>
          <cell r="H299">
            <v>0</v>
          </cell>
        </row>
        <row r="300">
          <cell r="B300">
            <v>7350310905120</v>
          </cell>
          <cell r="D300">
            <v>206905452</v>
          </cell>
          <cell r="E300">
            <v>0</v>
          </cell>
          <cell r="F300">
            <v>206905452</v>
          </cell>
          <cell r="G300">
            <v>0</v>
          </cell>
          <cell r="H300">
            <v>0</v>
          </cell>
        </row>
        <row r="301">
          <cell r="B301">
            <v>7350310905131</v>
          </cell>
          <cell r="D301">
            <v>428962729</v>
          </cell>
          <cell r="E301">
            <v>0</v>
          </cell>
          <cell r="F301">
            <v>428962729</v>
          </cell>
          <cell r="G301">
            <v>0</v>
          </cell>
          <cell r="H301">
            <v>0</v>
          </cell>
        </row>
        <row r="302">
          <cell r="B302">
            <v>7350310905132</v>
          </cell>
          <cell r="D302">
            <v>263697863</v>
          </cell>
          <cell r="E302">
            <v>0</v>
          </cell>
          <cell r="F302">
            <v>263697863</v>
          </cell>
          <cell r="G302">
            <v>0</v>
          </cell>
          <cell r="H302">
            <v>0</v>
          </cell>
        </row>
        <row r="303">
          <cell r="B303">
            <v>7350310905133</v>
          </cell>
          <cell r="D303">
            <v>220150463</v>
          </cell>
          <cell r="E303">
            <v>0</v>
          </cell>
          <cell r="F303">
            <v>220150463</v>
          </cell>
          <cell r="G303">
            <v>0</v>
          </cell>
          <cell r="H303">
            <v>0</v>
          </cell>
        </row>
        <row r="304">
          <cell r="B304">
            <v>7350310905134</v>
          </cell>
          <cell r="D304">
            <v>4697862</v>
          </cell>
          <cell r="E304">
            <v>0</v>
          </cell>
          <cell r="F304">
            <v>4697862</v>
          </cell>
          <cell r="G304">
            <v>0</v>
          </cell>
          <cell r="H304">
            <v>0</v>
          </cell>
        </row>
        <row r="305">
          <cell r="B305">
            <v>7350310905135</v>
          </cell>
          <cell r="D305">
            <v>55044372</v>
          </cell>
          <cell r="E305">
            <v>0</v>
          </cell>
          <cell r="F305">
            <v>55044372</v>
          </cell>
          <cell r="G305">
            <v>0</v>
          </cell>
          <cell r="H305">
            <v>0</v>
          </cell>
        </row>
        <row r="306">
          <cell r="B306">
            <v>7350310905230</v>
          </cell>
          <cell r="D306">
            <v>29000000</v>
          </cell>
          <cell r="E306">
            <v>0</v>
          </cell>
          <cell r="F306">
            <v>29000000</v>
          </cell>
          <cell r="G306">
            <v>0</v>
          </cell>
          <cell r="H306">
            <v>0</v>
          </cell>
        </row>
        <row r="307">
          <cell r="B307">
            <v>7350310905240</v>
          </cell>
          <cell r="D307">
            <v>48402</v>
          </cell>
          <cell r="E307">
            <v>0</v>
          </cell>
          <cell r="F307">
            <v>48402</v>
          </cell>
          <cell r="G307">
            <v>0</v>
          </cell>
          <cell r="H307">
            <v>0</v>
          </cell>
        </row>
        <row r="308">
          <cell r="B308">
            <v>7350310905250</v>
          </cell>
          <cell r="D308">
            <v>98540199</v>
          </cell>
          <cell r="E308">
            <v>0</v>
          </cell>
          <cell r="F308">
            <v>98540199</v>
          </cell>
          <cell r="G308">
            <v>0</v>
          </cell>
          <cell r="H308">
            <v>0</v>
          </cell>
        </row>
        <row r="309">
          <cell r="B309">
            <v>7350310905320</v>
          </cell>
          <cell r="D309">
            <v>14366181</v>
          </cell>
          <cell r="E309">
            <v>0</v>
          </cell>
          <cell r="F309">
            <v>14366181</v>
          </cell>
          <cell r="G309">
            <v>0</v>
          </cell>
          <cell r="H309">
            <v>0</v>
          </cell>
        </row>
        <row r="310">
          <cell r="B310">
            <v>7350311005120</v>
          </cell>
          <cell r="D310">
            <v>229077080</v>
          </cell>
          <cell r="E310">
            <v>0</v>
          </cell>
          <cell r="F310">
            <v>229077080</v>
          </cell>
          <cell r="G310">
            <v>0</v>
          </cell>
          <cell r="H310">
            <v>0</v>
          </cell>
        </row>
        <row r="311">
          <cell r="B311">
            <v>7350311705270</v>
          </cell>
          <cell r="D311">
            <v>1650000</v>
          </cell>
          <cell r="E311">
            <v>0</v>
          </cell>
          <cell r="F311">
            <v>1650000</v>
          </cell>
          <cell r="G311">
            <v>0</v>
          </cell>
          <cell r="H311">
            <v>0</v>
          </cell>
        </row>
        <row r="312">
          <cell r="B312">
            <v>7350319905120</v>
          </cell>
          <cell r="D312">
            <v>458704868</v>
          </cell>
          <cell r="E312">
            <v>0</v>
          </cell>
          <cell r="F312">
            <v>458704868</v>
          </cell>
          <cell r="G312">
            <v>0</v>
          </cell>
          <cell r="H312">
            <v>0</v>
          </cell>
        </row>
        <row r="313">
          <cell r="B313">
            <v>7350319905131</v>
          </cell>
          <cell r="D313">
            <v>14889080</v>
          </cell>
          <cell r="E313">
            <v>0</v>
          </cell>
          <cell r="F313">
            <v>14889080</v>
          </cell>
          <cell r="G313">
            <v>0</v>
          </cell>
          <cell r="H313">
            <v>0</v>
          </cell>
        </row>
        <row r="314">
          <cell r="B314">
            <v>7350319905133</v>
          </cell>
          <cell r="D314">
            <v>16675000</v>
          </cell>
          <cell r="E314">
            <v>0</v>
          </cell>
          <cell r="F314">
            <v>16675000</v>
          </cell>
          <cell r="G314">
            <v>0</v>
          </cell>
          <cell r="H314">
            <v>0</v>
          </cell>
        </row>
        <row r="315">
          <cell r="B315">
            <v>7350319905134</v>
          </cell>
          <cell r="D315">
            <v>12000000</v>
          </cell>
          <cell r="E315">
            <v>0</v>
          </cell>
          <cell r="F315">
            <v>12000000</v>
          </cell>
          <cell r="G315">
            <v>0</v>
          </cell>
          <cell r="H315">
            <v>0</v>
          </cell>
        </row>
        <row r="316">
          <cell r="B316">
            <v>7350319905230</v>
          </cell>
          <cell r="D316">
            <v>1320000</v>
          </cell>
          <cell r="E316">
            <v>0</v>
          </cell>
          <cell r="F316">
            <v>1320000</v>
          </cell>
          <cell r="G316">
            <v>0</v>
          </cell>
          <cell r="H316">
            <v>0</v>
          </cell>
        </row>
        <row r="317">
          <cell r="B317">
            <v>7350319905240</v>
          </cell>
          <cell r="D317">
            <v>15263969</v>
          </cell>
          <cell r="E317">
            <v>0</v>
          </cell>
          <cell r="F317">
            <v>15263969</v>
          </cell>
          <cell r="G317">
            <v>0</v>
          </cell>
          <cell r="H317">
            <v>0</v>
          </cell>
        </row>
        <row r="318">
          <cell r="B318">
            <v>7350319905250</v>
          </cell>
          <cell r="D318">
            <v>1928657</v>
          </cell>
          <cell r="E318">
            <v>0</v>
          </cell>
          <cell r="F318">
            <v>1928657</v>
          </cell>
          <cell r="G318">
            <v>0</v>
          </cell>
          <cell r="H318">
            <v>0</v>
          </cell>
        </row>
        <row r="319">
          <cell r="B319">
            <v>7350319905270</v>
          </cell>
          <cell r="D319">
            <v>5250000</v>
          </cell>
          <cell r="E319">
            <v>0</v>
          </cell>
          <cell r="F319">
            <v>5250000</v>
          </cell>
          <cell r="G319">
            <v>0</v>
          </cell>
          <cell r="H319">
            <v>0</v>
          </cell>
        </row>
        <row r="320">
          <cell r="B320">
            <v>7350319905320</v>
          </cell>
          <cell r="D320">
            <v>7800000</v>
          </cell>
          <cell r="E320">
            <v>0</v>
          </cell>
          <cell r="F320">
            <v>7800000</v>
          </cell>
          <cell r="G320">
            <v>0</v>
          </cell>
          <cell r="H320">
            <v>0</v>
          </cell>
        </row>
        <row r="321">
          <cell r="B321">
            <v>7351011105230</v>
          </cell>
          <cell r="D321">
            <v>1879574562</v>
          </cell>
          <cell r="E321">
            <v>0</v>
          </cell>
          <cell r="F321">
            <v>1879574562</v>
          </cell>
          <cell r="G321">
            <v>0</v>
          </cell>
          <cell r="H321">
            <v>1928551380</v>
          </cell>
        </row>
        <row r="322">
          <cell r="B322">
            <v>7351011105250</v>
          </cell>
          <cell r="D322">
            <v>2698758549</v>
          </cell>
          <cell r="E322">
            <v>0</v>
          </cell>
          <cell r="F322">
            <v>2698758549</v>
          </cell>
          <cell r="G322">
            <v>0</v>
          </cell>
          <cell r="H322">
            <v>2704104705</v>
          </cell>
        </row>
        <row r="323">
          <cell r="B323">
            <v>7351011105251</v>
          </cell>
          <cell r="D323">
            <v>1901702445</v>
          </cell>
          <cell r="E323">
            <v>0</v>
          </cell>
          <cell r="F323">
            <v>1901702445</v>
          </cell>
          <cell r="G323">
            <v>0</v>
          </cell>
          <cell r="H323">
            <v>2233052205</v>
          </cell>
        </row>
        <row r="324">
          <cell r="B324">
            <v>7351011105260</v>
          </cell>
          <cell r="D324">
            <v>4361985531</v>
          </cell>
          <cell r="E324">
            <v>0</v>
          </cell>
          <cell r="F324">
            <v>4361985531</v>
          </cell>
          <cell r="G324">
            <v>0</v>
          </cell>
          <cell r="H324">
            <v>4361984160</v>
          </cell>
        </row>
        <row r="325">
          <cell r="B325">
            <v>7351011105270</v>
          </cell>
          <cell r="D325">
            <v>1480123454</v>
          </cell>
          <cell r="E325">
            <v>0</v>
          </cell>
          <cell r="F325">
            <v>1480123454</v>
          </cell>
          <cell r="G325">
            <v>0</v>
          </cell>
          <cell r="H325">
            <v>1486078329</v>
          </cell>
        </row>
        <row r="326">
          <cell r="B326">
            <v>7351011105280</v>
          </cell>
          <cell r="D326">
            <v>3337241014</v>
          </cell>
          <cell r="E326">
            <v>0</v>
          </cell>
          <cell r="F326">
            <v>3337241014</v>
          </cell>
          <cell r="G326">
            <v>0</v>
          </cell>
          <cell r="H326">
            <v>3349578309</v>
          </cell>
        </row>
        <row r="327">
          <cell r="B327">
            <v>7351011105290</v>
          </cell>
          <cell r="D327">
            <v>3812796330</v>
          </cell>
          <cell r="E327">
            <v>0</v>
          </cell>
          <cell r="F327">
            <v>3812796330</v>
          </cell>
          <cell r="G327">
            <v>0</v>
          </cell>
          <cell r="H327">
            <v>3823263000</v>
          </cell>
        </row>
        <row r="328">
          <cell r="B328">
            <v>7351020105230</v>
          </cell>
          <cell r="D328">
            <v>120064726</v>
          </cell>
          <cell r="E328">
            <v>0</v>
          </cell>
          <cell r="F328">
            <v>120064726</v>
          </cell>
          <cell r="G328">
            <v>0</v>
          </cell>
          <cell r="H328">
            <v>154284109</v>
          </cell>
        </row>
        <row r="329">
          <cell r="B329">
            <v>7351020105250</v>
          </cell>
          <cell r="D329">
            <v>162121669</v>
          </cell>
          <cell r="E329">
            <v>0</v>
          </cell>
          <cell r="F329">
            <v>162121669</v>
          </cell>
          <cell r="G329">
            <v>0</v>
          </cell>
          <cell r="H329">
            <v>178644175</v>
          </cell>
        </row>
        <row r="330">
          <cell r="B330">
            <v>7351020105251</v>
          </cell>
          <cell r="D330">
            <v>300245245</v>
          </cell>
          <cell r="E330">
            <v>0</v>
          </cell>
          <cell r="F330">
            <v>300245245</v>
          </cell>
          <cell r="G330">
            <v>0</v>
          </cell>
          <cell r="H330">
            <v>178644175</v>
          </cell>
        </row>
        <row r="331">
          <cell r="B331">
            <v>7351020105260</v>
          </cell>
          <cell r="D331">
            <v>312190610</v>
          </cell>
          <cell r="E331">
            <v>0</v>
          </cell>
          <cell r="F331">
            <v>312190610</v>
          </cell>
          <cell r="G331">
            <v>0</v>
          </cell>
          <cell r="H331">
            <v>311274533</v>
          </cell>
        </row>
        <row r="332">
          <cell r="B332">
            <v>7351020105270</v>
          </cell>
          <cell r="D332">
            <v>50696420</v>
          </cell>
          <cell r="E332">
            <v>0</v>
          </cell>
          <cell r="F332">
            <v>50696420</v>
          </cell>
          <cell r="G332">
            <v>0</v>
          </cell>
          <cell r="H332">
            <v>81202066</v>
          </cell>
        </row>
        <row r="333">
          <cell r="B333">
            <v>7351020105280</v>
          </cell>
          <cell r="D333">
            <v>179302169</v>
          </cell>
          <cell r="E333">
            <v>0</v>
          </cell>
          <cell r="F333">
            <v>179302169</v>
          </cell>
          <cell r="G333">
            <v>0</v>
          </cell>
          <cell r="H333">
            <v>267966266</v>
          </cell>
        </row>
        <row r="334">
          <cell r="B334">
            <v>7351020105290</v>
          </cell>
          <cell r="D334">
            <v>547029814</v>
          </cell>
          <cell r="E334">
            <v>0</v>
          </cell>
          <cell r="F334">
            <v>547029814</v>
          </cell>
          <cell r="G334">
            <v>0</v>
          </cell>
          <cell r="H334">
            <v>305861040</v>
          </cell>
        </row>
        <row r="335">
          <cell r="B335">
            <v>7351040105230</v>
          </cell>
          <cell r="D335">
            <v>649953324</v>
          </cell>
          <cell r="E335">
            <v>10654974</v>
          </cell>
          <cell r="F335">
            <v>639298350</v>
          </cell>
          <cell r="G335">
            <v>0</v>
          </cell>
          <cell r="H335">
            <v>642850460</v>
          </cell>
        </row>
        <row r="336">
          <cell r="B336">
            <v>7351040105250</v>
          </cell>
          <cell r="D336">
            <v>911328108</v>
          </cell>
          <cell r="E336">
            <v>14939808</v>
          </cell>
          <cell r="F336">
            <v>896388300</v>
          </cell>
          <cell r="G336">
            <v>0</v>
          </cell>
          <cell r="H336">
            <v>901368235</v>
          </cell>
        </row>
        <row r="337">
          <cell r="B337">
            <v>7351040105251</v>
          </cell>
          <cell r="D337">
            <v>769960329</v>
          </cell>
          <cell r="E337">
            <v>29722029</v>
          </cell>
          <cell r="F337">
            <v>740238300</v>
          </cell>
          <cell r="G337">
            <v>0</v>
          </cell>
          <cell r="H337">
            <v>744350735</v>
          </cell>
        </row>
        <row r="338">
          <cell r="B338">
            <v>7351040105260</v>
          </cell>
          <cell r="D338">
            <v>1470061419</v>
          </cell>
          <cell r="E338">
            <v>24099369</v>
          </cell>
          <cell r="F338">
            <v>1445962050</v>
          </cell>
          <cell r="G338">
            <v>0</v>
          </cell>
          <cell r="H338">
            <v>1453994720</v>
          </cell>
        </row>
        <row r="339">
          <cell r="B339">
            <v>7351040105270</v>
          </cell>
          <cell r="D339">
            <v>500486028</v>
          </cell>
          <cell r="E339">
            <v>7863378</v>
          </cell>
          <cell r="F339">
            <v>492622650</v>
          </cell>
          <cell r="G339">
            <v>0</v>
          </cell>
          <cell r="H339">
            <v>495359444</v>
          </cell>
        </row>
        <row r="340">
          <cell r="B340">
            <v>7351040105280</v>
          </cell>
          <cell r="D340">
            <v>1128863409</v>
          </cell>
          <cell r="E340">
            <v>18505959</v>
          </cell>
          <cell r="F340">
            <v>1110357450</v>
          </cell>
          <cell r="G340">
            <v>0</v>
          </cell>
          <cell r="H340">
            <v>1116526104</v>
          </cell>
        </row>
        <row r="341">
          <cell r="B341">
            <v>7351040105290</v>
          </cell>
          <cell r="D341">
            <v>1288503459</v>
          </cell>
          <cell r="E341">
            <v>21123009</v>
          </cell>
          <cell r="F341">
            <v>1267380450</v>
          </cell>
          <cell r="G341">
            <v>0</v>
          </cell>
          <cell r="H341">
            <v>1274421000</v>
          </cell>
        </row>
        <row r="342">
          <cell r="B342">
            <v>7351131105120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780000000</v>
          </cell>
        </row>
        <row r="343">
          <cell r="B343">
            <v>7351131105131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480000000</v>
          </cell>
        </row>
        <row r="344">
          <cell r="B344">
            <v>7351131105132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420000000</v>
          </cell>
        </row>
        <row r="345">
          <cell r="B345">
            <v>7351131105133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420000000</v>
          </cell>
        </row>
        <row r="346">
          <cell r="B346">
            <v>7351131105134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180000000</v>
          </cell>
        </row>
        <row r="347">
          <cell r="B347">
            <v>7351131105135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180000000</v>
          </cell>
        </row>
        <row r="348">
          <cell r="B348">
            <v>7351131105230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120000000</v>
          </cell>
        </row>
        <row r="349">
          <cell r="B349">
            <v>7351131105250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180000000</v>
          </cell>
        </row>
        <row r="350">
          <cell r="B350">
            <v>7351131105251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120000000</v>
          </cell>
        </row>
        <row r="351">
          <cell r="B351">
            <v>7351131105260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300000000</v>
          </cell>
        </row>
        <row r="352">
          <cell r="B352">
            <v>7351131105270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120000000</v>
          </cell>
        </row>
        <row r="353">
          <cell r="B353">
            <v>7351131105280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180000000</v>
          </cell>
        </row>
        <row r="354">
          <cell r="B354">
            <v>7351131105290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240000000</v>
          </cell>
        </row>
        <row r="355">
          <cell r="B355">
            <v>7351131505120</v>
          </cell>
          <cell r="D355">
            <v>96627840</v>
          </cell>
          <cell r="E355">
            <v>0</v>
          </cell>
          <cell r="F355">
            <v>96627840</v>
          </cell>
          <cell r="G355">
            <v>0</v>
          </cell>
          <cell r="H355">
            <v>28800000</v>
          </cell>
        </row>
        <row r="356">
          <cell r="B356">
            <v>7351131505131</v>
          </cell>
          <cell r="D356">
            <v>40318676</v>
          </cell>
          <cell r="E356">
            <v>0</v>
          </cell>
          <cell r="F356">
            <v>40318676</v>
          </cell>
          <cell r="G356">
            <v>0</v>
          </cell>
          <cell r="H356">
            <v>16800000</v>
          </cell>
        </row>
        <row r="357">
          <cell r="B357">
            <v>7351131505132</v>
          </cell>
          <cell r="D357">
            <v>25407840</v>
          </cell>
          <cell r="E357">
            <v>0</v>
          </cell>
          <cell r="F357">
            <v>25407840</v>
          </cell>
          <cell r="G357">
            <v>0</v>
          </cell>
          <cell r="H357">
            <v>9600000</v>
          </cell>
        </row>
        <row r="358">
          <cell r="B358">
            <v>7351131505133</v>
          </cell>
          <cell r="D358">
            <v>44863022</v>
          </cell>
          <cell r="E358">
            <v>0</v>
          </cell>
          <cell r="F358">
            <v>44863022</v>
          </cell>
          <cell r="G358">
            <v>0</v>
          </cell>
          <cell r="H358">
            <v>16800000</v>
          </cell>
        </row>
        <row r="359">
          <cell r="B359">
            <v>7351131505134</v>
          </cell>
          <cell r="D359">
            <v>5205000</v>
          </cell>
          <cell r="E359">
            <v>0</v>
          </cell>
          <cell r="F359">
            <v>5205000</v>
          </cell>
          <cell r="G359">
            <v>0</v>
          </cell>
          <cell r="H359">
            <v>4800000</v>
          </cell>
        </row>
        <row r="360">
          <cell r="B360">
            <v>7351131505135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7200000</v>
          </cell>
        </row>
        <row r="361">
          <cell r="B361">
            <v>7351131505230</v>
          </cell>
          <cell r="D361">
            <v>33647265</v>
          </cell>
          <cell r="E361">
            <v>0</v>
          </cell>
          <cell r="F361">
            <v>33647265</v>
          </cell>
          <cell r="G361">
            <v>0</v>
          </cell>
          <cell r="H361">
            <v>4800000</v>
          </cell>
        </row>
        <row r="362">
          <cell r="B362">
            <v>7351131505250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4800000</v>
          </cell>
        </row>
        <row r="363">
          <cell r="B363">
            <v>7351131505251</v>
          </cell>
          <cell r="D363">
            <v>12337305</v>
          </cell>
          <cell r="E363">
            <v>0</v>
          </cell>
          <cell r="F363">
            <v>12337305</v>
          </cell>
          <cell r="G363">
            <v>0</v>
          </cell>
          <cell r="H363">
            <v>4800000</v>
          </cell>
        </row>
        <row r="364">
          <cell r="B364">
            <v>7351131505260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9600000</v>
          </cell>
        </row>
        <row r="365">
          <cell r="B365">
            <v>7351131505270</v>
          </cell>
          <cell r="D365">
            <v>5607878</v>
          </cell>
          <cell r="E365">
            <v>0</v>
          </cell>
          <cell r="F365">
            <v>5607878</v>
          </cell>
          <cell r="G365">
            <v>0</v>
          </cell>
          <cell r="H365">
            <v>2400000</v>
          </cell>
        </row>
        <row r="366">
          <cell r="B366">
            <v>7351131505280</v>
          </cell>
          <cell r="D366">
            <v>12337305</v>
          </cell>
          <cell r="E366">
            <v>0</v>
          </cell>
          <cell r="F366">
            <v>12337305</v>
          </cell>
          <cell r="G366">
            <v>0</v>
          </cell>
          <cell r="H366">
            <v>7200000</v>
          </cell>
        </row>
        <row r="367">
          <cell r="B367">
            <v>7351131505290</v>
          </cell>
          <cell r="D367">
            <v>10468035</v>
          </cell>
          <cell r="E367">
            <v>0</v>
          </cell>
          <cell r="F367">
            <v>10468035</v>
          </cell>
          <cell r="G367">
            <v>0</v>
          </cell>
          <cell r="H367">
            <v>9600000</v>
          </cell>
        </row>
        <row r="368">
          <cell r="B368">
            <v>7351210105230</v>
          </cell>
          <cell r="D368">
            <v>355128354</v>
          </cell>
          <cell r="E368">
            <v>0</v>
          </cell>
          <cell r="F368">
            <v>355128354</v>
          </cell>
          <cell r="G368">
            <v>0</v>
          </cell>
          <cell r="H368">
            <v>380160000</v>
          </cell>
        </row>
        <row r="369">
          <cell r="B369">
            <v>7351210105250</v>
          </cell>
          <cell r="D369">
            <v>488041186</v>
          </cell>
          <cell r="E369">
            <v>0</v>
          </cell>
          <cell r="F369">
            <v>488041186</v>
          </cell>
          <cell r="G369">
            <v>0</v>
          </cell>
          <cell r="H369">
            <v>570240000</v>
          </cell>
        </row>
        <row r="370">
          <cell r="B370">
            <v>7351210105251</v>
          </cell>
          <cell r="D370">
            <v>305254153</v>
          </cell>
          <cell r="E370">
            <v>0</v>
          </cell>
          <cell r="F370">
            <v>305254153</v>
          </cell>
          <cell r="G370">
            <v>0</v>
          </cell>
          <cell r="H370">
            <v>380160000</v>
          </cell>
        </row>
        <row r="371">
          <cell r="B371">
            <v>7351210105260</v>
          </cell>
          <cell r="D371">
            <v>849014208</v>
          </cell>
          <cell r="E371">
            <v>0</v>
          </cell>
          <cell r="F371">
            <v>849014208</v>
          </cell>
          <cell r="G371">
            <v>0</v>
          </cell>
          <cell r="H371">
            <v>950400000</v>
          </cell>
        </row>
        <row r="372">
          <cell r="B372">
            <v>7351210105270</v>
          </cell>
          <cell r="D372">
            <v>309567580</v>
          </cell>
          <cell r="E372">
            <v>0</v>
          </cell>
          <cell r="F372">
            <v>309567580</v>
          </cell>
          <cell r="G372">
            <v>0</v>
          </cell>
          <cell r="H372">
            <v>380160000</v>
          </cell>
        </row>
        <row r="373">
          <cell r="B373">
            <v>7351210105280</v>
          </cell>
          <cell r="D373">
            <v>537299385</v>
          </cell>
          <cell r="E373">
            <v>0</v>
          </cell>
          <cell r="F373">
            <v>537299385</v>
          </cell>
          <cell r="G373">
            <v>0</v>
          </cell>
          <cell r="H373">
            <v>570240000</v>
          </cell>
        </row>
        <row r="374">
          <cell r="B374">
            <v>7351210105290</v>
          </cell>
          <cell r="D374">
            <v>716855098</v>
          </cell>
          <cell r="E374">
            <v>0</v>
          </cell>
          <cell r="F374">
            <v>716855098</v>
          </cell>
          <cell r="G374">
            <v>0</v>
          </cell>
          <cell r="H374">
            <v>760320000</v>
          </cell>
        </row>
        <row r="375">
          <cell r="B375">
            <v>7351240105230</v>
          </cell>
          <cell r="D375">
            <v>60998590</v>
          </cell>
          <cell r="E375">
            <v>0</v>
          </cell>
          <cell r="F375">
            <v>60998590</v>
          </cell>
          <cell r="G375">
            <v>0</v>
          </cell>
          <cell r="H375">
            <v>62485066</v>
          </cell>
        </row>
        <row r="376">
          <cell r="B376">
            <v>7351240105250</v>
          </cell>
          <cell r="D376">
            <v>85826399</v>
          </cell>
          <cell r="E376">
            <v>0</v>
          </cell>
          <cell r="F376">
            <v>85826399</v>
          </cell>
          <cell r="G376">
            <v>0</v>
          </cell>
          <cell r="H376">
            <v>86482465</v>
          </cell>
        </row>
        <row r="377">
          <cell r="B377">
            <v>7351240105251</v>
          </cell>
          <cell r="D377">
            <v>66428546</v>
          </cell>
          <cell r="E377">
            <v>0</v>
          </cell>
          <cell r="F377">
            <v>66428546</v>
          </cell>
          <cell r="G377">
            <v>0</v>
          </cell>
          <cell r="H377">
            <v>72350890</v>
          </cell>
        </row>
        <row r="378">
          <cell r="B378">
            <v>7351240105260</v>
          </cell>
          <cell r="D378">
            <v>140225272</v>
          </cell>
          <cell r="E378">
            <v>0</v>
          </cell>
          <cell r="F378">
            <v>140225272</v>
          </cell>
          <cell r="G378">
            <v>0</v>
          </cell>
          <cell r="H378">
            <v>140197760</v>
          </cell>
        </row>
        <row r="379">
          <cell r="B379">
            <v>7351240105270</v>
          </cell>
          <cell r="D379">
            <v>46092830</v>
          </cell>
          <cell r="E379">
            <v>0</v>
          </cell>
          <cell r="F379">
            <v>46092830</v>
          </cell>
          <cell r="G379">
            <v>0</v>
          </cell>
          <cell r="H379">
            <v>47018411</v>
          </cell>
        </row>
        <row r="380">
          <cell r="B380">
            <v>7351240105280</v>
          </cell>
          <cell r="D380">
            <v>105866405</v>
          </cell>
          <cell r="E380">
            <v>0</v>
          </cell>
          <cell r="F380">
            <v>105866405</v>
          </cell>
          <cell r="G380">
            <v>0</v>
          </cell>
          <cell r="H380">
            <v>108526339</v>
          </cell>
        </row>
        <row r="381">
          <cell r="B381">
            <v>7351240105290</v>
          </cell>
          <cell r="D381">
            <v>131108814</v>
          </cell>
          <cell r="E381">
            <v>0</v>
          </cell>
          <cell r="F381">
            <v>131108814</v>
          </cell>
          <cell r="G381">
            <v>0</v>
          </cell>
          <cell r="H381">
            <v>123873721</v>
          </cell>
        </row>
        <row r="382">
          <cell r="B382">
            <v>7351320105120</v>
          </cell>
          <cell r="D382">
            <v>771179294</v>
          </cell>
          <cell r="E382">
            <v>0</v>
          </cell>
          <cell r="F382">
            <v>771179294</v>
          </cell>
          <cell r="G382">
            <v>0</v>
          </cell>
          <cell r="H382">
            <v>2028000000</v>
          </cell>
        </row>
        <row r="383">
          <cell r="B383">
            <v>7351320105131</v>
          </cell>
          <cell r="D383">
            <v>578384470</v>
          </cell>
          <cell r="E383">
            <v>0</v>
          </cell>
          <cell r="F383">
            <v>578384470</v>
          </cell>
          <cell r="G383">
            <v>0</v>
          </cell>
          <cell r="H383">
            <v>1248000000</v>
          </cell>
        </row>
        <row r="384">
          <cell r="B384">
            <v>7351320105132</v>
          </cell>
          <cell r="D384">
            <v>514119530</v>
          </cell>
          <cell r="E384">
            <v>0</v>
          </cell>
          <cell r="F384">
            <v>514119530</v>
          </cell>
          <cell r="G384">
            <v>0</v>
          </cell>
          <cell r="H384">
            <v>1092000000</v>
          </cell>
        </row>
        <row r="385">
          <cell r="B385">
            <v>7351320105133</v>
          </cell>
          <cell r="D385">
            <v>449854589</v>
          </cell>
          <cell r="E385">
            <v>0</v>
          </cell>
          <cell r="F385">
            <v>449854589</v>
          </cell>
          <cell r="G385">
            <v>0</v>
          </cell>
          <cell r="H385">
            <v>1092000000</v>
          </cell>
        </row>
        <row r="386">
          <cell r="B386">
            <v>7351320105134</v>
          </cell>
          <cell r="D386">
            <v>192794824</v>
          </cell>
          <cell r="E386">
            <v>0</v>
          </cell>
          <cell r="F386">
            <v>192794824</v>
          </cell>
          <cell r="G386">
            <v>0</v>
          </cell>
          <cell r="H386">
            <v>468000000</v>
          </cell>
        </row>
        <row r="387">
          <cell r="B387">
            <v>7351320105135</v>
          </cell>
          <cell r="D387">
            <v>192794824</v>
          </cell>
          <cell r="E387">
            <v>0</v>
          </cell>
          <cell r="F387">
            <v>192794824</v>
          </cell>
          <cell r="G387">
            <v>0</v>
          </cell>
          <cell r="H387">
            <v>468000000</v>
          </cell>
        </row>
        <row r="388">
          <cell r="B388">
            <v>7351320105230</v>
          </cell>
          <cell r="D388">
            <v>128529881</v>
          </cell>
          <cell r="E388">
            <v>0</v>
          </cell>
          <cell r="F388">
            <v>128529881</v>
          </cell>
          <cell r="G388">
            <v>0</v>
          </cell>
          <cell r="H388">
            <v>312000000</v>
          </cell>
        </row>
        <row r="389">
          <cell r="B389">
            <v>7351320105250</v>
          </cell>
          <cell r="D389">
            <v>128529881</v>
          </cell>
          <cell r="E389">
            <v>0</v>
          </cell>
          <cell r="F389">
            <v>128529881</v>
          </cell>
          <cell r="G389">
            <v>0</v>
          </cell>
          <cell r="H389">
            <v>468000000</v>
          </cell>
        </row>
        <row r="390">
          <cell r="B390">
            <v>7351320105251</v>
          </cell>
          <cell r="D390">
            <v>128529881</v>
          </cell>
          <cell r="E390">
            <v>0</v>
          </cell>
          <cell r="F390">
            <v>128529881</v>
          </cell>
          <cell r="G390">
            <v>0</v>
          </cell>
          <cell r="H390">
            <v>312000000</v>
          </cell>
        </row>
        <row r="391">
          <cell r="B391">
            <v>7351320105260</v>
          </cell>
          <cell r="D391">
            <v>321324706</v>
          </cell>
          <cell r="E391">
            <v>0</v>
          </cell>
          <cell r="F391">
            <v>321324706</v>
          </cell>
          <cell r="G391">
            <v>0</v>
          </cell>
          <cell r="H391">
            <v>780000000</v>
          </cell>
        </row>
        <row r="392">
          <cell r="B392">
            <v>7351320105270</v>
          </cell>
          <cell r="D392">
            <v>128529881</v>
          </cell>
          <cell r="E392">
            <v>0</v>
          </cell>
          <cell r="F392">
            <v>128529881</v>
          </cell>
          <cell r="G392">
            <v>0</v>
          </cell>
          <cell r="H392">
            <v>312000000</v>
          </cell>
        </row>
        <row r="393">
          <cell r="B393">
            <v>7351320105280</v>
          </cell>
          <cell r="D393">
            <v>192794824</v>
          </cell>
          <cell r="E393">
            <v>0</v>
          </cell>
          <cell r="F393">
            <v>192794824</v>
          </cell>
          <cell r="G393">
            <v>0</v>
          </cell>
          <cell r="H393">
            <v>468000000</v>
          </cell>
        </row>
        <row r="394">
          <cell r="B394">
            <v>7351320105290</v>
          </cell>
          <cell r="D394">
            <v>257059778</v>
          </cell>
          <cell r="E394">
            <v>0</v>
          </cell>
          <cell r="F394">
            <v>257059778</v>
          </cell>
          <cell r="G394">
            <v>0</v>
          </cell>
          <cell r="H394">
            <v>624000000</v>
          </cell>
        </row>
        <row r="395">
          <cell r="B395">
            <v>7351360105120</v>
          </cell>
          <cell r="D395">
            <v>1296996840</v>
          </cell>
          <cell r="E395">
            <v>0</v>
          </cell>
          <cell r="F395">
            <v>1296996840</v>
          </cell>
          <cell r="G395">
            <v>0</v>
          </cell>
          <cell r="H395">
            <v>1716000000</v>
          </cell>
        </row>
        <row r="396">
          <cell r="B396">
            <v>7351360105131</v>
          </cell>
          <cell r="D396">
            <v>972747632</v>
          </cell>
          <cell r="E396">
            <v>0</v>
          </cell>
          <cell r="F396">
            <v>972747632</v>
          </cell>
          <cell r="G396">
            <v>0</v>
          </cell>
          <cell r="H396">
            <v>1056000000</v>
          </cell>
        </row>
        <row r="397">
          <cell r="B397">
            <v>7351360105132</v>
          </cell>
          <cell r="D397">
            <v>864664560</v>
          </cell>
          <cell r="E397">
            <v>0</v>
          </cell>
          <cell r="F397">
            <v>864664560</v>
          </cell>
          <cell r="G397">
            <v>0</v>
          </cell>
          <cell r="H397">
            <v>924000000</v>
          </cell>
        </row>
        <row r="398">
          <cell r="B398">
            <v>7351360105133</v>
          </cell>
          <cell r="D398">
            <v>756581490</v>
          </cell>
          <cell r="E398">
            <v>0</v>
          </cell>
          <cell r="F398">
            <v>756581490</v>
          </cell>
          <cell r="G398">
            <v>0</v>
          </cell>
          <cell r="H398">
            <v>924000000</v>
          </cell>
        </row>
        <row r="399">
          <cell r="B399">
            <v>7351360105134</v>
          </cell>
          <cell r="D399">
            <v>324249211</v>
          </cell>
          <cell r="E399">
            <v>0</v>
          </cell>
          <cell r="F399">
            <v>324249211</v>
          </cell>
          <cell r="G399">
            <v>0</v>
          </cell>
          <cell r="H399">
            <v>396000000</v>
          </cell>
        </row>
        <row r="400">
          <cell r="B400">
            <v>7351360105135</v>
          </cell>
          <cell r="D400">
            <v>324249211</v>
          </cell>
          <cell r="E400">
            <v>0</v>
          </cell>
          <cell r="F400">
            <v>324249211</v>
          </cell>
          <cell r="G400">
            <v>0</v>
          </cell>
          <cell r="H400">
            <v>396000000</v>
          </cell>
        </row>
        <row r="401">
          <cell r="B401">
            <v>7351360105230</v>
          </cell>
          <cell r="D401">
            <v>216166140</v>
          </cell>
          <cell r="E401">
            <v>0</v>
          </cell>
          <cell r="F401">
            <v>216166140</v>
          </cell>
          <cell r="G401">
            <v>0</v>
          </cell>
          <cell r="H401">
            <v>264000000</v>
          </cell>
        </row>
        <row r="402">
          <cell r="B402">
            <v>7351360105250</v>
          </cell>
          <cell r="D402">
            <v>216166140</v>
          </cell>
          <cell r="E402">
            <v>0</v>
          </cell>
          <cell r="F402">
            <v>216166140</v>
          </cell>
          <cell r="G402">
            <v>0</v>
          </cell>
          <cell r="H402">
            <v>396000000</v>
          </cell>
        </row>
        <row r="403">
          <cell r="B403">
            <v>7351360105251</v>
          </cell>
          <cell r="D403">
            <v>216166140</v>
          </cell>
          <cell r="E403">
            <v>0</v>
          </cell>
          <cell r="F403">
            <v>216166140</v>
          </cell>
          <cell r="G403">
            <v>0</v>
          </cell>
          <cell r="H403">
            <v>264000000</v>
          </cell>
        </row>
        <row r="404">
          <cell r="B404">
            <v>7351360105260</v>
          </cell>
          <cell r="D404">
            <v>540415350</v>
          </cell>
          <cell r="E404">
            <v>0</v>
          </cell>
          <cell r="F404">
            <v>540415350</v>
          </cell>
          <cell r="G404">
            <v>0</v>
          </cell>
          <cell r="H404">
            <v>660000000</v>
          </cell>
        </row>
        <row r="405">
          <cell r="B405">
            <v>7351360105270</v>
          </cell>
          <cell r="D405">
            <v>216166140</v>
          </cell>
          <cell r="E405">
            <v>0</v>
          </cell>
          <cell r="F405">
            <v>216166140</v>
          </cell>
          <cell r="G405">
            <v>0</v>
          </cell>
          <cell r="H405">
            <v>264000000</v>
          </cell>
        </row>
        <row r="406">
          <cell r="B406">
            <v>7351360105280</v>
          </cell>
          <cell r="D406">
            <v>324249211</v>
          </cell>
          <cell r="E406">
            <v>0</v>
          </cell>
          <cell r="F406">
            <v>324249211</v>
          </cell>
          <cell r="G406">
            <v>0</v>
          </cell>
          <cell r="H406">
            <v>396000000</v>
          </cell>
        </row>
        <row r="407">
          <cell r="B407">
            <v>7351360105290</v>
          </cell>
          <cell r="D407">
            <v>432332277</v>
          </cell>
          <cell r="E407">
            <v>0</v>
          </cell>
          <cell r="F407">
            <v>432332277</v>
          </cell>
          <cell r="G407">
            <v>0</v>
          </cell>
          <cell r="H407">
            <v>528000000</v>
          </cell>
        </row>
        <row r="408">
          <cell r="B408">
            <v>7353130105120</v>
          </cell>
          <cell r="D408">
            <v>15180261799</v>
          </cell>
          <cell r="E408">
            <v>0</v>
          </cell>
          <cell r="F408">
            <v>15180261799</v>
          </cell>
          <cell r="G408">
            <v>0</v>
          </cell>
          <cell r="H408">
            <v>0</v>
          </cell>
        </row>
        <row r="409">
          <cell r="B409">
            <v>7353130105131</v>
          </cell>
          <cell r="D409">
            <v>1763828892</v>
          </cell>
          <cell r="E409">
            <v>0</v>
          </cell>
          <cell r="F409">
            <v>1763828892</v>
          </cell>
          <cell r="G409">
            <v>0</v>
          </cell>
          <cell r="H409">
            <v>0</v>
          </cell>
        </row>
        <row r="410">
          <cell r="B410">
            <v>7353130105132</v>
          </cell>
          <cell r="D410">
            <v>1940758035</v>
          </cell>
          <cell r="E410">
            <v>0</v>
          </cell>
          <cell r="F410">
            <v>1940758035</v>
          </cell>
          <cell r="G410">
            <v>0</v>
          </cell>
          <cell r="H410">
            <v>0</v>
          </cell>
        </row>
        <row r="411">
          <cell r="B411">
            <v>7353130105133</v>
          </cell>
          <cell r="D411">
            <v>1845637475</v>
          </cell>
          <cell r="E411">
            <v>0</v>
          </cell>
          <cell r="F411">
            <v>1845637475</v>
          </cell>
          <cell r="G411">
            <v>0</v>
          </cell>
          <cell r="H411">
            <v>0</v>
          </cell>
        </row>
        <row r="412">
          <cell r="B412">
            <v>7353130105134</v>
          </cell>
          <cell r="D412">
            <v>1142065000</v>
          </cell>
          <cell r="E412">
            <v>0</v>
          </cell>
          <cell r="F412">
            <v>1142065000</v>
          </cell>
          <cell r="G412">
            <v>0</v>
          </cell>
          <cell r="H412">
            <v>0</v>
          </cell>
        </row>
        <row r="413">
          <cell r="B413">
            <v>7353130105136</v>
          </cell>
          <cell r="D413">
            <v>146223088</v>
          </cell>
          <cell r="E413">
            <v>0</v>
          </cell>
          <cell r="F413">
            <v>146223088</v>
          </cell>
          <cell r="G413">
            <v>0</v>
          </cell>
          <cell r="H413">
            <v>0</v>
          </cell>
        </row>
        <row r="414">
          <cell r="B414">
            <v>7353130105240</v>
          </cell>
          <cell r="D414">
            <v>3958254103</v>
          </cell>
          <cell r="E414">
            <v>0</v>
          </cell>
          <cell r="F414">
            <v>3958254103</v>
          </cell>
          <cell r="G414">
            <v>0</v>
          </cell>
          <cell r="H414">
            <v>0</v>
          </cell>
        </row>
        <row r="415">
          <cell r="B415">
            <v>7353130105251</v>
          </cell>
          <cell r="D415">
            <v>133366000</v>
          </cell>
          <cell r="E415">
            <v>0</v>
          </cell>
          <cell r="F415">
            <v>133366000</v>
          </cell>
          <cell r="G415">
            <v>0</v>
          </cell>
          <cell r="H415">
            <v>0</v>
          </cell>
        </row>
        <row r="416">
          <cell r="B416">
            <v>7353130105300</v>
          </cell>
          <cell r="D416">
            <v>1244609000</v>
          </cell>
          <cell r="E416">
            <v>0</v>
          </cell>
          <cell r="F416">
            <v>1244609000</v>
          </cell>
          <cell r="G416">
            <v>0</v>
          </cell>
          <cell r="H416">
            <v>0</v>
          </cell>
        </row>
        <row r="417">
          <cell r="B417">
            <v>7353130105340</v>
          </cell>
          <cell r="D417">
            <v>90000000</v>
          </cell>
          <cell r="E417">
            <v>0</v>
          </cell>
          <cell r="F417">
            <v>90000000</v>
          </cell>
          <cell r="G417">
            <v>0</v>
          </cell>
          <cell r="H417">
            <v>0</v>
          </cell>
        </row>
        <row r="418">
          <cell r="B418">
            <v>7353190105300</v>
          </cell>
          <cell r="D418">
            <v>1758240000</v>
          </cell>
          <cell r="E418">
            <v>0</v>
          </cell>
          <cell r="F418">
            <v>1758240000</v>
          </cell>
          <cell r="G418">
            <v>0</v>
          </cell>
          <cell r="H418">
            <v>0</v>
          </cell>
        </row>
        <row r="419">
          <cell r="B419">
            <v>7353410105131</v>
          </cell>
          <cell r="D419">
            <v>15000000</v>
          </cell>
          <cell r="E419">
            <v>0</v>
          </cell>
          <cell r="F419">
            <v>15000000</v>
          </cell>
          <cell r="G419">
            <v>0</v>
          </cell>
          <cell r="H419">
            <v>0</v>
          </cell>
        </row>
        <row r="420">
          <cell r="B420">
            <v>7353410105300</v>
          </cell>
          <cell r="D420">
            <v>4723287750</v>
          </cell>
          <cell r="E420">
            <v>0</v>
          </cell>
          <cell r="F420">
            <v>4723287750</v>
          </cell>
          <cell r="G420">
            <v>0</v>
          </cell>
          <cell r="H420">
            <v>0</v>
          </cell>
        </row>
        <row r="421">
          <cell r="B421">
            <v>7354420105135</v>
          </cell>
          <cell r="D421">
            <v>8756301807</v>
          </cell>
          <cell r="E421">
            <v>0</v>
          </cell>
          <cell r="F421">
            <v>8756301807</v>
          </cell>
          <cell r="G421">
            <v>0</v>
          </cell>
          <cell r="H421">
            <v>0</v>
          </cell>
        </row>
        <row r="422">
          <cell r="B422">
            <v>7356220105120</v>
          </cell>
          <cell r="D422">
            <v>282181194</v>
          </cell>
          <cell r="E422">
            <v>0</v>
          </cell>
          <cell r="F422">
            <v>282181194</v>
          </cell>
          <cell r="G422">
            <v>0</v>
          </cell>
          <cell r="H422">
            <v>0</v>
          </cell>
        </row>
        <row r="423">
          <cell r="B423">
            <v>7356220105260</v>
          </cell>
          <cell r="D423">
            <v>172774482</v>
          </cell>
          <cell r="E423">
            <v>0</v>
          </cell>
          <cell r="F423">
            <v>172774482</v>
          </cell>
          <cell r="G423">
            <v>0</v>
          </cell>
          <cell r="H423">
            <v>0</v>
          </cell>
        </row>
        <row r="424">
          <cell r="B424">
            <v>7356220105320</v>
          </cell>
          <cell r="D424">
            <v>5490228</v>
          </cell>
          <cell r="E424">
            <v>0</v>
          </cell>
          <cell r="F424">
            <v>5490228</v>
          </cell>
          <cell r="G424">
            <v>0</v>
          </cell>
          <cell r="H424">
            <v>0</v>
          </cell>
        </row>
        <row r="425">
          <cell r="B425">
            <v>7356230105120</v>
          </cell>
          <cell r="D425">
            <v>173021330879</v>
          </cell>
          <cell r="E425">
            <v>0</v>
          </cell>
          <cell r="F425">
            <v>173021330879</v>
          </cell>
          <cell r="G425">
            <v>0</v>
          </cell>
          <cell r="H425">
            <v>0</v>
          </cell>
        </row>
        <row r="426">
          <cell r="B426">
            <v>7356230105131</v>
          </cell>
          <cell r="D426">
            <v>29441159</v>
          </cell>
          <cell r="E426">
            <v>0</v>
          </cell>
          <cell r="F426">
            <v>29441159</v>
          </cell>
          <cell r="G426">
            <v>0</v>
          </cell>
          <cell r="H426">
            <v>0</v>
          </cell>
        </row>
        <row r="427">
          <cell r="B427">
            <v>7356230105132</v>
          </cell>
          <cell r="D427">
            <v>3072577223</v>
          </cell>
          <cell r="E427">
            <v>0</v>
          </cell>
          <cell r="F427">
            <v>3072577223</v>
          </cell>
          <cell r="G427">
            <v>0</v>
          </cell>
          <cell r="H427">
            <v>0</v>
          </cell>
        </row>
        <row r="428">
          <cell r="B428">
            <v>7356230105133</v>
          </cell>
          <cell r="D428">
            <v>533133249</v>
          </cell>
          <cell r="E428">
            <v>0</v>
          </cell>
          <cell r="F428">
            <v>533133249</v>
          </cell>
          <cell r="G428">
            <v>0</v>
          </cell>
          <cell r="H428">
            <v>0</v>
          </cell>
        </row>
        <row r="429">
          <cell r="B429">
            <v>7356230105134</v>
          </cell>
          <cell r="D429">
            <v>1732213128</v>
          </cell>
          <cell r="E429">
            <v>0</v>
          </cell>
          <cell r="F429">
            <v>1732213128</v>
          </cell>
          <cell r="G429">
            <v>0</v>
          </cell>
          <cell r="H429">
            <v>0</v>
          </cell>
        </row>
        <row r="430">
          <cell r="B430">
            <v>7356230105135</v>
          </cell>
          <cell r="D430">
            <v>2008517287</v>
          </cell>
          <cell r="E430">
            <v>0</v>
          </cell>
          <cell r="F430">
            <v>2008517287</v>
          </cell>
          <cell r="G430">
            <v>0</v>
          </cell>
          <cell r="H430">
            <v>0</v>
          </cell>
        </row>
        <row r="431">
          <cell r="B431">
            <v>7356230105230</v>
          </cell>
          <cell r="D431">
            <v>609275655</v>
          </cell>
          <cell r="E431">
            <v>0</v>
          </cell>
          <cell r="F431">
            <v>609275655</v>
          </cell>
          <cell r="G431">
            <v>0</v>
          </cell>
          <cell r="H431">
            <v>0</v>
          </cell>
        </row>
        <row r="432">
          <cell r="B432">
            <v>7356230105340</v>
          </cell>
          <cell r="D432">
            <v>1817460776</v>
          </cell>
          <cell r="E432">
            <v>0</v>
          </cell>
          <cell r="F432">
            <v>1817460776</v>
          </cell>
          <cell r="G432">
            <v>0</v>
          </cell>
          <cell r="H432">
            <v>0</v>
          </cell>
        </row>
        <row r="433">
          <cell r="B433">
            <v>7356240105120</v>
          </cell>
          <cell r="D433">
            <v>37764134636</v>
          </cell>
          <cell r="E433">
            <v>0</v>
          </cell>
          <cell r="F433">
            <v>37764134636</v>
          </cell>
          <cell r="G433">
            <v>0</v>
          </cell>
          <cell r="H433">
            <v>0</v>
          </cell>
        </row>
        <row r="434">
          <cell r="B434">
            <v>7356240105133</v>
          </cell>
          <cell r="D434">
            <v>19093724</v>
          </cell>
          <cell r="E434">
            <v>0</v>
          </cell>
          <cell r="F434">
            <v>19093724</v>
          </cell>
          <cell r="G434">
            <v>0</v>
          </cell>
          <cell r="H434">
            <v>0</v>
          </cell>
        </row>
        <row r="435">
          <cell r="B435">
            <v>7356240105250</v>
          </cell>
          <cell r="D435">
            <v>183592244</v>
          </cell>
          <cell r="E435">
            <v>0</v>
          </cell>
          <cell r="F435">
            <v>183592244</v>
          </cell>
          <cell r="G435">
            <v>0</v>
          </cell>
          <cell r="H435">
            <v>0</v>
          </cell>
        </row>
        <row r="436">
          <cell r="B436">
            <v>7356240105260</v>
          </cell>
          <cell r="D436">
            <v>14556155</v>
          </cell>
          <cell r="E436">
            <v>0</v>
          </cell>
          <cell r="F436">
            <v>14556155</v>
          </cell>
          <cell r="G436">
            <v>0</v>
          </cell>
          <cell r="H436">
            <v>0</v>
          </cell>
        </row>
        <row r="437">
          <cell r="B437">
            <v>7356240105270</v>
          </cell>
          <cell r="D437">
            <v>27185696</v>
          </cell>
          <cell r="E437">
            <v>0</v>
          </cell>
          <cell r="F437">
            <v>27185696</v>
          </cell>
          <cell r="G437">
            <v>0</v>
          </cell>
          <cell r="H437">
            <v>0</v>
          </cell>
        </row>
        <row r="438">
          <cell r="B438">
            <v>7356240105320</v>
          </cell>
          <cell r="D438">
            <v>161896405</v>
          </cell>
          <cell r="E438">
            <v>0</v>
          </cell>
          <cell r="F438">
            <v>161896405</v>
          </cell>
          <cell r="G438">
            <v>0</v>
          </cell>
          <cell r="H438">
            <v>0</v>
          </cell>
        </row>
        <row r="439">
          <cell r="B439">
            <v>7356240105340</v>
          </cell>
          <cell r="D439">
            <v>38870551130</v>
          </cell>
          <cell r="E439">
            <v>0</v>
          </cell>
          <cell r="F439">
            <v>38870551130</v>
          </cell>
          <cell r="G439">
            <v>0</v>
          </cell>
          <cell r="H439">
            <v>0</v>
          </cell>
        </row>
        <row r="440">
          <cell r="B440">
            <v>7356250105120</v>
          </cell>
          <cell r="D440">
            <v>2037515435</v>
          </cell>
          <cell r="E440">
            <v>0</v>
          </cell>
          <cell r="F440">
            <v>2037515435</v>
          </cell>
          <cell r="G440">
            <v>0</v>
          </cell>
          <cell r="H440">
            <v>0</v>
          </cell>
        </row>
        <row r="441">
          <cell r="B441">
            <v>7356250105131</v>
          </cell>
          <cell r="D441">
            <v>568169</v>
          </cell>
          <cell r="E441">
            <v>0</v>
          </cell>
          <cell r="F441">
            <v>568169</v>
          </cell>
          <cell r="G441">
            <v>0</v>
          </cell>
          <cell r="H441">
            <v>0</v>
          </cell>
        </row>
        <row r="442">
          <cell r="B442">
            <v>7356250105132</v>
          </cell>
          <cell r="D442">
            <v>568169</v>
          </cell>
          <cell r="E442">
            <v>0</v>
          </cell>
          <cell r="F442">
            <v>568169</v>
          </cell>
          <cell r="G442">
            <v>0</v>
          </cell>
          <cell r="H442">
            <v>0</v>
          </cell>
        </row>
        <row r="443">
          <cell r="B443">
            <v>7356250105250</v>
          </cell>
          <cell r="D443">
            <v>52457222</v>
          </cell>
          <cell r="E443">
            <v>0</v>
          </cell>
          <cell r="F443">
            <v>52457222</v>
          </cell>
          <cell r="G443">
            <v>0</v>
          </cell>
          <cell r="H443">
            <v>0</v>
          </cell>
        </row>
        <row r="444">
          <cell r="B444">
            <v>7356250105260</v>
          </cell>
          <cell r="D444">
            <v>848595190</v>
          </cell>
          <cell r="E444">
            <v>0</v>
          </cell>
          <cell r="F444">
            <v>848595190</v>
          </cell>
          <cell r="G444">
            <v>0</v>
          </cell>
          <cell r="H444">
            <v>0</v>
          </cell>
        </row>
        <row r="445">
          <cell r="B445">
            <v>7356250105270</v>
          </cell>
          <cell r="D445">
            <v>18932069</v>
          </cell>
          <cell r="E445">
            <v>0</v>
          </cell>
          <cell r="F445">
            <v>18932069</v>
          </cell>
          <cell r="G445">
            <v>0</v>
          </cell>
          <cell r="H445">
            <v>0</v>
          </cell>
        </row>
        <row r="446">
          <cell r="B446">
            <v>7356250105320</v>
          </cell>
          <cell r="D446">
            <v>33900700</v>
          </cell>
          <cell r="E446">
            <v>0</v>
          </cell>
          <cell r="F446">
            <v>33900700</v>
          </cell>
          <cell r="G446">
            <v>0</v>
          </cell>
          <cell r="H446">
            <v>0</v>
          </cell>
        </row>
        <row r="447">
          <cell r="B447">
            <v>7356270105120</v>
          </cell>
          <cell r="D447">
            <v>21415932</v>
          </cell>
          <cell r="E447">
            <v>0</v>
          </cell>
          <cell r="F447">
            <v>21415932</v>
          </cell>
          <cell r="G447">
            <v>0</v>
          </cell>
          <cell r="H447">
            <v>0</v>
          </cell>
        </row>
        <row r="448">
          <cell r="B448">
            <v>7356270105230</v>
          </cell>
          <cell r="D448">
            <v>327024456</v>
          </cell>
          <cell r="E448">
            <v>0</v>
          </cell>
          <cell r="F448">
            <v>327024456</v>
          </cell>
          <cell r="G448">
            <v>0</v>
          </cell>
          <cell r="H448">
            <v>0</v>
          </cell>
        </row>
        <row r="449">
          <cell r="B449">
            <v>7356270105250</v>
          </cell>
          <cell r="D449">
            <v>13419689</v>
          </cell>
          <cell r="E449">
            <v>0</v>
          </cell>
          <cell r="F449">
            <v>13419689</v>
          </cell>
          <cell r="G449">
            <v>0</v>
          </cell>
          <cell r="H449">
            <v>0</v>
          </cell>
        </row>
        <row r="450">
          <cell r="B450">
            <v>7356270105260</v>
          </cell>
          <cell r="D450">
            <v>10128302</v>
          </cell>
          <cell r="E450">
            <v>0</v>
          </cell>
          <cell r="F450">
            <v>10128302</v>
          </cell>
          <cell r="G450">
            <v>0</v>
          </cell>
          <cell r="H450">
            <v>0</v>
          </cell>
        </row>
        <row r="451">
          <cell r="B451">
            <v>7356270105320</v>
          </cell>
          <cell r="D451">
            <v>2953413</v>
          </cell>
          <cell r="E451">
            <v>0</v>
          </cell>
          <cell r="F451">
            <v>2953413</v>
          </cell>
          <cell r="G451">
            <v>0</v>
          </cell>
          <cell r="H451">
            <v>0</v>
          </cell>
        </row>
        <row r="452">
          <cell r="B452">
            <v>736984010174</v>
          </cell>
          <cell r="D452">
            <v>0</v>
          </cell>
          <cell r="E452">
            <v>366843687702</v>
          </cell>
          <cell r="F452">
            <v>0</v>
          </cell>
          <cell r="G452">
            <v>366843687702</v>
          </cell>
          <cell r="H452">
            <v>0</v>
          </cell>
        </row>
        <row r="453">
          <cell r="B453">
            <v>7602012105020</v>
          </cell>
          <cell r="D453">
            <v>27180000000</v>
          </cell>
          <cell r="E453">
            <v>0</v>
          </cell>
          <cell r="F453">
            <v>27180000000</v>
          </cell>
          <cell r="G453">
            <v>0</v>
          </cell>
          <cell r="H453">
            <v>27180000000</v>
          </cell>
        </row>
        <row r="454">
          <cell r="B454">
            <v>7602012105021</v>
          </cell>
          <cell r="D454">
            <v>4050000000</v>
          </cell>
          <cell r="E454">
            <v>0</v>
          </cell>
          <cell r="F454">
            <v>4050000000</v>
          </cell>
          <cell r="G454">
            <v>0</v>
          </cell>
          <cell r="H454">
            <v>4050000000</v>
          </cell>
        </row>
        <row r="455">
          <cell r="B455">
            <v>7602012105030</v>
          </cell>
          <cell r="D455">
            <v>4200000000</v>
          </cell>
          <cell r="E455">
            <v>0</v>
          </cell>
          <cell r="F455">
            <v>4200000000</v>
          </cell>
          <cell r="G455">
            <v>0</v>
          </cell>
          <cell r="H455">
            <v>4200000000</v>
          </cell>
        </row>
        <row r="456">
          <cell r="B456">
            <v>7602040105020</v>
          </cell>
          <cell r="D456">
            <v>9060000000</v>
          </cell>
          <cell r="E456">
            <v>0</v>
          </cell>
          <cell r="F456">
            <v>9060000000</v>
          </cell>
          <cell r="G456">
            <v>0</v>
          </cell>
          <cell r="H456">
            <v>9060000000</v>
          </cell>
        </row>
        <row r="457">
          <cell r="B457">
            <v>7602040105021</v>
          </cell>
          <cell r="D457">
            <v>1350000000</v>
          </cell>
          <cell r="E457">
            <v>0</v>
          </cell>
          <cell r="F457">
            <v>1350000000</v>
          </cell>
          <cell r="G457">
            <v>0</v>
          </cell>
          <cell r="H457">
            <v>1350000000</v>
          </cell>
        </row>
        <row r="458">
          <cell r="B458">
            <v>7602040105030</v>
          </cell>
          <cell r="D458">
            <v>1399999999</v>
          </cell>
          <cell r="E458">
            <v>0</v>
          </cell>
          <cell r="F458">
            <v>1399999999</v>
          </cell>
          <cell r="G458">
            <v>0</v>
          </cell>
          <cell r="H458">
            <v>1399999998</v>
          </cell>
        </row>
        <row r="459">
          <cell r="B459">
            <v>7602190205020</v>
          </cell>
          <cell r="D459">
            <v>453566260</v>
          </cell>
          <cell r="E459">
            <v>0</v>
          </cell>
          <cell r="F459">
            <v>453566260</v>
          </cell>
          <cell r="G459">
            <v>0</v>
          </cell>
          <cell r="H459">
            <v>0</v>
          </cell>
        </row>
        <row r="460">
          <cell r="B460">
            <v>7602190205030</v>
          </cell>
          <cell r="D460">
            <v>1274351648</v>
          </cell>
          <cell r="E460">
            <v>0</v>
          </cell>
          <cell r="F460">
            <v>1274351648</v>
          </cell>
          <cell r="G460">
            <v>0</v>
          </cell>
          <cell r="H460">
            <v>0</v>
          </cell>
        </row>
        <row r="461">
          <cell r="B461">
            <v>7602192205020</v>
          </cell>
          <cell r="D461">
            <v>115889731</v>
          </cell>
          <cell r="E461">
            <v>0</v>
          </cell>
          <cell r="F461">
            <v>115889731</v>
          </cell>
          <cell r="G461">
            <v>0</v>
          </cell>
          <cell r="H461">
            <v>0</v>
          </cell>
        </row>
        <row r="462">
          <cell r="B462">
            <v>7602210205020</v>
          </cell>
          <cell r="D462">
            <v>1075800558</v>
          </cell>
          <cell r="E462">
            <v>0</v>
          </cell>
          <cell r="F462">
            <v>1075800558</v>
          </cell>
          <cell r="G462">
            <v>0</v>
          </cell>
          <cell r="H462">
            <v>1140480000</v>
          </cell>
        </row>
        <row r="463">
          <cell r="B463">
            <v>7602210205021</v>
          </cell>
          <cell r="D463">
            <v>175461050</v>
          </cell>
          <cell r="E463">
            <v>0</v>
          </cell>
          <cell r="F463">
            <v>175461050</v>
          </cell>
          <cell r="G463">
            <v>0</v>
          </cell>
          <cell r="H463">
            <v>190080000</v>
          </cell>
        </row>
        <row r="464">
          <cell r="B464">
            <v>7602210205030</v>
          </cell>
          <cell r="D464">
            <v>175461050</v>
          </cell>
          <cell r="E464">
            <v>0</v>
          </cell>
          <cell r="F464">
            <v>175461050</v>
          </cell>
          <cell r="G464">
            <v>0</v>
          </cell>
          <cell r="H464">
            <v>190080000</v>
          </cell>
        </row>
        <row r="465">
          <cell r="B465">
            <v>7602240205020</v>
          </cell>
          <cell r="D465">
            <v>815400000</v>
          </cell>
          <cell r="E465">
            <v>0</v>
          </cell>
          <cell r="F465">
            <v>815400000</v>
          </cell>
          <cell r="G465">
            <v>0</v>
          </cell>
          <cell r="H465">
            <v>815400000</v>
          </cell>
        </row>
        <row r="466">
          <cell r="B466">
            <v>7602240205021</v>
          </cell>
          <cell r="D466">
            <v>121500000</v>
          </cell>
          <cell r="E466">
            <v>0</v>
          </cell>
          <cell r="F466">
            <v>121500000</v>
          </cell>
          <cell r="G466">
            <v>0</v>
          </cell>
          <cell r="H466">
            <v>121500000</v>
          </cell>
        </row>
        <row r="467">
          <cell r="B467">
            <v>7602240205030</v>
          </cell>
          <cell r="D467">
            <v>126000000</v>
          </cell>
          <cell r="E467">
            <v>0</v>
          </cell>
          <cell r="F467">
            <v>126000000</v>
          </cell>
          <cell r="G467">
            <v>0</v>
          </cell>
          <cell r="H467">
            <v>126000000</v>
          </cell>
        </row>
        <row r="468">
          <cell r="B468">
            <v>7602310105020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90000000</v>
          </cell>
        </row>
        <row r="469">
          <cell r="B469">
            <v>7602310105021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15000000</v>
          </cell>
        </row>
        <row r="470">
          <cell r="B470">
            <v>7602310105030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15000000</v>
          </cell>
        </row>
        <row r="471">
          <cell r="B471">
            <v>7602320105020</v>
          </cell>
          <cell r="D471">
            <v>385589647</v>
          </cell>
          <cell r="E471">
            <v>0</v>
          </cell>
          <cell r="F471">
            <v>385589647</v>
          </cell>
          <cell r="G471">
            <v>0</v>
          </cell>
          <cell r="H471">
            <v>936000000</v>
          </cell>
        </row>
        <row r="472">
          <cell r="B472">
            <v>7602320105030</v>
          </cell>
          <cell r="D472">
            <v>112420687</v>
          </cell>
          <cell r="E472">
            <v>0</v>
          </cell>
          <cell r="F472">
            <v>112420687</v>
          </cell>
          <cell r="G472">
            <v>0</v>
          </cell>
          <cell r="H472">
            <v>156000000</v>
          </cell>
        </row>
        <row r="473">
          <cell r="B473">
            <v>7602350105020</v>
          </cell>
          <cell r="D473">
            <v>542074770</v>
          </cell>
          <cell r="E473">
            <v>22776000</v>
          </cell>
          <cell r="F473">
            <v>519298770</v>
          </cell>
          <cell r="G473">
            <v>0</v>
          </cell>
          <cell r="H473">
            <v>360000000</v>
          </cell>
        </row>
        <row r="474">
          <cell r="B474">
            <v>7602350105021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60000000</v>
          </cell>
        </row>
        <row r="475">
          <cell r="B475">
            <v>7602350105030</v>
          </cell>
          <cell r="D475">
            <v>42980360</v>
          </cell>
          <cell r="E475">
            <v>0</v>
          </cell>
          <cell r="F475">
            <v>42980360</v>
          </cell>
          <cell r="G475">
            <v>0</v>
          </cell>
          <cell r="H475">
            <v>60000000</v>
          </cell>
        </row>
        <row r="476">
          <cell r="B476">
            <v>7602360105020</v>
          </cell>
          <cell r="D476">
            <v>648498420</v>
          </cell>
          <cell r="E476">
            <v>0</v>
          </cell>
          <cell r="F476">
            <v>648498420</v>
          </cell>
          <cell r="G476">
            <v>0</v>
          </cell>
          <cell r="H476">
            <v>792000000</v>
          </cell>
        </row>
        <row r="477">
          <cell r="B477">
            <v>7602360105021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132000000</v>
          </cell>
        </row>
        <row r="478">
          <cell r="B478">
            <v>7602360105030</v>
          </cell>
          <cell r="D478">
            <v>97550587</v>
          </cell>
          <cell r="E478">
            <v>0</v>
          </cell>
          <cell r="F478">
            <v>97550587</v>
          </cell>
          <cell r="G478">
            <v>0</v>
          </cell>
          <cell r="H478">
            <v>132000000</v>
          </cell>
        </row>
        <row r="479">
          <cell r="B479">
            <v>7603160105020</v>
          </cell>
          <cell r="D479">
            <v>232336727</v>
          </cell>
          <cell r="E479">
            <v>0</v>
          </cell>
          <cell r="F479">
            <v>232336727</v>
          </cell>
          <cell r="G479">
            <v>0</v>
          </cell>
          <cell r="H479">
            <v>0</v>
          </cell>
        </row>
        <row r="480">
          <cell r="B480">
            <v>7603160105021</v>
          </cell>
          <cell r="D480">
            <v>175521739</v>
          </cell>
          <cell r="E480">
            <v>0</v>
          </cell>
          <cell r="F480">
            <v>175521739</v>
          </cell>
          <cell r="G480">
            <v>0</v>
          </cell>
          <cell r="H480">
            <v>0</v>
          </cell>
        </row>
        <row r="481">
          <cell r="B481">
            <v>7603190105020</v>
          </cell>
          <cell r="D481">
            <v>175824000</v>
          </cell>
          <cell r="E481">
            <v>0</v>
          </cell>
          <cell r="F481">
            <v>175824000</v>
          </cell>
          <cell r="G481">
            <v>0</v>
          </cell>
          <cell r="H481">
            <v>0</v>
          </cell>
        </row>
        <row r="482">
          <cell r="B482">
            <v>7603310105014</v>
          </cell>
          <cell r="D482">
            <v>76492997776</v>
          </cell>
          <cell r="E482">
            <v>501033952</v>
          </cell>
          <cell r="F482">
            <v>75991963824</v>
          </cell>
          <cell r="G482">
            <v>0</v>
          </cell>
          <cell r="H482">
            <v>0</v>
          </cell>
        </row>
        <row r="483">
          <cell r="B483">
            <v>7603310105060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>
            <v>7603310205014</v>
          </cell>
          <cell r="D484">
            <v>77300009773</v>
          </cell>
          <cell r="E484">
            <v>0</v>
          </cell>
          <cell r="F484">
            <v>77300009773</v>
          </cell>
          <cell r="G484">
            <v>0</v>
          </cell>
          <cell r="H484">
            <v>0</v>
          </cell>
        </row>
        <row r="485">
          <cell r="B485">
            <v>7603320105014</v>
          </cell>
          <cell r="D485">
            <v>9478560000</v>
          </cell>
          <cell r="E485">
            <v>0</v>
          </cell>
          <cell r="F485">
            <v>9478560000</v>
          </cell>
          <cell r="G485">
            <v>0</v>
          </cell>
          <cell r="H485">
            <v>0</v>
          </cell>
        </row>
        <row r="486">
          <cell r="B486">
            <v>7604010105020</v>
          </cell>
          <cell r="D486">
            <v>301270681</v>
          </cell>
          <cell r="E486">
            <v>0</v>
          </cell>
          <cell r="F486">
            <v>301270681</v>
          </cell>
          <cell r="G486">
            <v>0</v>
          </cell>
          <cell r="H486">
            <v>1143500000</v>
          </cell>
        </row>
        <row r="487">
          <cell r="B487">
            <v>7604010105021</v>
          </cell>
          <cell r="D487">
            <v>66042896</v>
          </cell>
          <cell r="E487">
            <v>0</v>
          </cell>
          <cell r="F487">
            <v>66042896</v>
          </cell>
          <cell r="G487">
            <v>0</v>
          </cell>
          <cell r="H487">
            <v>35900000</v>
          </cell>
        </row>
        <row r="488">
          <cell r="B488">
            <v>7604010105030</v>
          </cell>
          <cell r="D488">
            <v>84591303</v>
          </cell>
          <cell r="E488">
            <v>0</v>
          </cell>
          <cell r="F488">
            <v>84591303</v>
          </cell>
          <cell r="G488">
            <v>0</v>
          </cell>
          <cell r="H488">
            <v>17700000</v>
          </cell>
        </row>
        <row r="489">
          <cell r="B489">
            <v>7604020105014</v>
          </cell>
          <cell r="D489">
            <v>5478260</v>
          </cell>
          <cell r="E489">
            <v>0</v>
          </cell>
          <cell r="F489">
            <v>5478260</v>
          </cell>
          <cell r="G489">
            <v>0</v>
          </cell>
          <cell r="H489">
            <v>0</v>
          </cell>
        </row>
        <row r="490">
          <cell r="B490">
            <v>7604020105020</v>
          </cell>
          <cell r="D490">
            <v>1009995589</v>
          </cell>
          <cell r="E490">
            <v>0</v>
          </cell>
          <cell r="F490">
            <v>1009995589</v>
          </cell>
          <cell r="G490">
            <v>0</v>
          </cell>
          <cell r="H490">
            <v>764700000</v>
          </cell>
        </row>
        <row r="491">
          <cell r="B491">
            <v>7604020105021</v>
          </cell>
          <cell r="D491">
            <v>80869564</v>
          </cell>
          <cell r="E491">
            <v>0</v>
          </cell>
          <cell r="F491">
            <v>80869564</v>
          </cell>
          <cell r="G491">
            <v>0</v>
          </cell>
          <cell r="H491">
            <v>107200000</v>
          </cell>
        </row>
        <row r="492">
          <cell r="B492">
            <v>7604020105030</v>
          </cell>
          <cell r="D492">
            <v>115130434</v>
          </cell>
          <cell r="E492">
            <v>0</v>
          </cell>
          <cell r="F492">
            <v>115130434</v>
          </cell>
          <cell r="G492">
            <v>0</v>
          </cell>
          <cell r="H492">
            <v>142900000</v>
          </cell>
        </row>
        <row r="493">
          <cell r="B493">
            <v>7604020205020</v>
          </cell>
          <cell r="D493">
            <v>157758275</v>
          </cell>
          <cell r="E493">
            <v>0</v>
          </cell>
          <cell r="F493">
            <v>157758275</v>
          </cell>
          <cell r="G493">
            <v>0</v>
          </cell>
          <cell r="H493">
            <v>271600000</v>
          </cell>
        </row>
        <row r="494">
          <cell r="B494">
            <v>7604020205021</v>
          </cell>
          <cell r="D494">
            <v>29782609</v>
          </cell>
          <cell r="E494">
            <v>0</v>
          </cell>
          <cell r="F494">
            <v>29782609</v>
          </cell>
          <cell r="G494">
            <v>0</v>
          </cell>
          <cell r="H494">
            <v>107200000</v>
          </cell>
        </row>
        <row r="495">
          <cell r="B495">
            <v>7604030105020</v>
          </cell>
          <cell r="D495">
            <v>228395652</v>
          </cell>
          <cell r="E495">
            <v>0</v>
          </cell>
          <cell r="F495">
            <v>228395652</v>
          </cell>
          <cell r="G495">
            <v>0</v>
          </cell>
          <cell r="H495">
            <v>250200000</v>
          </cell>
        </row>
        <row r="496">
          <cell r="B496">
            <v>7604030105030</v>
          </cell>
          <cell r="D496">
            <v>525034403</v>
          </cell>
          <cell r="E496">
            <v>0</v>
          </cell>
          <cell r="F496">
            <v>525034403</v>
          </cell>
          <cell r="G496">
            <v>0</v>
          </cell>
          <cell r="H496">
            <v>0</v>
          </cell>
        </row>
        <row r="497">
          <cell r="B497">
            <v>7604110105020</v>
          </cell>
          <cell r="D497">
            <v>298956519</v>
          </cell>
          <cell r="E497">
            <v>0</v>
          </cell>
          <cell r="F497">
            <v>298956519</v>
          </cell>
          <cell r="G497">
            <v>0</v>
          </cell>
          <cell r="H497">
            <v>121500000</v>
          </cell>
        </row>
        <row r="498">
          <cell r="B498">
            <v>7604130105020</v>
          </cell>
          <cell r="D498">
            <v>1880434782</v>
          </cell>
          <cell r="E498">
            <v>0</v>
          </cell>
          <cell r="F498">
            <v>1880434782</v>
          </cell>
          <cell r="G498">
            <v>0</v>
          </cell>
          <cell r="H498">
            <v>1486500000</v>
          </cell>
        </row>
        <row r="499">
          <cell r="B499">
            <v>7604130105021</v>
          </cell>
          <cell r="D499">
            <v>498010449</v>
          </cell>
          <cell r="E499">
            <v>0</v>
          </cell>
          <cell r="F499">
            <v>498010449</v>
          </cell>
          <cell r="G499">
            <v>0</v>
          </cell>
          <cell r="H499">
            <v>428900000</v>
          </cell>
        </row>
        <row r="500">
          <cell r="B500">
            <v>7604130105030</v>
          </cell>
          <cell r="D500">
            <v>11695652</v>
          </cell>
          <cell r="E500">
            <v>0</v>
          </cell>
          <cell r="F500">
            <v>11695652</v>
          </cell>
          <cell r="G500">
            <v>0</v>
          </cell>
          <cell r="H500">
            <v>178700000</v>
          </cell>
        </row>
        <row r="501">
          <cell r="B501">
            <v>7604140105020</v>
          </cell>
          <cell r="D501">
            <v>133248104</v>
          </cell>
          <cell r="E501">
            <v>0</v>
          </cell>
          <cell r="F501">
            <v>133248104</v>
          </cell>
          <cell r="G501">
            <v>0</v>
          </cell>
          <cell r="H501">
            <v>271600000</v>
          </cell>
        </row>
        <row r="502">
          <cell r="B502">
            <v>7604140105021</v>
          </cell>
          <cell r="D502">
            <v>38046847</v>
          </cell>
          <cell r="E502">
            <v>0</v>
          </cell>
          <cell r="F502">
            <v>38046847</v>
          </cell>
          <cell r="G502">
            <v>0</v>
          </cell>
          <cell r="H502">
            <v>107200000</v>
          </cell>
        </row>
        <row r="503">
          <cell r="B503">
            <v>7604140105030</v>
          </cell>
          <cell r="D503">
            <v>204601238</v>
          </cell>
          <cell r="E503">
            <v>0</v>
          </cell>
          <cell r="F503">
            <v>204601238</v>
          </cell>
          <cell r="G503">
            <v>0</v>
          </cell>
          <cell r="H503">
            <v>89300000</v>
          </cell>
        </row>
        <row r="504">
          <cell r="B504">
            <v>7604280105020</v>
          </cell>
          <cell r="D504">
            <v>199713039</v>
          </cell>
          <cell r="E504">
            <v>0</v>
          </cell>
          <cell r="F504">
            <v>199713039</v>
          </cell>
          <cell r="G504">
            <v>0</v>
          </cell>
          <cell r="H504">
            <v>0</v>
          </cell>
        </row>
        <row r="505">
          <cell r="B505">
            <v>7604330205021</v>
          </cell>
          <cell r="D505">
            <v>13440000</v>
          </cell>
          <cell r="E505">
            <v>0</v>
          </cell>
          <cell r="F505">
            <v>13440000</v>
          </cell>
          <cell r="G505">
            <v>0</v>
          </cell>
          <cell r="H505">
            <v>0</v>
          </cell>
        </row>
        <row r="506">
          <cell r="B506">
            <v>7604410205021</v>
          </cell>
          <cell r="D506">
            <v>720000000</v>
          </cell>
          <cell r="E506">
            <v>0</v>
          </cell>
          <cell r="F506">
            <v>720000000</v>
          </cell>
          <cell r="G506">
            <v>0</v>
          </cell>
          <cell r="H506">
            <v>1679500000</v>
          </cell>
        </row>
        <row r="507">
          <cell r="B507">
            <v>7604510105020</v>
          </cell>
          <cell r="D507">
            <v>258755000</v>
          </cell>
          <cell r="E507">
            <v>0</v>
          </cell>
          <cell r="F507">
            <v>258755000</v>
          </cell>
          <cell r="G507">
            <v>0</v>
          </cell>
          <cell r="H507">
            <v>343000000</v>
          </cell>
        </row>
        <row r="508">
          <cell r="B508">
            <v>7604510105021</v>
          </cell>
          <cell r="D508">
            <v>53796528</v>
          </cell>
          <cell r="E508">
            <v>0</v>
          </cell>
          <cell r="F508">
            <v>53796528</v>
          </cell>
          <cell r="G508">
            <v>0</v>
          </cell>
          <cell r="H508">
            <v>71500000</v>
          </cell>
        </row>
        <row r="509">
          <cell r="B509">
            <v>7604510105030</v>
          </cell>
          <cell r="D509">
            <v>15490354</v>
          </cell>
          <cell r="E509">
            <v>0</v>
          </cell>
          <cell r="F509">
            <v>15490354</v>
          </cell>
          <cell r="G509">
            <v>0</v>
          </cell>
          <cell r="H509">
            <v>89300000</v>
          </cell>
        </row>
        <row r="510">
          <cell r="B510">
            <v>7604520105020</v>
          </cell>
          <cell r="D510">
            <v>11922043</v>
          </cell>
          <cell r="E510">
            <v>0</v>
          </cell>
          <cell r="F510">
            <v>11922043</v>
          </cell>
          <cell r="G510">
            <v>0</v>
          </cell>
          <cell r="H510">
            <v>42900000</v>
          </cell>
        </row>
        <row r="511">
          <cell r="B511">
            <v>7604540105020</v>
          </cell>
          <cell r="D511">
            <v>1140756526</v>
          </cell>
          <cell r="E511">
            <v>0</v>
          </cell>
          <cell r="F511">
            <v>1140756526</v>
          </cell>
          <cell r="G511">
            <v>0</v>
          </cell>
          <cell r="H511">
            <v>929100000</v>
          </cell>
        </row>
        <row r="512">
          <cell r="B512">
            <v>7604540105021</v>
          </cell>
          <cell r="D512">
            <v>512982609</v>
          </cell>
          <cell r="E512">
            <v>0</v>
          </cell>
          <cell r="F512">
            <v>512982609</v>
          </cell>
          <cell r="G512">
            <v>0</v>
          </cell>
          <cell r="H512">
            <v>428900000</v>
          </cell>
        </row>
        <row r="513">
          <cell r="B513">
            <v>7604540105030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35900000</v>
          </cell>
        </row>
        <row r="514">
          <cell r="B514">
            <v>7604610105020</v>
          </cell>
          <cell r="D514">
            <v>82999999</v>
          </cell>
          <cell r="E514">
            <v>0</v>
          </cell>
          <cell r="F514">
            <v>82999999</v>
          </cell>
          <cell r="G514">
            <v>0</v>
          </cell>
          <cell r="H514">
            <v>350200000</v>
          </cell>
        </row>
        <row r="515">
          <cell r="B515">
            <v>7604610105021</v>
          </cell>
          <cell r="D515">
            <v>12634783</v>
          </cell>
          <cell r="E515">
            <v>0</v>
          </cell>
          <cell r="F515">
            <v>12634783</v>
          </cell>
          <cell r="G515">
            <v>0</v>
          </cell>
          <cell r="H515">
            <v>0</v>
          </cell>
        </row>
        <row r="516">
          <cell r="B516">
            <v>7604610105030</v>
          </cell>
          <cell r="D516">
            <v>179045870</v>
          </cell>
          <cell r="E516">
            <v>0</v>
          </cell>
          <cell r="F516">
            <v>179045870</v>
          </cell>
          <cell r="G516">
            <v>0</v>
          </cell>
          <cell r="H516">
            <v>178700000</v>
          </cell>
        </row>
        <row r="517">
          <cell r="B517">
            <v>7604690101350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</row>
        <row r="518">
          <cell r="B518">
            <v>7604690105014</v>
          </cell>
          <cell r="D518">
            <v>67810000</v>
          </cell>
          <cell r="E518">
            <v>0</v>
          </cell>
          <cell r="F518">
            <v>67810000</v>
          </cell>
          <cell r="G518">
            <v>0</v>
          </cell>
          <cell r="H518">
            <v>0</v>
          </cell>
        </row>
        <row r="519">
          <cell r="B519">
            <v>7604690105030</v>
          </cell>
          <cell r="D519">
            <v>30058391373</v>
          </cell>
          <cell r="E519">
            <v>0</v>
          </cell>
          <cell r="F519">
            <v>30058391373</v>
          </cell>
          <cell r="G519">
            <v>0</v>
          </cell>
          <cell r="H519">
            <v>178700000</v>
          </cell>
        </row>
        <row r="520">
          <cell r="B520">
            <v>7604990205020</v>
          </cell>
          <cell r="D520">
            <v>170760340</v>
          </cell>
          <cell r="E520">
            <v>0</v>
          </cell>
          <cell r="F520">
            <v>170760340</v>
          </cell>
          <cell r="G520">
            <v>0</v>
          </cell>
          <cell r="H520">
            <v>307400000</v>
          </cell>
        </row>
        <row r="521">
          <cell r="B521">
            <v>7604990205021</v>
          </cell>
          <cell r="D521">
            <v>166725171</v>
          </cell>
          <cell r="E521">
            <v>0</v>
          </cell>
          <cell r="F521">
            <v>166725171</v>
          </cell>
          <cell r="G521">
            <v>0</v>
          </cell>
          <cell r="H521">
            <v>156000000</v>
          </cell>
        </row>
        <row r="522">
          <cell r="B522">
            <v>7604999905020</v>
          </cell>
          <cell r="D522">
            <v>579074610</v>
          </cell>
          <cell r="E522">
            <v>0</v>
          </cell>
          <cell r="F522">
            <v>579074610</v>
          </cell>
          <cell r="G522">
            <v>0</v>
          </cell>
          <cell r="H522">
            <v>343000000</v>
          </cell>
        </row>
        <row r="523">
          <cell r="B523">
            <v>7604999905021</v>
          </cell>
          <cell r="D523">
            <v>225366170</v>
          </cell>
          <cell r="E523">
            <v>0</v>
          </cell>
          <cell r="F523">
            <v>225366170</v>
          </cell>
          <cell r="G523">
            <v>0</v>
          </cell>
          <cell r="H523">
            <v>17700000</v>
          </cell>
        </row>
        <row r="524">
          <cell r="B524">
            <v>7605470105020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25100000</v>
          </cell>
        </row>
        <row r="525">
          <cell r="B525">
            <v>7605470105030</v>
          </cell>
          <cell r="D525">
            <v>73974000</v>
          </cell>
          <cell r="E525">
            <v>0</v>
          </cell>
          <cell r="F525">
            <v>73974000</v>
          </cell>
          <cell r="G525">
            <v>0</v>
          </cell>
          <cell r="H525">
            <v>0</v>
          </cell>
        </row>
        <row r="526">
          <cell r="B526">
            <v>761993010174</v>
          </cell>
          <cell r="D526">
            <v>0</v>
          </cell>
          <cell r="E526">
            <v>256946966502</v>
          </cell>
          <cell r="F526">
            <v>0</v>
          </cell>
          <cell r="G526">
            <v>256946966502</v>
          </cell>
          <cell r="H526">
            <v>0</v>
          </cell>
        </row>
        <row r="527">
          <cell r="B527">
            <v>7702012105000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</row>
        <row r="528">
          <cell r="B528">
            <v>7702012105010</v>
          </cell>
          <cell r="D528">
            <v>13470000000</v>
          </cell>
          <cell r="E528">
            <v>0</v>
          </cell>
          <cell r="F528">
            <v>13470000000</v>
          </cell>
          <cell r="G528">
            <v>0</v>
          </cell>
          <cell r="H528">
            <v>13470000000</v>
          </cell>
        </row>
        <row r="529">
          <cell r="B529">
            <v>7702012105011</v>
          </cell>
          <cell r="D529">
            <v>6120000000</v>
          </cell>
          <cell r="E529">
            <v>0</v>
          </cell>
          <cell r="F529">
            <v>6120000000</v>
          </cell>
          <cell r="G529">
            <v>0</v>
          </cell>
          <cell r="H529">
            <v>6120000000</v>
          </cell>
        </row>
        <row r="530">
          <cell r="B530">
            <v>7702012105012</v>
          </cell>
          <cell r="D530">
            <v>3060000000</v>
          </cell>
          <cell r="E530">
            <v>0</v>
          </cell>
          <cell r="F530">
            <v>3060000000</v>
          </cell>
          <cell r="G530">
            <v>0</v>
          </cell>
          <cell r="H530">
            <v>3060000000</v>
          </cell>
        </row>
        <row r="531">
          <cell r="B531">
            <v>7702012105013</v>
          </cell>
          <cell r="D531">
            <v>4260000000</v>
          </cell>
          <cell r="E531">
            <v>0</v>
          </cell>
          <cell r="F531">
            <v>4260000000</v>
          </cell>
          <cell r="G531">
            <v>0</v>
          </cell>
          <cell r="H531">
            <v>4260000000</v>
          </cell>
        </row>
        <row r="532">
          <cell r="B532">
            <v>7702012105014</v>
          </cell>
          <cell r="D532">
            <v>3600000000</v>
          </cell>
          <cell r="E532">
            <v>0</v>
          </cell>
          <cell r="F532">
            <v>3600000000</v>
          </cell>
          <cell r="G532">
            <v>0</v>
          </cell>
          <cell r="H532">
            <v>3600000000</v>
          </cell>
        </row>
        <row r="533">
          <cell r="B533">
            <v>7702012105015</v>
          </cell>
          <cell r="D533">
            <v>4980000000</v>
          </cell>
          <cell r="E533">
            <v>0</v>
          </cell>
          <cell r="F533">
            <v>4980000000</v>
          </cell>
          <cell r="G533">
            <v>0</v>
          </cell>
          <cell r="H533">
            <v>4980000000</v>
          </cell>
        </row>
        <row r="534">
          <cell r="B534">
            <v>7702012105030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>
            <v>7702012105032</v>
          </cell>
          <cell r="D535">
            <v>1830000000</v>
          </cell>
          <cell r="E535">
            <v>0</v>
          </cell>
          <cell r="F535">
            <v>1830000000</v>
          </cell>
          <cell r="G535">
            <v>0</v>
          </cell>
          <cell r="H535">
            <v>1830000000</v>
          </cell>
        </row>
        <row r="536">
          <cell r="B536">
            <v>7702012105050</v>
          </cell>
          <cell r="D536">
            <v>14490000000</v>
          </cell>
          <cell r="E536">
            <v>0</v>
          </cell>
          <cell r="F536">
            <v>14490000000</v>
          </cell>
          <cell r="G536">
            <v>0</v>
          </cell>
          <cell r="H536">
            <v>14490000000</v>
          </cell>
        </row>
        <row r="537">
          <cell r="B537">
            <v>7702020205010</v>
          </cell>
          <cell r="D537">
            <v>76000000</v>
          </cell>
          <cell r="E537">
            <v>0</v>
          </cell>
          <cell r="F537">
            <v>76000000</v>
          </cell>
          <cell r="G537">
            <v>0</v>
          </cell>
          <cell r="H537">
            <v>0</v>
          </cell>
        </row>
        <row r="538">
          <cell r="B538">
            <v>7702040105010</v>
          </cell>
          <cell r="D538">
            <v>4490000000</v>
          </cell>
          <cell r="E538">
            <v>0</v>
          </cell>
          <cell r="F538">
            <v>4490000000</v>
          </cell>
          <cell r="G538">
            <v>0</v>
          </cell>
          <cell r="H538">
            <v>4489999998</v>
          </cell>
        </row>
        <row r="539">
          <cell r="B539">
            <v>7702040105011</v>
          </cell>
          <cell r="D539">
            <v>2040000000</v>
          </cell>
          <cell r="E539">
            <v>0</v>
          </cell>
          <cell r="F539">
            <v>2040000000</v>
          </cell>
          <cell r="G539">
            <v>0</v>
          </cell>
          <cell r="H539">
            <v>2040000000</v>
          </cell>
        </row>
        <row r="540">
          <cell r="B540">
            <v>7702040105012</v>
          </cell>
          <cell r="D540">
            <v>1020000000</v>
          </cell>
          <cell r="E540">
            <v>0</v>
          </cell>
          <cell r="F540">
            <v>1020000000</v>
          </cell>
          <cell r="G540">
            <v>0</v>
          </cell>
          <cell r="H540">
            <v>1020000000</v>
          </cell>
        </row>
        <row r="541">
          <cell r="B541">
            <v>7702040105013</v>
          </cell>
          <cell r="D541">
            <v>1420000001</v>
          </cell>
          <cell r="E541">
            <v>1</v>
          </cell>
          <cell r="F541">
            <v>1420000000</v>
          </cell>
          <cell r="G541">
            <v>0</v>
          </cell>
          <cell r="H541">
            <v>1419999996</v>
          </cell>
        </row>
        <row r="542">
          <cell r="B542">
            <v>7702040105014</v>
          </cell>
          <cell r="D542">
            <v>1200000000</v>
          </cell>
          <cell r="E542">
            <v>0</v>
          </cell>
          <cell r="F542">
            <v>1200000000</v>
          </cell>
          <cell r="G542">
            <v>0</v>
          </cell>
          <cell r="H542">
            <v>1200000000</v>
          </cell>
        </row>
        <row r="543">
          <cell r="B543">
            <v>7702040105015</v>
          </cell>
          <cell r="D543">
            <v>1660000001</v>
          </cell>
          <cell r="E543">
            <v>1</v>
          </cell>
          <cell r="F543">
            <v>1660000000</v>
          </cell>
          <cell r="G543">
            <v>0</v>
          </cell>
          <cell r="H543">
            <v>1659999996</v>
          </cell>
        </row>
        <row r="544">
          <cell r="B544">
            <v>7702040105020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>
            <v>7702040105032</v>
          </cell>
          <cell r="D545">
            <v>610000001</v>
          </cell>
          <cell r="E545">
            <v>0</v>
          </cell>
          <cell r="F545">
            <v>610000001</v>
          </cell>
          <cell r="G545">
            <v>0</v>
          </cell>
          <cell r="H545">
            <v>609999996</v>
          </cell>
        </row>
        <row r="546">
          <cell r="B546">
            <v>7702040105050</v>
          </cell>
          <cell r="D546">
            <v>4830000000</v>
          </cell>
          <cell r="E546">
            <v>0</v>
          </cell>
          <cell r="F546">
            <v>4830000000</v>
          </cell>
          <cell r="G546">
            <v>0</v>
          </cell>
          <cell r="H546">
            <v>4830000000</v>
          </cell>
        </row>
        <row r="547">
          <cell r="B547">
            <v>7702050105120</v>
          </cell>
          <cell r="D547">
            <v>304118214</v>
          </cell>
          <cell r="E547">
            <v>0</v>
          </cell>
          <cell r="F547">
            <v>304118214</v>
          </cell>
          <cell r="G547">
            <v>0</v>
          </cell>
          <cell r="H547">
            <v>385572582</v>
          </cell>
        </row>
        <row r="548">
          <cell r="B548">
            <v>7702050105131</v>
          </cell>
          <cell r="D548">
            <v>252354378</v>
          </cell>
          <cell r="E548">
            <v>0</v>
          </cell>
          <cell r="F548">
            <v>252354378</v>
          </cell>
          <cell r="G548">
            <v>0</v>
          </cell>
          <cell r="H548">
            <v>317530224</v>
          </cell>
        </row>
        <row r="549">
          <cell r="B549">
            <v>7702050105132</v>
          </cell>
          <cell r="D549">
            <v>67294464</v>
          </cell>
          <cell r="E549">
            <v>0</v>
          </cell>
          <cell r="F549">
            <v>67294464</v>
          </cell>
          <cell r="G549">
            <v>0</v>
          </cell>
          <cell r="H549">
            <v>90722880</v>
          </cell>
        </row>
        <row r="550">
          <cell r="B550">
            <v>7702050105133</v>
          </cell>
          <cell r="D550">
            <v>336472650</v>
          </cell>
          <cell r="E550">
            <v>0</v>
          </cell>
          <cell r="F550">
            <v>336472650</v>
          </cell>
          <cell r="G550">
            <v>0</v>
          </cell>
          <cell r="H550">
            <v>408253104</v>
          </cell>
        </row>
        <row r="551">
          <cell r="B551">
            <v>7702050105135</v>
          </cell>
          <cell r="D551">
            <v>75706427</v>
          </cell>
          <cell r="E551">
            <v>0</v>
          </cell>
          <cell r="F551">
            <v>75706427</v>
          </cell>
          <cell r="G551">
            <v>0</v>
          </cell>
          <cell r="H551">
            <v>78510312</v>
          </cell>
        </row>
        <row r="552">
          <cell r="B552">
            <v>7702050105230</v>
          </cell>
          <cell r="D552">
            <v>84118164</v>
          </cell>
          <cell r="E552">
            <v>0</v>
          </cell>
          <cell r="F552">
            <v>84118164</v>
          </cell>
          <cell r="G552">
            <v>0</v>
          </cell>
          <cell r="H552">
            <v>113403666</v>
          </cell>
        </row>
        <row r="553">
          <cell r="B553">
            <v>7702050105250</v>
          </cell>
          <cell r="D553">
            <v>92529786</v>
          </cell>
          <cell r="E553">
            <v>0</v>
          </cell>
          <cell r="F553">
            <v>92529786</v>
          </cell>
          <cell r="G553">
            <v>0</v>
          </cell>
          <cell r="H553">
            <v>124743930</v>
          </cell>
        </row>
        <row r="554">
          <cell r="B554">
            <v>7702050105251</v>
          </cell>
          <cell r="D554">
            <v>92529786</v>
          </cell>
          <cell r="E554">
            <v>0</v>
          </cell>
          <cell r="F554">
            <v>92529786</v>
          </cell>
          <cell r="G554">
            <v>0</v>
          </cell>
          <cell r="H554">
            <v>124743930</v>
          </cell>
        </row>
        <row r="555">
          <cell r="B555">
            <v>7702050105260</v>
          </cell>
          <cell r="D555">
            <v>159824592</v>
          </cell>
          <cell r="E555">
            <v>0</v>
          </cell>
          <cell r="F555">
            <v>159824592</v>
          </cell>
          <cell r="G555">
            <v>0</v>
          </cell>
          <cell r="H555">
            <v>215467080</v>
          </cell>
        </row>
        <row r="556">
          <cell r="B556">
            <v>7702050105290</v>
          </cell>
          <cell r="D556">
            <v>75706428</v>
          </cell>
          <cell r="E556">
            <v>0</v>
          </cell>
          <cell r="F556">
            <v>75706428</v>
          </cell>
          <cell r="G556">
            <v>0</v>
          </cell>
          <cell r="H556">
            <v>102063408</v>
          </cell>
        </row>
        <row r="557">
          <cell r="B557">
            <v>7702190205010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307400000</v>
          </cell>
        </row>
        <row r="558">
          <cell r="B558">
            <v>7702190205011</v>
          </cell>
          <cell r="D558">
            <v>196581702</v>
          </cell>
          <cell r="E558">
            <v>0</v>
          </cell>
          <cell r="F558">
            <v>196581702</v>
          </cell>
          <cell r="G558">
            <v>0</v>
          </cell>
          <cell r="H558">
            <v>185900000</v>
          </cell>
        </row>
        <row r="559">
          <cell r="B559">
            <v>7702190205012</v>
          </cell>
          <cell r="D559">
            <v>75225652</v>
          </cell>
          <cell r="E559">
            <v>0</v>
          </cell>
          <cell r="F559">
            <v>75225652</v>
          </cell>
          <cell r="G559">
            <v>0</v>
          </cell>
          <cell r="H559">
            <v>214400000</v>
          </cell>
        </row>
        <row r="560">
          <cell r="B560">
            <v>7702190205013</v>
          </cell>
          <cell r="D560">
            <v>91326354</v>
          </cell>
          <cell r="E560">
            <v>0</v>
          </cell>
          <cell r="F560">
            <v>91326354</v>
          </cell>
          <cell r="G560">
            <v>0</v>
          </cell>
          <cell r="H560">
            <v>92900000</v>
          </cell>
        </row>
        <row r="561">
          <cell r="B561">
            <v>7702190205014</v>
          </cell>
          <cell r="D561">
            <v>184453390</v>
          </cell>
          <cell r="E561">
            <v>0</v>
          </cell>
          <cell r="F561">
            <v>184453390</v>
          </cell>
          <cell r="G561">
            <v>0</v>
          </cell>
          <cell r="H561">
            <v>0</v>
          </cell>
        </row>
        <row r="562">
          <cell r="B562">
            <v>7702190205015</v>
          </cell>
          <cell r="D562">
            <v>33513582</v>
          </cell>
          <cell r="E562">
            <v>0</v>
          </cell>
          <cell r="F562">
            <v>33513582</v>
          </cell>
          <cell r="G562">
            <v>0</v>
          </cell>
          <cell r="H562">
            <v>64400000</v>
          </cell>
        </row>
        <row r="563">
          <cell r="B563">
            <v>7702190205032</v>
          </cell>
          <cell r="D563">
            <v>86917298</v>
          </cell>
          <cell r="E563">
            <v>0</v>
          </cell>
          <cell r="F563">
            <v>86917298</v>
          </cell>
          <cell r="G563">
            <v>0</v>
          </cell>
          <cell r="H563">
            <v>0</v>
          </cell>
        </row>
        <row r="564">
          <cell r="B564">
            <v>7702190205050</v>
          </cell>
          <cell r="D564">
            <v>315954411</v>
          </cell>
          <cell r="E564">
            <v>0</v>
          </cell>
          <cell r="F564">
            <v>315954411</v>
          </cell>
          <cell r="G564">
            <v>0</v>
          </cell>
          <cell r="H564">
            <v>225100000</v>
          </cell>
        </row>
        <row r="565">
          <cell r="B565">
            <v>7702192205014</v>
          </cell>
          <cell r="D565">
            <v>29164696</v>
          </cell>
          <cell r="E565">
            <v>0</v>
          </cell>
          <cell r="F565">
            <v>29164696</v>
          </cell>
          <cell r="G565">
            <v>0</v>
          </cell>
          <cell r="H565">
            <v>0</v>
          </cell>
        </row>
        <row r="566">
          <cell r="B566">
            <v>7702192305050</v>
          </cell>
          <cell r="D566">
            <v>75000</v>
          </cell>
          <cell r="E566">
            <v>0</v>
          </cell>
          <cell r="F566">
            <v>75000</v>
          </cell>
          <cell r="G566">
            <v>0</v>
          </cell>
          <cell r="H566">
            <v>0</v>
          </cell>
        </row>
        <row r="567">
          <cell r="B567">
            <v>7702210205010</v>
          </cell>
          <cell r="D567">
            <v>716465946</v>
          </cell>
          <cell r="E567">
            <v>0</v>
          </cell>
          <cell r="F567">
            <v>716465946</v>
          </cell>
          <cell r="G567">
            <v>0</v>
          </cell>
          <cell r="H567">
            <v>760320000</v>
          </cell>
        </row>
        <row r="568">
          <cell r="B568">
            <v>7702210205011</v>
          </cell>
          <cell r="D568">
            <v>359334612</v>
          </cell>
          <cell r="E568">
            <v>0</v>
          </cell>
          <cell r="F568">
            <v>359334612</v>
          </cell>
          <cell r="G568">
            <v>0</v>
          </cell>
          <cell r="H568">
            <v>380160000</v>
          </cell>
        </row>
        <row r="569">
          <cell r="B569">
            <v>7702210205012</v>
          </cell>
          <cell r="D569">
            <v>180268200</v>
          </cell>
          <cell r="E569">
            <v>0</v>
          </cell>
          <cell r="F569">
            <v>180268200</v>
          </cell>
          <cell r="G569">
            <v>0</v>
          </cell>
          <cell r="H569">
            <v>190080000</v>
          </cell>
        </row>
        <row r="570">
          <cell r="B570">
            <v>7702210205013</v>
          </cell>
          <cell r="D570">
            <v>180268200</v>
          </cell>
          <cell r="E570">
            <v>0</v>
          </cell>
          <cell r="F570">
            <v>180268200</v>
          </cell>
          <cell r="G570">
            <v>0</v>
          </cell>
          <cell r="H570">
            <v>190080000</v>
          </cell>
        </row>
        <row r="571">
          <cell r="B571">
            <v>7702210205014</v>
          </cell>
          <cell r="D571">
            <v>359735208</v>
          </cell>
          <cell r="E571">
            <v>0</v>
          </cell>
          <cell r="F571">
            <v>359735208</v>
          </cell>
          <cell r="G571">
            <v>0</v>
          </cell>
          <cell r="H571">
            <v>380160000</v>
          </cell>
        </row>
        <row r="572">
          <cell r="B572">
            <v>7702210205015</v>
          </cell>
          <cell r="D572">
            <v>359534910</v>
          </cell>
          <cell r="E572">
            <v>0</v>
          </cell>
          <cell r="F572">
            <v>359534910</v>
          </cell>
          <cell r="G572">
            <v>0</v>
          </cell>
          <cell r="H572">
            <v>380160000</v>
          </cell>
        </row>
        <row r="573">
          <cell r="B573">
            <v>7702210205020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>
            <v>7702210205032</v>
          </cell>
          <cell r="D574">
            <v>179647275</v>
          </cell>
          <cell r="E574">
            <v>0</v>
          </cell>
          <cell r="F574">
            <v>179647275</v>
          </cell>
          <cell r="G574">
            <v>0</v>
          </cell>
          <cell r="H574">
            <v>190080000</v>
          </cell>
        </row>
        <row r="575">
          <cell r="B575">
            <v>7702210205050</v>
          </cell>
          <cell r="D575">
            <v>896033103</v>
          </cell>
          <cell r="E575">
            <v>0</v>
          </cell>
          <cell r="F575">
            <v>896033103</v>
          </cell>
          <cell r="G575">
            <v>0</v>
          </cell>
          <cell r="H575">
            <v>950400000</v>
          </cell>
        </row>
        <row r="576">
          <cell r="B576">
            <v>7702240205010</v>
          </cell>
          <cell r="D576">
            <v>406380000</v>
          </cell>
          <cell r="E576">
            <v>0</v>
          </cell>
          <cell r="F576">
            <v>406380000</v>
          </cell>
          <cell r="G576">
            <v>0</v>
          </cell>
          <cell r="H576">
            <v>404100000</v>
          </cell>
        </row>
        <row r="577">
          <cell r="B577">
            <v>7702240205011</v>
          </cell>
          <cell r="D577">
            <v>183600000</v>
          </cell>
          <cell r="E577">
            <v>0</v>
          </cell>
          <cell r="F577">
            <v>183600000</v>
          </cell>
          <cell r="G577">
            <v>0</v>
          </cell>
          <cell r="H577">
            <v>183600000</v>
          </cell>
        </row>
        <row r="578">
          <cell r="B578">
            <v>7702240205012</v>
          </cell>
          <cell r="D578">
            <v>91800000</v>
          </cell>
          <cell r="E578">
            <v>0</v>
          </cell>
          <cell r="F578">
            <v>91800000</v>
          </cell>
          <cell r="G578">
            <v>0</v>
          </cell>
          <cell r="H578">
            <v>91800000</v>
          </cell>
        </row>
        <row r="579">
          <cell r="B579">
            <v>7702240205013</v>
          </cell>
          <cell r="D579">
            <v>127800000</v>
          </cell>
          <cell r="E579">
            <v>0</v>
          </cell>
          <cell r="F579">
            <v>127800000</v>
          </cell>
          <cell r="G579">
            <v>0</v>
          </cell>
          <cell r="H579">
            <v>127800000</v>
          </cell>
        </row>
        <row r="580">
          <cell r="B580">
            <v>7702240205014</v>
          </cell>
          <cell r="D580">
            <v>108000000</v>
          </cell>
          <cell r="E580">
            <v>0</v>
          </cell>
          <cell r="F580">
            <v>108000000</v>
          </cell>
          <cell r="G580">
            <v>0</v>
          </cell>
          <cell r="H580">
            <v>108000000</v>
          </cell>
        </row>
        <row r="581">
          <cell r="B581">
            <v>7702240205015</v>
          </cell>
          <cell r="D581">
            <v>149400000</v>
          </cell>
          <cell r="E581">
            <v>0</v>
          </cell>
          <cell r="F581">
            <v>149400000</v>
          </cell>
          <cell r="G581">
            <v>0</v>
          </cell>
          <cell r="H581">
            <v>149400000</v>
          </cell>
        </row>
        <row r="582">
          <cell r="B582">
            <v>7702240205020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>
            <v>7702240205032</v>
          </cell>
          <cell r="D583">
            <v>54900000</v>
          </cell>
          <cell r="E583">
            <v>0</v>
          </cell>
          <cell r="F583">
            <v>54900000</v>
          </cell>
          <cell r="G583">
            <v>0</v>
          </cell>
          <cell r="H583">
            <v>54900000</v>
          </cell>
        </row>
        <row r="584">
          <cell r="B584">
            <v>7702240205050</v>
          </cell>
          <cell r="D584">
            <v>434700000</v>
          </cell>
          <cell r="E584">
            <v>0</v>
          </cell>
          <cell r="F584">
            <v>434700000</v>
          </cell>
          <cell r="G584">
            <v>0</v>
          </cell>
          <cell r="H584">
            <v>434700000</v>
          </cell>
        </row>
        <row r="585">
          <cell r="B585">
            <v>7702310105010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60000000</v>
          </cell>
        </row>
        <row r="586">
          <cell r="B586">
            <v>7702310105011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30000000</v>
          </cell>
        </row>
        <row r="587">
          <cell r="B587">
            <v>7702310105012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15000000</v>
          </cell>
        </row>
        <row r="588">
          <cell r="B588">
            <v>7702310105013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15000000</v>
          </cell>
        </row>
        <row r="589">
          <cell r="B589">
            <v>7702310105014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30000000</v>
          </cell>
        </row>
        <row r="590">
          <cell r="B590">
            <v>7702310105015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30000000</v>
          </cell>
        </row>
        <row r="591">
          <cell r="B591">
            <v>7702310105032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15000000</v>
          </cell>
        </row>
        <row r="592">
          <cell r="B592">
            <v>7702310105050</v>
          </cell>
          <cell r="D592">
            <v>705216673</v>
          </cell>
          <cell r="E592">
            <v>0</v>
          </cell>
          <cell r="F592">
            <v>705216673</v>
          </cell>
          <cell r="G592">
            <v>0</v>
          </cell>
          <cell r="H592">
            <v>75000000</v>
          </cell>
        </row>
        <row r="593">
          <cell r="B593">
            <v>7702310105120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195000000</v>
          </cell>
        </row>
        <row r="594">
          <cell r="B594">
            <v>7702310105131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120000000</v>
          </cell>
        </row>
        <row r="595">
          <cell r="B595">
            <v>7702310105132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105000000</v>
          </cell>
        </row>
        <row r="596">
          <cell r="B596">
            <v>7702310105133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105000000</v>
          </cell>
        </row>
        <row r="597">
          <cell r="B597">
            <v>7702310105134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45000000</v>
          </cell>
        </row>
        <row r="598">
          <cell r="B598">
            <v>7702310105135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45000000</v>
          </cell>
        </row>
        <row r="599">
          <cell r="B599">
            <v>7702310105230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30000000</v>
          </cell>
        </row>
        <row r="600">
          <cell r="B600">
            <v>7702310105250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45000000</v>
          </cell>
        </row>
        <row r="601">
          <cell r="B601">
            <v>7702310105251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30000000</v>
          </cell>
        </row>
        <row r="602">
          <cell r="B602">
            <v>7702310105260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75000000</v>
          </cell>
        </row>
        <row r="603">
          <cell r="B603">
            <v>7702310105270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30000000</v>
          </cell>
        </row>
        <row r="604">
          <cell r="B604">
            <v>7702310105280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45000000</v>
          </cell>
        </row>
        <row r="605">
          <cell r="B605">
            <v>7702310105290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60000000</v>
          </cell>
        </row>
        <row r="606">
          <cell r="B606">
            <v>7702320105010</v>
          </cell>
          <cell r="D606">
            <v>257059765</v>
          </cell>
          <cell r="E606">
            <v>0</v>
          </cell>
          <cell r="F606">
            <v>257059765</v>
          </cell>
          <cell r="G606">
            <v>0</v>
          </cell>
          <cell r="H606">
            <v>624000000</v>
          </cell>
        </row>
        <row r="607">
          <cell r="B607">
            <v>7702320105011</v>
          </cell>
          <cell r="D607">
            <v>128529881</v>
          </cell>
          <cell r="E607">
            <v>0</v>
          </cell>
          <cell r="F607">
            <v>128529881</v>
          </cell>
          <cell r="G607">
            <v>0</v>
          </cell>
          <cell r="H607">
            <v>312000000</v>
          </cell>
        </row>
        <row r="608">
          <cell r="B608">
            <v>7702320105012</v>
          </cell>
          <cell r="D608">
            <v>64264941</v>
          </cell>
          <cell r="E608">
            <v>0</v>
          </cell>
          <cell r="F608">
            <v>64264941</v>
          </cell>
          <cell r="G608">
            <v>0</v>
          </cell>
          <cell r="H608">
            <v>156000000</v>
          </cell>
        </row>
        <row r="609">
          <cell r="B609">
            <v>7702320105013</v>
          </cell>
          <cell r="D609">
            <v>64264941</v>
          </cell>
          <cell r="E609">
            <v>0</v>
          </cell>
          <cell r="F609">
            <v>64264941</v>
          </cell>
          <cell r="G609">
            <v>0</v>
          </cell>
          <cell r="H609">
            <v>156000000</v>
          </cell>
        </row>
        <row r="610">
          <cell r="B610">
            <v>7702320105014</v>
          </cell>
          <cell r="D610">
            <v>128529881</v>
          </cell>
          <cell r="E610">
            <v>0</v>
          </cell>
          <cell r="F610">
            <v>128529881</v>
          </cell>
          <cell r="G610">
            <v>0</v>
          </cell>
          <cell r="H610">
            <v>312000000</v>
          </cell>
        </row>
        <row r="611">
          <cell r="B611">
            <v>7702320105015</v>
          </cell>
          <cell r="D611">
            <v>128529881</v>
          </cell>
          <cell r="E611">
            <v>0</v>
          </cell>
          <cell r="F611">
            <v>128529881</v>
          </cell>
          <cell r="G611">
            <v>0</v>
          </cell>
          <cell r="H611">
            <v>312000000</v>
          </cell>
        </row>
        <row r="612">
          <cell r="B612">
            <v>7702320105032</v>
          </cell>
          <cell r="D612">
            <v>101335703</v>
          </cell>
          <cell r="E612">
            <v>0</v>
          </cell>
          <cell r="F612">
            <v>101335703</v>
          </cell>
          <cell r="G612">
            <v>0</v>
          </cell>
          <cell r="H612">
            <v>156000000</v>
          </cell>
        </row>
        <row r="613">
          <cell r="B613">
            <v>7702320105050</v>
          </cell>
          <cell r="D613">
            <v>1380244706</v>
          </cell>
          <cell r="E613">
            <v>0</v>
          </cell>
          <cell r="F613">
            <v>1380244706</v>
          </cell>
          <cell r="G613">
            <v>0</v>
          </cell>
          <cell r="H613">
            <v>780000000</v>
          </cell>
        </row>
        <row r="614">
          <cell r="B614">
            <v>7702330105050</v>
          </cell>
          <cell r="D614">
            <v>112887889</v>
          </cell>
          <cell r="E614">
            <v>0</v>
          </cell>
          <cell r="F614">
            <v>112887889</v>
          </cell>
          <cell r="G614">
            <v>0</v>
          </cell>
          <cell r="H614">
            <v>0</v>
          </cell>
        </row>
        <row r="615">
          <cell r="B615">
            <v>7702350105010</v>
          </cell>
          <cell r="D615">
            <v>148039258</v>
          </cell>
          <cell r="E615">
            <v>0</v>
          </cell>
          <cell r="F615">
            <v>148039258</v>
          </cell>
          <cell r="G615">
            <v>0</v>
          </cell>
          <cell r="H615">
            <v>240000000</v>
          </cell>
        </row>
        <row r="616">
          <cell r="B616">
            <v>7702350105011</v>
          </cell>
          <cell r="D616">
            <v>59449200</v>
          </cell>
          <cell r="E616">
            <v>0</v>
          </cell>
          <cell r="F616">
            <v>59449200</v>
          </cell>
          <cell r="G616">
            <v>0</v>
          </cell>
          <cell r="H616">
            <v>120000000</v>
          </cell>
        </row>
        <row r="617">
          <cell r="B617">
            <v>7702350105012</v>
          </cell>
          <cell r="D617">
            <v>140535000</v>
          </cell>
          <cell r="E617">
            <v>0</v>
          </cell>
          <cell r="F617">
            <v>140535000</v>
          </cell>
          <cell r="G617">
            <v>0</v>
          </cell>
          <cell r="H617">
            <v>60000000</v>
          </cell>
        </row>
        <row r="618">
          <cell r="B618">
            <v>7702350105013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60000000</v>
          </cell>
        </row>
        <row r="619">
          <cell r="B619">
            <v>7702350105014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120000000</v>
          </cell>
        </row>
        <row r="620">
          <cell r="B620">
            <v>7702350105015</v>
          </cell>
          <cell r="D620">
            <v>140535000</v>
          </cell>
          <cell r="E620">
            <v>0</v>
          </cell>
          <cell r="F620">
            <v>140535000</v>
          </cell>
          <cell r="G620">
            <v>0</v>
          </cell>
          <cell r="H620">
            <v>120000000</v>
          </cell>
        </row>
        <row r="621">
          <cell r="B621">
            <v>7702350105032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60000000</v>
          </cell>
        </row>
        <row r="622">
          <cell r="B622">
            <v>7702350105050</v>
          </cell>
          <cell r="D622">
            <v>680146415</v>
          </cell>
          <cell r="E622">
            <v>22776000</v>
          </cell>
          <cell r="F622">
            <v>657370415</v>
          </cell>
          <cell r="G622">
            <v>0</v>
          </cell>
          <cell r="H622">
            <v>300000000</v>
          </cell>
        </row>
        <row r="623">
          <cell r="B623">
            <v>7702360105010</v>
          </cell>
          <cell r="D623">
            <v>432332280</v>
          </cell>
          <cell r="E623">
            <v>0</v>
          </cell>
          <cell r="F623">
            <v>432332280</v>
          </cell>
          <cell r="G623">
            <v>0</v>
          </cell>
          <cell r="H623">
            <v>528000000</v>
          </cell>
        </row>
        <row r="624">
          <cell r="B624">
            <v>7702360105011</v>
          </cell>
          <cell r="D624">
            <v>216166140</v>
          </cell>
          <cell r="E624">
            <v>0</v>
          </cell>
          <cell r="F624">
            <v>216166140</v>
          </cell>
          <cell r="G624">
            <v>0</v>
          </cell>
          <cell r="H624">
            <v>264000000</v>
          </cell>
        </row>
        <row r="625">
          <cell r="B625">
            <v>7702360105012</v>
          </cell>
          <cell r="D625">
            <v>108083070</v>
          </cell>
          <cell r="E625">
            <v>0</v>
          </cell>
          <cell r="F625">
            <v>108083070</v>
          </cell>
          <cell r="G625">
            <v>0</v>
          </cell>
          <cell r="H625">
            <v>132000000</v>
          </cell>
        </row>
        <row r="626">
          <cell r="B626">
            <v>7702360105013</v>
          </cell>
          <cell r="D626">
            <v>108083070</v>
          </cell>
          <cell r="E626">
            <v>0</v>
          </cell>
          <cell r="F626">
            <v>108083070</v>
          </cell>
          <cell r="G626">
            <v>0</v>
          </cell>
          <cell r="H626">
            <v>132000000</v>
          </cell>
        </row>
        <row r="627">
          <cell r="B627">
            <v>7702360105014</v>
          </cell>
          <cell r="D627">
            <v>216166140</v>
          </cell>
          <cell r="E627">
            <v>0</v>
          </cell>
          <cell r="F627">
            <v>216166140</v>
          </cell>
          <cell r="G627">
            <v>0</v>
          </cell>
          <cell r="H627">
            <v>264000000</v>
          </cell>
        </row>
        <row r="628">
          <cell r="B628">
            <v>7702360105015</v>
          </cell>
          <cell r="D628">
            <v>216166140</v>
          </cell>
          <cell r="E628">
            <v>0</v>
          </cell>
          <cell r="F628">
            <v>216166140</v>
          </cell>
          <cell r="G628">
            <v>0</v>
          </cell>
          <cell r="H628">
            <v>264000000</v>
          </cell>
        </row>
        <row r="629">
          <cell r="B629">
            <v>7702360105032</v>
          </cell>
          <cell r="D629">
            <v>206618296</v>
          </cell>
          <cell r="E629">
            <v>0</v>
          </cell>
          <cell r="F629">
            <v>206618296</v>
          </cell>
          <cell r="G629">
            <v>0</v>
          </cell>
          <cell r="H629">
            <v>132000000</v>
          </cell>
        </row>
        <row r="630">
          <cell r="B630">
            <v>7702360105050</v>
          </cell>
          <cell r="D630">
            <v>540415345</v>
          </cell>
          <cell r="E630">
            <v>0</v>
          </cell>
          <cell r="F630">
            <v>540415345</v>
          </cell>
          <cell r="G630">
            <v>0</v>
          </cell>
          <cell r="H630">
            <v>660000000</v>
          </cell>
        </row>
        <row r="631">
          <cell r="B631">
            <v>7702490105050</v>
          </cell>
          <cell r="D631">
            <v>522185000</v>
          </cell>
          <cell r="E631">
            <v>0</v>
          </cell>
          <cell r="F631">
            <v>522185000</v>
          </cell>
          <cell r="G631">
            <v>0</v>
          </cell>
          <cell r="H631">
            <v>0</v>
          </cell>
        </row>
        <row r="632">
          <cell r="B632">
            <v>7703040105050</v>
          </cell>
          <cell r="D632">
            <v>1513118764</v>
          </cell>
          <cell r="E632">
            <v>0</v>
          </cell>
          <cell r="F632">
            <v>1513118764</v>
          </cell>
          <cell r="G632">
            <v>0</v>
          </cell>
          <cell r="H632">
            <v>1250700000</v>
          </cell>
        </row>
        <row r="633">
          <cell r="B633">
            <v>7703110105050</v>
          </cell>
          <cell r="D633">
            <v>1345225868</v>
          </cell>
          <cell r="E633">
            <v>0</v>
          </cell>
          <cell r="F633">
            <v>1345225868</v>
          </cell>
          <cell r="G633">
            <v>0</v>
          </cell>
          <cell r="H633">
            <v>1300600000</v>
          </cell>
        </row>
        <row r="634">
          <cell r="B634">
            <v>7703120105050</v>
          </cell>
          <cell r="D634">
            <v>1184211068</v>
          </cell>
          <cell r="E634">
            <v>0</v>
          </cell>
          <cell r="F634">
            <v>1184211068</v>
          </cell>
          <cell r="G634">
            <v>0</v>
          </cell>
          <cell r="H634">
            <v>750400000</v>
          </cell>
        </row>
        <row r="635">
          <cell r="B635">
            <v>7703130105040</v>
          </cell>
          <cell r="D635">
            <v>122613409</v>
          </cell>
          <cell r="E635">
            <v>0</v>
          </cell>
          <cell r="F635">
            <v>122613409</v>
          </cell>
          <cell r="G635">
            <v>0</v>
          </cell>
          <cell r="H635">
            <v>0</v>
          </cell>
        </row>
        <row r="636">
          <cell r="B636">
            <v>7703130105050</v>
          </cell>
          <cell r="D636">
            <v>677470173</v>
          </cell>
          <cell r="E636">
            <v>0</v>
          </cell>
          <cell r="F636">
            <v>677470173</v>
          </cell>
          <cell r="G636">
            <v>0</v>
          </cell>
          <cell r="H636">
            <v>1064900000</v>
          </cell>
        </row>
        <row r="637">
          <cell r="B637">
            <v>7703160105050</v>
          </cell>
          <cell r="D637">
            <v>147455481</v>
          </cell>
          <cell r="E637">
            <v>0</v>
          </cell>
          <cell r="F637">
            <v>147455481</v>
          </cell>
          <cell r="G637">
            <v>0</v>
          </cell>
          <cell r="H637">
            <v>142900000</v>
          </cell>
        </row>
        <row r="638">
          <cell r="B638">
            <v>7703190105050</v>
          </cell>
          <cell r="D638">
            <v>1489710077</v>
          </cell>
          <cell r="E638">
            <v>0</v>
          </cell>
          <cell r="F638">
            <v>1489710077</v>
          </cell>
          <cell r="G638">
            <v>0</v>
          </cell>
          <cell r="H638">
            <v>0</v>
          </cell>
        </row>
        <row r="639">
          <cell r="B639">
            <v>7703210105050</v>
          </cell>
          <cell r="D639">
            <v>22340642039</v>
          </cell>
          <cell r="E639">
            <v>0</v>
          </cell>
          <cell r="F639">
            <v>22340642039</v>
          </cell>
          <cell r="G639">
            <v>0</v>
          </cell>
          <cell r="H639">
            <v>19469700000</v>
          </cell>
        </row>
        <row r="640">
          <cell r="B640">
            <v>7703230105010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107200000</v>
          </cell>
        </row>
        <row r="641">
          <cell r="B641">
            <v>7703230105012</v>
          </cell>
          <cell r="D641">
            <v>413600000</v>
          </cell>
          <cell r="E641">
            <v>0</v>
          </cell>
          <cell r="F641">
            <v>413600000</v>
          </cell>
          <cell r="G641">
            <v>0</v>
          </cell>
          <cell r="H641">
            <v>71500000</v>
          </cell>
        </row>
        <row r="642">
          <cell r="B642">
            <v>7703230205000</v>
          </cell>
          <cell r="D642">
            <v>630000000</v>
          </cell>
          <cell r="E642">
            <v>0</v>
          </cell>
          <cell r="F642">
            <v>630000000</v>
          </cell>
          <cell r="G642">
            <v>0</v>
          </cell>
          <cell r="H642">
            <v>0</v>
          </cell>
        </row>
        <row r="643">
          <cell r="B643">
            <v>7703230205010</v>
          </cell>
          <cell r="D643">
            <v>126000000</v>
          </cell>
          <cell r="E643">
            <v>0</v>
          </cell>
          <cell r="F643">
            <v>126000000</v>
          </cell>
          <cell r="G643">
            <v>0</v>
          </cell>
          <cell r="H643">
            <v>900000000</v>
          </cell>
        </row>
        <row r="644">
          <cell r="B644">
            <v>7704010105010</v>
          </cell>
          <cell r="D644">
            <v>156917391</v>
          </cell>
          <cell r="E644">
            <v>0</v>
          </cell>
          <cell r="F644">
            <v>156917391</v>
          </cell>
          <cell r="G644">
            <v>0</v>
          </cell>
          <cell r="H644">
            <v>71500000</v>
          </cell>
        </row>
        <row r="645">
          <cell r="B645">
            <v>7704010105011</v>
          </cell>
          <cell r="D645">
            <v>3000000</v>
          </cell>
          <cell r="E645">
            <v>0</v>
          </cell>
          <cell r="F645">
            <v>3000000</v>
          </cell>
          <cell r="G645">
            <v>0</v>
          </cell>
          <cell r="H645">
            <v>14300000</v>
          </cell>
        </row>
        <row r="646">
          <cell r="B646">
            <v>7704010105012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164500000</v>
          </cell>
        </row>
        <row r="647">
          <cell r="B647">
            <v>7704010105014</v>
          </cell>
          <cell r="D647">
            <v>54491306</v>
          </cell>
          <cell r="E647">
            <v>0</v>
          </cell>
          <cell r="F647">
            <v>54491306</v>
          </cell>
          <cell r="G647">
            <v>0</v>
          </cell>
          <cell r="H647">
            <v>8600000</v>
          </cell>
        </row>
        <row r="648">
          <cell r="B648">
            <v>7704010105015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103700000</v>
          </cell>
        </row>
        <row r="649">
          <cell r="B649">
            <v>7704010105032</v>
          </cell>
          <cell r="D649">
            <v>55280435</v>
          </cell>
          <cell r="E649">
            <v>0</v>
          </cell>
          <cell r="F649">
            <v>55280435</v>
          </cell>
          <cell r="G649">
            <v>0</v>
          </cell>
          <cell r="H649">
            <v>0</v>
          </cell>
        </row>
        <row r="650">
          <cell r="B650">
            <v>7704010105050</v>
          </cell>
          <cell r="D650">
            <v>137408683</v>
          </cell>
          <cell r="E650">
            <v>0</v>
          </cell>
          <cell r="F650">
            <v>137408683</v>
          </cell>
          <cell r="G650">
            <v>0</v>
          </cell>
          <cell r="H650">
            <v>1064900000</v>
          </cell>
        </row>
        <row r="651">
          <cell r="B651">
            <v>7704020105010</v>
          </cell>
          <cell r="D651">
            <v>148750176</v>
          </cell>
          <cell r="E651">
            <v>0</v>
          </cell>
          <cell r="F651">
            <v>148750176</v>
          </cell>
          <cell r="G651">
            <v>0</v>
          </cell>
          <cell r="H651">
            <v>400300000</v>
          </cell>
        </row>
        <row r="652">
          <cell r="B652">
            <v>7704020105011</v>
          </cell>
          <cell r="D652">
            <v>320260650</v>
          </cell>
          <cell r="E652">
            <v>0</v>
          </cell>
          <cell r="F652">
            <v>320260650</v>
          </cell>
          <cell r="G652">
            <v>0</v>
          </cell>
          <cell r="H652">
            <v>246600000</v>
          </cell>
        </row>
        <row r="653">
          <cell r="B653">
            <v>7704020105012</v>
          </cell>
          <cell r="D653">
            <v>39960870</v>
          </cell>
          <cell r="E653">
            <v>0</v>
          </cell>
          <cell r="F653">
            <v>39960870</v>
          </cell>
          <cell r="G653">
            <v>0</v>
          </cell>
          <cell r="H653">
            <v>142900000</v>
          </cell>
        </row>
        <row r="654">
          <cell r="B654">
            <v>7704020105013</v>
          </cell>
          <cell r="D654">
            <v>195178261</v>
          </cell>
          <cell r="E654">
            <v>0</v>
          </cell>
          <cell r="F654">
            <v>195178261</v>
          </cell>
          <cell r="G654">
            <v>0</v>
          </cell>
          <cell r="H654">
            <v>125200000</v>
          </cell>
        </row>
        <row r="655">
          <cell r="B655">
            <v>7704020105014</v>
          </cell>
          <cell r="D655">
            <v>34543479</v>
          </cell>
          <cell r="E655">
            <v>0</v>
          </cell>
          <cell r="F655">
            <v>34543479</v>
          </cell>
          <cell r="G655">
            <v>0</v>
          </cell>
          <cell r="H655">
            <v>0</v>
          </cell>
        </row>
        <row r="656">
          <cell r="B656">
            <v>7704020105015</v>
          </cell>
          <cell r="D656">
            <v>56434782</v>
          </cell>
          <cell r="E656">
            <v>0</v>
          </cell>
          <cell r="F656">
            <v>56434782</v>
          </cell>
          <cell r="G656">
            <v>0</v>
          </cell>
          <cell r="H656">
            <v>78600000</v>
          </cell>
        </row>
        <row r="657">
          <cell r="B657">
            <v>7704020105020</v>
          </cell>
          <cell r="D657">
            <v>74781354</v>
          </cell>
          <cell r="E657">
            <v>0</v>
          </cell>
          <cell r="F657">
            <v>74781354</v>
          </cell>
          <cell r="G657">
            <v>0</v>
          </cell>
          <cell r="H657">
            <v>0</v>
          </cell>
        </row>
        <row r="658">
          <cell r="B658">
            <v>7704020105050</v>
          </cell>
          <cell r="D658">
            <v>152363044</v>
          </cell>
          <cell r="E658">
            <v>0</v>
          </cell>
          <cell r="F658">
            <v>152363044</v>
          </cell>
          <cell r="G658">
            <v>0</v>
          </cell>
          <cell r="H658">
            <v>199900000</v>
          </cell>
        </row>
        <row r="659">
          <cell r="B659">
            <v>7704020205010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321700000</v>
          </cell>
        </row>
        <row r="660">
          <cell r="B660">
            <v>7704020205011</v>
          </cell>
          <cell r="D660">
            <v>16760869</v>
          </cell>
          <cell r="E660">
            <v>0</v>
          </cell>
          <cell r="F660">
            <v>16760869</v>
          </cell>
          <cell r="G660">
            <v>0</v>
          </cell>
          <cell r="H660">
            <v>178700000</v>
          </cell>
        </row>
        <row r="661">
          <cell r="B661">
            <v>7704020205012</v>
          </cell>
          <cell r="D661">
            <v>8695653</v>
          </cell>
          <cell r="E661">
            <v>0</v>
          </cell>
          <cell r="F661">
            <v>8695653</v>
          </cell>
          <cell r="G661">
            <v>0</v>
          </cell>
          <cell r="H661">
            <v>64400000</v>
          </cell>
        </row>
        <row r="662">
          <cell r="B662">
            <v>7704020205013</v>
          </cell>
          <cell r="D662">
            <v>69211796</v>
          </cell>
          <cell r="E662">
            <v>0</v>
          </cell>
          <cell r="F662">
            <v>69211796</v>
          </cell>
          <cell r="G662">
            <v>0</v>
          </cell>
          <cell r="H662">
            <v>35900000</v>
          </cell>
        </row>
        <row r="663">
          <cell r="B663">
            <v>7704020205014</v>
          </cell>
          <cell r="D663">
            <v>24347826</v>
          </cell>
          <cell r="E663">
            <v>0</v>
          </cell>
          <cell r="F663">
            <v>24347826</v>
          </cell>
          <cell r="G663">
            <v>0</v>
          </cell>
          <cell r="H663">
            <v>0</v>
          </cell>
        </row>
        <row r="664">
          <cell r="B664">
            <v>7704020205015</v>
          </cell>
          <cell r="D664">
            <v>51697305</v>
          </cell>
          <cell r="E664">
            <v>0</v>
          </cell>
          <cell r="F664">
            <v>51697305</v>
          </cell>
          <cell r="G664">
            <v>0</v>
          </cell>
          <cell r="H664">
            <v>85700000</v>
          </cell>
        </row>
        <row r="665">
          <cell r="B665">
            <v>7704020205050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35900000</v>
          </cell>
        </row>
        <row r="666">
          <cell r="B666">
            <v>7704030105010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178700000</v>
          </cell>
        </row>
        <row r="667">
          <cell r="B667">
            <v>7704030105011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121500000</v>
          </cell>
        </row>
        <row r="668">
          <cell r="B668">
            <v>7704030105030</v>
          </cell>
          <cell r="D668">
            <v>3140156</v>
          </cell>
          <cell r="E668">
            <v>0</v>
          </cell>
          <cell r="F668">
            <v>3140156</v>
          </cell>
          <cell r="G668">
            <v>0</v>
          </cell>
          <cell r="H668">
            <v>0</v>
          </cell>
        </row>
        <row r="669">
          <cell r="B669">
            <v>7704110105050</v>
          </cell>
          <cell r="D669">
            <v>1043478</v>
          </cell>
          <cell r="E669">
            <v>0</v>
          </cell>
          <cell r="F669">
            <v>1043478</v>
          </cell>
          <cell r="G669">
            <v>0</v>
          </cell>
          <cell r="H669">
            <v>75000000</v>
          </cell>
        </row>
        <row r="670">
          <cell r="B670">
            <v>7704120105050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600000</v>
          </cell>
        </row>
        <row r="671">
          <cell r="B671">
            <v>7704130105050</v>
          </cell>
          <cell r="D671">
            <v>2495182609</v>
          </cell>
          <cell r="E671">
            <v>0</v>
          </cell>
          <cell r="F671">
            <v>2495182609</v>
          </cell>
          <cell r="G671">
            <v>0</v>
          </cell>
          <cell r="H671">
            <v>2572700000</v>
          </cell>
        </row>
        <row r="672">
          <cell r="B672">
            <v>7704140105015</v>
          </cell>
          <cell r="D672">
            <v>56862239</v>
          </cell>
          <cell r="E672">
            <v>0</v>
          </cell>
          <cell r="F672">
            <v>56862239</v>
          </cell>
          <cell r="G672">
            <v>0</v>
          </cell>
          <cell r="H672">
            <v>16400000</v>
          </cell>
        </row>
        <row r="673">
          <cell r="B673">
            <v>7704140105050</v>
          </cell>
          <cell r="D673">
            <v>597707281</v>
          </cell>
          <cell r="E673">
            <v>0</v>
          </cell>
          <cell r="F673">
            <v>597707281</v>
          </cell>
          <cell r="G673">
            <v>0</v>
          </cell>
          <cell r="H673">
            <v>300200000</v>
          </cell>
        </row>
        <row r="674">
          <cell r="B674">
            <v>7704220105050</v>
          </cell>
          <cell r="D674">
            <v>79891304</v>
          </cell>
          <cell r="E674">
            <v>0</v>
          </cell>
          <cell r="F674">
            <v>79891304</v>
          </cell>
          <cell r="G674">
            <v>0</v>
          </cell>
          <cell r="H674">
            <v>21400000</v>
          </cell>
        </row>
        <row r="675">
          <cell r="B675">
            <v>7704280105010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643100000</v>
          </cell>
        </row>
        <row r="676">
          <cell r="B676">
            <v>7704310105050</v>
          </cell>
          <cell r="D676">
            <v>3593922309</v>
          </cell>
          <cell r="E676">
            <v>30240000</v>
          </cell>
          <cell r="F676">
            <v>3563682309</v>
          </cell>
          <cell r="G676">
            <v>0</v>
          </cell>
          <cell r="H676">
            <v>0</v>
          </cell>
        </row>
        <row r="677">
          <cell r="B677">
            <v>7704320105050</v>
          </cell>
          <cell r="D677">
            <v>3559032557</v>
          </cell>
          <cell r="E677">
            <v>0</v>
          </cell>
          <cell r="F677">
            <v>3559032557</v>
          </cell>
          <cell r="G677">
            <v>0</v>
          </cell>
          <cell r="H677">
            <v>79100000</v>
          </cell>
        </row>
        <row r="678">
          <cell r="B678">
            <v>7704330105050</v>
          </cell>
          <cell r="D678">
            <v>564655361</v>
          </cell>
          <cell r="E678">
            <v>0</v>
          </cell>
          <cell r="F678">
            <v>564655361</v>
          </cell>
          <cell r="G678">
            <v>0</v>
          </cell>
          <cell r="H678">
            <v>0</v>
          </cell>
        </row>
        <row r="679">
          <cell r="B679">
            <v>7704330205050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195500000</v>
          </cell>
        </row>
        <row r="680">
          <cell r="B680">
            <v>7704340105050</v>
          </cell>
          <cell r="D680">
            <v>1444323763</v>
          </cell>
          <cell r="E680">
            <v>0</v>
          </cell>
          <cell r="F680">
            <v>1444323763</v>
          </cell>
          <cell r="G680">
            <v>0</v>
          </cell>
          <cell r="H680">
            <v>8612900000</v>
          </cell>
        </row>
        <row r="681">
          <cell r="B681">
            <v>7704390105050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148200000</v>
          </cell>
        </row>
        <row r="682">
          <cell r="B682">
            <v>7704480105050</v>
          </cell>
          <cell r="D682">
            <v>16306158</v>
          </cell>
          <cell r="E682">
            <v>0</v>
          </cell>
          <cell r="F682">
            <v>16306158</v>
          </cell>
          <cell r="G682">
            <v>0</v>
          </cell>
          <cell r="H682">
            <v>13869100000</v>
          </cell>
        </row>
        <row r="683">
          <cell r="B683">
            <v>7704490105050</v>
          </cell>
          <cell r="D683">
            <v>447026088</v>
          </cell>
          <cell r="E683">
            <v>0</v>
          </cell>
          <cell r="F683">
            <v>447026088</v>
          </cell>
          <cell r="G683">
            <v>0</v>
          </cell>
          <cell r="H683">
            <v>3500000</v>
          </cell>
        </row>
        <row r="684">
          <cell r="B684">
            <v>7704510105010</v>
          </cell>
          <cell r="D684">
            <v>17500000</v>
          </cell>
          <cell r="E684">
            <v>0</v>
          </cell>
          <cell r="F684">
            <v>17500000</v>
          </cell>
          <cell r="G684">
            <v>0</v>
          </cell>
          <cell r="H684">
            <v>42900000</v>
          </cell>
        </row>
        <row r="685">
          <cell r="B685">
            <v>7704510105011</v>
          </cell>
          <cell r="D685">
            <v>728553200</v>
          </cell>
          <cell r="E685">
            <v>0</v>
          </cell>
          <cell r="F685">
            <v>728553200</v>
          </cell>
          <cell r="G685">
            <v>0</v>
          </cell>
          <cell r="H685">
            <v>360900000</v>
          </cell>
        </row>
        <row r="686">
          <cell r="B686">
            <v>7704510105012</v>
          </cell>
          <cell r="D686">
            <v>3860000</v>
          </cell>
          <cell r="E686">
            <v>0</v>
          </cell>
          <cell r="F686">
            <v>3860000</v>
          </cell>
          <cell r="G686">
            <v>0</v>
          </cell>
          <cell r="H686">
            <v>0</v>
          </cell>
        </row>
        <row r="687">
          <cell r="B687">
            <v>7704510105013</v>
          </cell>
          <cell r="D687">
            <v>130690000</v>
          </cell>
          <cell r="E687">
            <v>0</v>
          </cell>
          <cell r="F687">
            <v>130690000</v>
          </cell>
          <cell r="G687">
            <v>0</v>
          </cell>
          <cell r="H687">
            <v>185900000</v>
          </cell>
        </row>
        <row r="688">
          <cell r="B688">
            <v>7704510105014</v>
          </cell>
          <cell r="D688">
            <v>239950000</v>
          </cell>
          <cell r="E688">
            <v>0</v>
          </cell>
          <cell r="F688">
            <v>239950000</v>
          </cell>
          <cell r="G688">
            <v>0</v>
          </cell>
          <cell r="H688">
            <v>0</v>
          </cell>
        </row>
        <row r="689">
          <cell r="B689">
            <v>7704510105015</v>
          </cell>
          <cell r="D689">
            <v>368610000</v>
          </cell>
          <cell r="E689">
            <v>0</v>
          </cell>
          <cell r="F689">
            <v>368610000</v>
          </cell>
          <cell r="G689">
            <v>0</v>
          </cell>
          <cell r="H689">
            <v>485900000</v>
          </cell>
        </row>
        <row r="690">
          <cell r="B690">
            <v>7704510105032</v>
          </cell>
          <cell r="D690">
            <v>39768000</v>
          </cell>
          <cell r="E690">
            <v>4521913</v>
          </cell>
          <cell r="F690">
            <v>35246087</v>
          </cell>
          <cell r="G690">
            <v>0</v>
          </cell>
          <cell r="H690">
            <v>0</v>
          </cell>
        </row>
        <row r="691">
          <cell r="B691">
            <v>7704510105050</v>
          </cell>
          <cell r="D691">
            <v>523294348</v>
          </cell>
          <cell r="E691">
            <v>0</v>
          </cell>
          <cell r="F691">
            <v>523294348</v>
          </cell>
          <cell r="G691">
            <v>0</v>
          </cell>
          <cell r="H691">
            <v>586000000</v>
          </cell>
        </row>
        <row r="692">
          <cell r="B692">
            <v>7704520105010</v>
          </cell>
          <cell r="D692">
            <v>26575509</v>
          </cell>
          <cell r="E692">
            <v>0</v>
          </cell>
          <cell r="F692">
            <v>26575509</v>
          </cell>
          <cell r="G692">
            <v>0</v>
          </cell>
          <cell r="H692">
            <v>64400000</v>
          </cell>
        </row>
        <row r="693">
          <cell r="B693">
            <v>7704520105012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150100000</v>
          </cell>
        </row>
        <row r="694">
          <cell r="B694">
            <v>7704520105050</v>
          </cell>
          <cell r="D694">
            <v>142542000</v>
          </cell>
          <cell r="E694">
            <v>0</v>
          </cell>
          <cell r="F694">
            <v>142542000</v>
          </cell>
          <cell r="G694">
            <v>0</v>
          </cell>
          <cell r="H694">
            <v>35900000</v>
          </cell>
        </row>
        <row r="695">
          <cell r="B695">
            <v>7704530105050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92900000</v>
          </cell>
        </row>
        <row r="696">
          <cell r="B696">
            <v>7704540105050</v>
          </cell>
          <cell r="D696">
            <v>884739400</v>
          </cell>
          <cell r="E696">
            <v>0</v>
          </cell>
          <cell r="F696">
            <v>884739400</v>
          </cell>
          <cell r="G696">
            <v>0</v>
          </cell>
          <cell r="H696">
            <v>700400000</v>
          </cell>
        </row>
        <row r="697">
          <cell r="B697">
            <v>7704610105010</v>
          </cell>
          <cell r="D697">
            <v>41717391</v>
          </cell>
          <cell r="E697">
            <v>0</v>
          </cell>
          <cell r="F697">
            <v>41717391</v>
          </cell>
          <cell r="G697">
            <v>0</v>
          </cell>
          <cell r="H697">
            <v>142900000</v>
          </cell>
        </row>
        <row r="698">
          <cell r="B698">
            <v>7704610105050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21400000</v>
          </cell>
        </row>
        <row r="699">
          <cell r="B699">
            <v>7704990105050</v>
          </cell>
          <cell r="D699">
            <v>955145763</v>
          </cell>
          <cell r="E699">
            <v>0</v>
          </cell>
          <cell r="F699">
            <v>955145763</v>
          </cell>
          <cell r="G699">
            <v>0</v>
          </cell>
          <cell r="H699">
            <v>1786600000</v>
          </cell>
        </row>
        <row r="700">
          <cell r="B700">
            <v>7704990205010</v>
          </cell>
          <cell r="D700">
            <v>319043477</v>
          </cell>
          <cell r="E700">
            <v>0</v>
          </cell>
          <cell r="F700">
            <v>319043477</v>
          </cell>
          <cell r="G700">
            <v>0</v>
          </cell>
          <cell r="H700">
            <v>214400000</v>
          </cell>
        </row>
        <row r="701">
          <cell r="B701">
            <v>7704990205012</v>
          </cell>
          <cell r="D701">
            <v>17217391</v>
          </cell>
          <cell r="E701">
            <v>0</v>
          </cell>
          <cell r="F701">
            <v>17217391</v>
          </cell>
          <cell r="G701">
            <v>0</v>
          </cell>
          <cell r="H701">
            <v>7200000</v>
          </cell>
        </row>
        <row r="702">
          <cell r="B702">
            <v>7704990205014</v>
          </cell>
          <cell r="D702">
            <v>8826087</v>
          </cell>
          <cell r="E702">
            <v>0</v>
          </cell>
          <cell r="F702">
            <v>8826087</v>
          </cell>
          <cell r="G702">
            <v>0</v>
          </cell>
          <cell r="H702">
            <v>0</v>
          </cell>
        </row>
        <row r="703">
          <cell r="B703">
            <v>7704990205015</v>
          </cell>
          <cell r="D703">
            <v>6478261</v>
          </cell>
          <cell r="E703">
            <v>0</v>
          </cell>
          <cell r="F703">
            <v>6478261</v>
          </cell>
          <cell r="G703">
            <v>0</v>
          </cell>
          <cell r="H703">
            <v>7200000</v>
          </cell>
        </row>
        <row r="704">
          <cell r="B704">
            <v>7704990205032</v>
          </cell>
          <cell r="D704">
            <v>15225293</v>
          </cell>
          <cell r="E704">
            <v>0</v>
          </cell>
          <cell r="F704">
            <v>15225293</v>
          </cell>
          <cell r="G704">
            <v>0</v>
          </cell>
          <cell r="H704">
            <v>0</v>
          </cell>
        </row>
        <row r="705">
          <cell r="B705">
            <v>7704990205050</v>
          </cell>
          <cell r="D705">
            <v>307672750</v>
          </cell>
          <cell r="E705">
            <v>0</v>
          </cell>
          <cell r="F705">
            <v>307672750</v>
          </cell>
          <cell r="G705">
            <v>0</v>
          </cell>
          <cell r="H705">
            <v>643100000</v>
          </cell>
        </row>
        <row r="706">
          <cell r="B706">
            <v>7704990405050</v>
          </cell>
          <cell r="D706">
            <v>114271205</v>
          </cell>
          <cell r="E706">
            <v>0</v>
          </cell>
          <cell r="F706">
            <v>114271205</v>
          </cell>
          <cell r="G706">
            <v>0</v>
          </cell>
          <cell r="H706">
            <v>0</v>
          </cell>
        </row>
        <row r="707">
          <cell r="B707">
            <v>7704990905050</v>
          </cell>
          <cell r="D707">
            <v>3600000</v>
          </cell>
          <cell r="E707">
            <v>0</v>
          </cell>
          <cell r="F707">
            <v>3600000</v>
          </cell>
          <cell r="G707">
            <v>0</v>
          </cell>
          <cell r="H707">
            <v>0</v>
          </cell>
        </row>
        <row r="708">
          <cell r="B708">
            <v>7704999905010</v>
          </cell>
          <cell r="D708">
            <v>31000000</v>
          </cell>
          <cell r="E708">
            <v>0</v>
          </cell>
          <cell r="F708">
            <v>31000000</v>
          </cell>
          <cell r="G708">
            <v>0</v>
          </cell>
          <cell r="H708">
            <v>185900000</v>
          </cell>
        </row>
        <row r="709">
          <cell r="B709">
            <v>7704999905032</v>
          </cell>
          <cell r="D709">
            <v>112949800</v>
          </cell>
          <cell r="E709">
            <v>0</v>
          </cell>
          <cell r="F709">
            <v>112949800</v>
          </cell>
          <cell r="G709">
            <v>0</v>
          </cell>
          <cell r="H709">
            <v>0</v>
          </cell>
        </row>
        <row r="710">
          <cell r="B710">
            <v>7704999905050</v>
          </cell>
          <cell r="D710">
            <v>271221980</v>
          </cell>
          <cell r="E710">
            <v>0</v>
          </cell>
          <cell r="F710">
            <v>271221980</v>
          </cell>
          <cell r="G710">
            <v>0</v>
          </cell>
          <cell r="H710">
            <v>678900000</v>
          </cell>
        </row>
        <row r="711">
          <cell r="B711">
            <v>7705440105050</v>
          </cell>
          <cell r="D711">
            <v>140720000</v>
          </cell>
          <cell r="E711">
            <v>0</v>
          </cell>
          <cell r="F711">
            <v>140720000</v>
          </cell>
          <cell r="G711">
            <v>0</v>
          </cell>
          <cell r="H711">
            <v>104500000</v>
          </cell>
        </row>
        <row r="712">
          <cell r="B712">
            <v>7705470105050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17700000</v>
          </cell>
        </row>
        <row r="713">
          <cell r="B713">
            <v>7705520105050</v>
          </cell>
          <cell r="D713">
            <v>42000000</v>
          </cell>
          <cell r="E713">
            <v>0</v>
          </cell>
          <cell r="F713">
            <v>42000000</v>
          </cell>
          <cell r="G713">
            <v>0</v>
          </cell>
          <cell r="H713">
            <v>35900000</v>
          </cell>
        </row>
        <row r="714">
          <cell r="B714">
            <v>7706210105050</v>
          </cell>
          <cell r="D714">
            <v>14023356</v>
          </cell>
          <cell r="E714">
            <v>0</v>
          </cell>
          <cell r="F714">
            <v>14023356</v>
          </cell>
          <cell r="G714">
            <v>0</v>
          </cell>
          <cell r="H714">
            <v>0</v>
          </cell>
        </row>
        <row r="715">
          <cell r="B715">
            <v>7706220105050</v>
          </cell>
          <cell r="D715">
            <v>515981622</v>
          </cell>
          <cell r="E715">
            <v>0</v>
          </cell>
          <cell r="F715">
            <v>515981622</v>
          </cell>
          <cell r="G715">
            <v>0</v>
          </cell>
          <cell r="H715">
            <v>0</v>
          </cell>
        </row>
        <row r="716">
          <cell r="B716">
            <v>7706230105050</v>
          </cell>
          <cell r="D716">
            <v>15918208328</v>
          </cell>
          <cell r="E716">
            <v>0</v>
          </cell>
          <cell r="F716">
            <v>15918208328</v>
          </cell>
          <cell r="G716">
            <v>0</v>
          </cell>
          <cell r="H716">
            <v>0</v>
          </cell>
        </row>
        <row r="717">
          <cell r="B717">
            <v>7706240105050</v>
          </cell>
          <cell r="D717">
            <v>1704790412</v>
          </cell>
          <cell r="E717">
            <v>0</v>
          </cell>
          <cell r="F717">
            <v>1704790412</v>
          </cell>
          <cell r="G717">
            <v>0</v>
          </cell>
          <cell r="H717">
            <v>0</v>
          </cell>
        </row>
        <row r="718">
          <cell r="B718">
            <v>7706250105050</v>
          </cell>
          <cell r="D718">
            <v>299593879</v>
          </cell>
          <cell r="E718">
            <v>0</v>
          </cell>
          <cell r="F718">
            <v>299593879</v>
          </cell>
          <cell r="G718">
            <v>0</v>
          </cell>
          <cell r="H718">
            <v>0</v>
          </cell>
        </row>
        <row r="719">
          <cell r="B719">
            <v>7706260105050</v>
          </cell>
          <cell r="D719">
            <v>27777</v>
          </cell>
          <cell r="E719">
            <v>0</v>
          </cell>
          <cell r="F719">
            <v>27777</v>
          </cell>
          <cell r="G719">
            <v>0</v>
          </cell>
          <cell r="H719">
            <v>0</v>
          </cell>
        </row>
        <row r="720">
          <cell r="B720">
            <v>7706270105050</v>
          </cell>
          <cell r="D720">
            <v>26122386</v>
          </cell>
          <cell r="E720">
            <v>0</v>
          </cell>
          <cell r="F720">
            <v>26122386</v>
          </cell>
          <cell r="G720">
            <v>0</v>
          </cell>
          <cell r="H720">
            <v>0</v>
          </cell>
        </row>
        <row r="721">
          <cell r="B721">
            <v>7706280105050</v>
          </cell>
          <cell r="D721">
            <v>2211730975</v>
          </cell>
          <cell r="E721">
            <v>0</v>
          </cell>
          <cell r="F721">
            <v>2211730975</v>
          </cell>
          <cell r="G721">
            <v>0</v>
          </cell>
          <cell r="H721">
            <v>18861150000</v>
          </cell>
        </row>
        <row r="722">
          <cell r="B722">
            <v>770636010</v>
          </cell>
          <cell r="D722">
            <v>41356752</v>
          </cell>
          <cell r="E722">
            <v>0</v>
          </cell>
          <cell r="F722">
            <v>41356752</v>
          </cell>
          <cell r="G722">
            <v>0</v>
          </cell>
          <cell r="H722">
            <v>0</v>
          </cell>
        </row>
        <row r="723">
          <cell r="B723">
            <v>7706360205050</v>
          </cell>
          <cell r="D723">
            <v>1729057256</v>
          </cell>
          <cell r="E723">
            <v>0</v>
          </cell>
          <cell r="F723">
            <v>1729057256</v>
          </cell>
          <cell r="G723">
            <v>0</v>
          </cell>
          <cell r="H723">
            <v>0</v>
          </cell>
        </row>
        <row r="724">
          <cell r="B724">
            <v>771994010174</v>
          </cell>
          <cell r="D724">
            <v>0</v>
          </cell>
          <cell r="E724">
            <v>155649269791</v>
          </cell>
          <cell r="F724">
            <v>0</v>
          </cell>
          <cell r="G724">
            <v>155649269791</v>
          </cell>
          <cell r="H724">
            <v>0</v>
          </cell>
        </row>
        <row r="725">
          <cell r="B725">
            <v>7807330105050</v>
          </cell>
          <cell r="D725">
            <v>24819049273</v>
          </cell>
          <cell r="E725">
            <v>0</v>
          </cell>
          <cell r="F725">
            <v>24819049273</v>
          </cell>
          <cell r="G725">
            <v>0</v>
          </cell>
          <cell r="H725">
            <v>0</v>
          </cell>
        </row>
        <row r="726">
          <cell r="B726">
            <v>781995010174</v>
          </cell>
          <cell r="D726">
            <v>0</v>
          </cell>
          <cell r="E726">
            <v>24819049273</v>
          </cell>
          <cell r="F726">
            <v>0</v>
          </cell>
          <cell r="G726">
            <v>24819049273</v>
          </cell>
          <cell r="H726">
            <v>0</v>
          </cell>
        </row>
        <row r="727">
          <cell r="B727">
            <v>921411010174</v>
          </cell>
          <cell r="D727">
            <v>180866359688</v>
          </cell>
          <cell r="E727">
            <v>13216359688</v>
          </cell>
          <cell r="F727">
            <v>167650000000</v>
          </cell>
          <cell r="G727">
            <v>0</v>
          </cell>
          <cell r="H727">
            <v>0</v>
          </cell>
        </row>
        <row r="728">
          <cell r="B728">
            <v>921421010174</v>
          </cell>
          <cell r="D728">
            <v>13216359688</v>
          </cell>
          <cell r="E728">
            <v>180866359688</v>
          </cell>
          <cell r="F728">
            <v>0</v>
          </cell>
          <cell r="G728">
            <v>167650000000</v>
          </cell>
          <cell r="H728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  <sheetName val="B"/>
      <sheetName val="G"/>
      <sheetName val="SA"/>
      <sheetName val="ZA"/>
      <sheetName val="FA Anteile VU"/>
      <sheetName val="FA Ausleihung VU &lt;1J."/>
      <sheetName val="FA Ausleihung VU &gt;1J."/>
      <sheetName val="Vor"/>
      <sheetName val="Inter Ford VU &lt; 1 J"/>
      <sheetName val="Inter Ford VU &gt; 1 J"/>
      <sheetName val="Inter Ford Ges. &lt; 1 J"/>
      <sheetName val="Inter Ford Ges. &gt; 1 J"/>
      <sheetName val="Inter Verb. VU &lt; 1 J"/>
      <sheetName val="Inter Verb. VU &gt; 1 J &lt; 5 J"/>
      <sheetName val="Inter Verb. VU &gt;  5 J"/>
      <sheetName val="Inter Verb. Ges. &lt; 1 J"/>
      <sheetName val="Inter Verb. Ges. &gt; 1 J &lt; 5 J"/>
      <sheetName val="Inter Verb. Ges.  &gt; 5 J"/>
      <sheetName val="soVG"/>
      <sheetName val="Liqu + Darlehen"/>
      <sheetName val="Kap"/>
      <sheetName val="SoPo"/>
      <sheetName val="RSt"/>
      <sheetName val="soVerb"/>
      <sheetName val="Ergeb"/>
      <sheetName val="sbE"/>
      <sheetName val="sbA"/>
      <sheetName val="FErg"/>
      <sheetName val="aoErg"/>
      <sheetName val="Haft"/>
      <sheetName val="so.finanzielle Verpflichtungen"/>
      <sheetName val="Pers"/>
      <sheetName val="LB"/>
      <sheetName val="Überleitungsrechnung"/>
    </sheetNames>
    <sheetDataSet>
      <sheetData sheetId="0" refreshError="1">
        <row r="1">
          <cell r="C1" t="str">
            <v xml:space="preserve"> Mustergesellschaft</v>
          </cell>
        </row>
        <row r="3">
          <cell r="C3">
            <v>37986</v>
          </cell>
        </row>
        <row r="5">
          <cell r="C5" t="str">
            <v>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1">
          <cell r="A11" t="str">
            <v>employees</v>
          </cell>
        </row>
        <row r="12">
          <cell r="A12" t="str">
            <v>workers</v>
          </cell>
        </row>
        <row r="13">
          <cell r="A13" t="str">
            <v>apprentices</v>
          </cell>
        </row>
        <row r="16">
          <cell r="A16" t="str">
            <v>employees</v>
          </cell>
        </row>
        <row r="17">
          <cell r="A17" t="str">
            <v>workers</v>
          </cell>
        </row>
        <row r="18">
          <cell r="A18" t="str">
            <v>apprentices</v>
          </cell>
        </row>
        <row r="21">
          <cell r="A21" t="str">
            <v>employees</v>
          </cell>
        </row>
        <row r="22">
          <cell r="A22" t="str">
            <v>workers</v>
          </cell>
        </row>
        <row r="23">
          <cell r="A23" t="str">
            <v>apprentices</v>
          </cell>
        </row>
        <row r="26">
          <cell r="A26" t="str">
            <v>employees</v>
          </cell>
        </row>
        <row r="27">
          <cell r="A27" t="str">
            <v>workers</v>
          </cell>
        </row>
        <row r="28">
          <cell r="A28" t="str">
            <v>apprentices</v>
          </cell>
        </row>
      </sheetData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structions"/>
      <sheetName val="F1.1"/>
      <sheetName val="F1.2"/>
      <sheetName val="F2.1"/>
      <sheetName val="F2.2"/>
      <sheetName val="F3"/>
      <sheetName val="F4.1"/>
      <sheetName val="F4.2"/>
      <sheetName val="F5"/>
      <sheetName val="F6.1"/>
      <sheetName val="F6.2"/>
      <sheetName val="F7.1-7.2"/>
      <sheetName val="F7.3"/>
      <sheetName val="F8"/>
      <sheetName val="F9.1"/>
      <sheetName val="F9.2"/>
      <sheetName val="F9.3"/>
      <sheetName val="F9.4"/>
      <sheetName val="F9.5"/>
      <sheetName val="F9.6"/>
      <sheetName val="F9.7"/>
      <sheetName val="F9.8"/>
      <sheetName val="F9.9"/>
      <sheetName val="F9.10"/>
      <sheetName val="F9.11"/>
      <sheetName val="F9.12"/>
      <sheetName val="F9.13"/>
      <sheetName val="F9.14"/>
      <sheetName val="F9.15"/>
      <sheetName val="F9.16"/>
      <sheetName val="F9.17"/>
      <sheetName val="F10"/>
      <sheetName val="F11.1"/>
      <sheetName val="F11.2A-B"/>
      <sheetName val="F12"/>
      <sheetName val="F13"/>
      <sheetName val="F14"/>
      <sheetName val="F15"/>
      <sheetName val="F16"/>
      <sheetName val="F17.1"/>
      <sheetName val="F17.2"/>
      <sheetName val="F18.1"/>
      <sheetName val="F18.2"/>
      <sheetName val="F19"/>
      <sheetName val="F20"/>
      <sheetName val="F21"/>
      <sheetName val="F22"/>
      <sheetName val="F23"/>
      <sheetName val="F24"/>
      <sheetName val="F25"/>
      <sheetName val="F26"/>
      <sheetName val="F27"/>
      <sheetName val="F28.1"/>
      <sheetName val="F28.2"/>
      <sheetName val="F29"/>
      <sheetName val="F30"/>
      <sheetName val="F 31 Product Groups"/>
      <sheetName val="F 32 Cons. Kabi rel. parties"/>
      <sheetName val="F 33 Non-cons. Kabi rel. part."/>
      <sheetName val="F 34 Other Fres. group comp."/>
      <sheetName val="F 35 Currency code"/>
      <sheetName val="IC gains"/>
      <sheetName val="Upload 1"/>
      <sheetName val="Upload 2"/>
      <sheetName val="sapactivexlhidden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KB Fiyatları"/>
      <sheetName val="TCMB Fiyatları"/>
      <sheetName val="Iskontolu"/>
      <sheetName val="CouponDetails"/>
      <sheetName val="CouponCashFlow"/>
      <sheetName val="CFSheet"/>
      <sheetName val="IMKB VALUATION"/>
      <sheetName val="MAIN GATE"/>
      <sheetName val="IMKB VE RAPOR DEĞERLEME FARKI"/>
      <sheetName val="Portföy Ayırımı"/>
      <sheetName val="Name List"/>
      <sheetName val="Simulasyo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D6">
            <v>36885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SRK"/>
    </sheetNames>
    <sheetDataSet>
      <sheetData sheetId="0" refreshError="1">
        <row r="1">
          <cell r="A1" t="str">
            <v>KAPAT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B"/>
      <sheetName val="Inh"/>
      <sheetName val="Eckd"/>
      <sheetName val="Komm"/>
      <sheetName val="Proj"/>
      <sheetName val="LOI"/>
      <sheetName val="AE"/>
      <sheetName val="Treffer"/>
      <sheetName val="Ums"/>
      <sheetName val="AB"/>
      <sheetName val="Kon"/>
      <sheetName val="Kon SDE"/>
      <sheetName val="MIKA"/>
      <sheetName val="GuV Ges"/>
      <sheetName val="GuV PI"/>
      <sheetName val="3.1"/>
      <sheetName val="3.2"/>
      <sheetName val="3.3 alt"/>
      <sheetName val="3.3"/>
      <sheetName val="3.4"/>
      <sheetName val="AEKlass"/>
    </sheetNames>
    <sheetDataSet>
      <sheetData sheetId="0" refreshError="1">
        <row r="4">
          <cell r="F4" t="str">
            <v>GB   Bandanlagen</v>
          </cell>
        </row>
        <row r="5">
          <cell r="F5" t="str">
            <v>GB Bandanlagen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B"/>
      <sheetName val="Inh"/>
      <sheetName val="Eckd"/>
      <sheetName val="Proj"/>
      <sheetName val="LOI"/>
      <sheetName val="AE"/>
      <sheetName val="Treffer"/>
      <sheetName val="Ums"/>
      <sheetName val="AB"/>
      <sheetName val="Kon"/>
      <sheetName val="Kon SDE"/>
      <sheetName val="MIKA alt"/>
      <sheetName val="MIKA"/>
      <sheetName val="GuV PI"/>
      <sheetName val="Liquidität"/>
      <sheetName val="Fällige Kundenz."/>
      <sheetName val="Zahlungsrisiko"/>
      <sheetName val="Sonst.Risiken"/>
    </sheetNames>
    <sheetDataSet>
      <sheetData sheetId="0">
        <row r="4">
          <cell r="F4" t="str">
            <v>GB   Bandanlagen</v>
          </cell>
        </row>
        <row r="10">
          <cell r="F10" t="str">
            <v>Ist 2007</v>
          </cell>
        </row>
        <row r="12">
          <cell r="F12" t="str">
            <v>Plan 2008</v>
          </cell>
        </row>
        <row r="14">
          <cell r="F14" t="str">
            <v xml:space="preserve"> </v>
          </cell>
        </row>
        <row r="18">
          <cell r="F18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A2">
            <v>6</v>
          </cell>
          <cell r="B2" t="str">
            <v>VEENA KATHURIA</v>
          </cell>
          <cell r="C2">
            <v>4850</v>
          </cell>
          <cell r="D2">
            <v>8955</v>
          </cell>
          <cell r="E2">
            <v>10655</v>
          </cell>
          <cell r="F2">
            <v>0</v>
          </cell>
          <cell r="G2">
            <v>11760</v>
          </cell>
        </row>
        <row r="3">
          <cell r="A3">
            <v>7</v>
          </cell>
          <cell r="B3" t="str">
            <v>PRADIP SEN</v>
          </cell>
          <cell r="C3">
            <v>12000</v>
          </cell>
          <cell r="D3">
            <v>31185</v>
          </cell>
          <cell r="E3">
            <v>42845</v>
          </cell>
          <cell r="F3">
            <v>0</v>
          </cell>
          <cell r="G3">
            <v>45575</v>
          </cell>
        </row>
        <row r="4">
          <cell r="A4">
            <v>17</v>
          </cell>
          <cell r="B4" t="str">
            <v>K.K.GAUR</v>
          </cell>
          <cell r="C4">
            <v>7900</v>
          </cell>
          <cell r="D4">
            <v>17225</v>
          </cell>
          <cell r="E4">
            <v>24610</v>
          </cell>
          <cell r="F4">
            <v>0</v>
          </cell>
          <cell r="G4">
            <v>27965</v>
          </cell>
        </row>
        <row r="5">
          <cell r="A5">
            <v>26</v>
          </cell>
          <cell r="B5" t="str">
            <v>AMARJIT SINGH</v>
          </cell>
          <cell r="C5">
            <v>5650</v>
          </cell>
          <cell r="D5">
            <v>7305</v>
          </cell>
          <cell r="E5">
            <v>9140</v>
          </cell>
          <cell r="F5">
            <v>0</v>
          </cell>
          <cell r="G5">
            <v>10220</v>
          </cell>
        </row>
        <row r="6">
          <cell r="A6">
            <v>41</v>
          </cell>
          <cell r="B6" t="str">
            <v>R.K.SHARMA</v>
          </cell>
          <cell r="C6">
            <v>4490</v>
          </cell>
          <cell r="D6">
            <v>5915</v>
          </cell>
          <cell r="E6">
            <v>7390</v>
          </cell>
          <cell r="F6">
            <v>0</v>
          </cell>
          <cell r="G6">
            <v>8745</v>
          </cell>
        </row>
        <row r="7">
          <cell r="A7">
            <v>47</v>
          </cell>
          <cell r="B7" t="str">
            <v>ATUL ARORA</v>
          </cell>
          <cell r="C7">
            <v>3900</v>
          </cell>
          <cell r="D7">
            <v>6200</v>
          </cell>
          <cell r="E7">
            <v>7200</v>
          </cell>
          <cell r="F7">
            <v>0</v>
          </cell>
          <cell r="G7">
            <v>8550</v>
          </cell>
        </row>
        <row r="8">
          <cell r="A8">
            <v>49</v>
          </cell>
          <cell r="B8" t="str">
            <v>S.G.AGGARWAL</v>
          </cell>
          <cell r="C8">
            <v>10250</v>
          </cell>
          <cell r="D8">
            <v>15340</v>
          </cell>
          <cell r="E8">
            <v>30510</v>
          </cell>
          <cell r="F8">
            <v>0</v>
          </cell>
          <cell r="G8">
            <v>32625</v>
          </cell>
        </row>
        <row r="9">
          <cell r="A9">
            <v>53</v>
          </cell>
          <cell r="B9" t="str">
            <v>DEBASISH BOSE</v>
          </cell>
          <cell r="C9">
            <v>5725</v>
          </cell>
          <cell r="D9">
            <v>7620</v>
          </cell>
          <cell r="E9">
            <v>9190</v>
          </cell>
          <cell r="F9">
            <v>0</v>
          </cell>
          <cell r="G9">
            <v>10130</v>
          </cell>
        </row>
        <row r="10">
          <cell r="A10">
            <v>58</v>
          </cell>
          <cell r="B10" t="str">
            <v>S.K.PARASHAR</v>
          </cell>
          <cell r="C10">
            <v>5075</v>
          </cell>
          <cell r="D10">
            <v>6570</v>
          </cell>
          <cell r="E10">
            <v>7980</v>
          </cell>
          <cell r="F10">
            <v>0</v>
          </cell>
          <cell r="G10">
            <v>9065</v>
          </cell>
        </row>
        <row r="11">
          <cell r="A11">
            <v>67</v>
          </cell>
          <cell r="B11" t="str">
            <v>RAJ TIWARI</v>
          </cell>
          <cell r="C11">
            <v>10310</v>
          </cell>
          <cell r="D11">
            <v>17335</v>
          </cell>
          <cell r="E11">
            <v>20075</v>
          </cell>
          <cell r="F11">
            <v>0</v>
          </cell>
          <cell r="G11">
            <v>20760</v>
          </cell>
        </row>
        <row r="12">
          <cell r="A12">
            <v>68</v>
          </cell>
          <cell r="B12" t="str">
            <v>RICHPAL SINGH</v>
          </cell>
          <cell r="C12">
            <v>7225</v>
          </cell>
          <cell r="D12">
            <v>9640</v>
          </cell>
          <cell r="E12">
            <v>11560</v>
          </cell>
          <cell r="F12">
            <v>0</v>
          </cell>
          <cell r="G12">
            <v>12235</v>
          </cell>
        </row>
        <row r="13">
          <cell r="A13">
            <v>69</v>
          </cell>
          <cell r="B13" t="str">
            <v>D.P.BHADULA</v>
          </cell>
          <cell r="C13">
            <v>5075</v>
          </cell>
          <cell r="D13">
            <v>6570</v>
          </cell>
          <cell r="E13">
            <v>7980</v>
          </cell>
          <cell r="F13">
            <v>0</v>
          </cell>
          <cell r="G13">
            <v>9065</v>
          </cell>
        </row>
        <row r="14">
          <cell r="A14">
            <v>75</v>
          </cell>
          <cell r="B14" t="str">
            <v>ASHWANI KUMAR</v>
          </cell>
          <cell r="C14">
            <v>5775</v>
          </cell>
          <cell r="D14">
            <v>7445</v>
          </cell>
          <cell r="E14">
            <v>9025</v>
          </cell>
          <cell r="F14">
            <v>0</v>
          </cell>
          <cell r="G14">
            <v>10110</v>
          </cell>
        </row>
        <row r="15">
          <cell r="A15">
            <v>82</v>
          </cell>
          <cell r="B15" t="str">
            <v>HARMINDER SINGH</v>
          </cell>
          <cell r="C15">
            <v>7075</v>
          </cell>
          <cell r="D15">
            <v>10100</v>
          </cell>
          <cell r="E15">
            <v>12095</v>
          </cell>
          <cell r="F15">
            <v>0</v>
          </cell>
          <cell r="G15">
            <v>13355</v>
          </cell>
        </row>
        <row r="16">
          <cell r="A16">
            <v>88</v>
          </cell>
          <cell r="B16" t="str">
            <v>INDIRA DHAR</v>
          </cell>
          <cell r="C16">
            <v>4350</v>
          </cell>
          <cell r="D16">
            <v>5385</v>
          </cell>
          <cell r="E16">
            <v>6985</v>
          </cell>
          <cell r="F16">
            <v>0</v>
          </cell>
          <cell r="G16">
            <v>7505</v>
          </cell>
        </row>
        <row r="17">
          <cell r="A17">
            <v>96</v>
          </cell>
          <cell r="B17" t="str">
            <v>KULDEEP SINGH</v>
          </cell>
          <cell r="C17">
            <v>3450</v>
          </cell>
          <cell r="D17">
            <v>4065</v>
          </cell>
          <cell r="E17">
            <v>5195</v>
          </cell>
          <cell r="F17">
            <v>0</v>
          </cell>
          <cell r="G17">
            <v>6435</v>
          </cell>
        </row>
        <row r="18">
          <cell r="A18">
            <v>100</v>
          </cell>
          <cell r="B18" t="str">
            <v>M.G.K.MURTHY</v>
          </cell>
          <cell r="C18">
            <v>10875</v>
          </cell>
          <cell r="D18">
            <v>18475</v>
          </cell>
          <cell r="E18">
            <v>21890</v>
          </cell>
          <cell r="F18">
            <v>0</v>
          </cell>
          <cell r="G18">
            <v>22715</v>
          </cell>
        </row>
        <row r="19">
          <cell r="A19">
            <v>103</v>
          </cell>
          <cell r="B19" t="str">
            <v>S.K.BOSE</v>
          </cell>
          <cell r="C19">
            <v>10600</v>
          </cell>
          <cell r="D19">
            <v>20330</v>
          </cell>
          <cell r="E19">
            <v>28165</v>
          </cell>
          <cell r="F19">
            <v>0</v>
          </cell>
          <cell r="G19">
            <v>31610</v>
          </cell>
        </row>
        <row r="20">
          <cell r="A20">
            <v>105</v>
          </cell>
          <cell r="B20" t="str">
            <v>S.DWIVEDI</v>
          </cell>
          <cell r="C20">
            <v>4625</v>
          </cell>
          <cell r="D20">
            <v>6910</v>
          </cell>
          <cell r="E20">
            <v>8595</v>
          </cell>
          <cell r="F20">
            <v>0</v>
          </cell>
          <cell r="G20">
            <v>19620</v>
          </cell>
        </row>
        <row r="21">
          <cell r="A21">
            <v>107</v>
          </cell>
          <cell r="B21" t="str">
            <v>P.K.BHATTARYA</v>
          </cell>
          <cell r="C21">
            <v>5810</v>
          </cell>
          <cell r="D21">
            <v>10555</v>
          </cell>
          <cell r="E21">
            <v>11775</v>
          </cell>
          <cell r="F21">
            <v>0</v>
          </cell>
          <cell r="G21">
            <v>12690</v>
          </cell>
        </row>
        <row r="22">
          <cell r="A22">
            <v>114</v>
          </cell>
          <cell r="B22" t="str">
            <v>N.G.PARANJPE</v>
          </cell>
          <cell r="C22">
            <v>9760</v>
          </cell>
          <cell r="D22">
            <v>14530</v>
          </cell>
          <cell r="E22">
            <v>17260</v>
          </cell>
          <cell r="F22">
            <v>0</v>
          </cell>
          <cell r="G22">
            <v>16700</v>
          </cell>
        </row>
        <row r="23">
          <cell r="A23">
            <v>121</v>
          </cell>
          <cell r="B23" t="str">
            <v>K.B.MALODE</v>
          </cell>
          <cell r="C23">
            <v>10100</v>
          </cell>
          <cell r="D23">
            <v>17100</v>
          </cell>
          <cell r="E23">
            <v>20020</v>
          </cell>
          <cell r="F23">
            <v>0</v>
          </cell>
          <cell r="G23">
            <v>20705</v>
          </cell>
        </row>
        <row r="24">
          <cell r="A24">
            <v>123</v>
          </cell>
          <cell r="B24" t="str">
            <v>RAMESH AYYA</v>
          </cell>
          <cell r="C24">
            <v>9130</v>
          </cell>
          <cell r="D24">
            <v>14710</v>
          </cell>
          <cell r="E24">
            <v>16755</v>
          </cell>
          <cell r="F24">
            <v>0</v>
          </cell>
          <cell r="G24">
            <v>17475</v>
          </cell>
        </row>
        <row r="25">
          <cell r="A25">
            <v>125</v>
          </cell>
          <cell r="B25" t="str">
            <v>RAJIV SAXENA</v>
          </cell>
          <cell r="C25">
            <v>6075</v>
          </cell>
          <cell r="D25">
            <v>8315</v>
          </cell>
          <cell r="E25">
            <v>10785</v>
          </cell>
          <cell r="F25">
            <v>0</v>
          </cell>
          <cell r="G25">
            <v>11405</v>
          </cell>
        </row>
        <row r="26">
          <cell r="A26">
            <v>127</v>
          </cell>
          <cell r="B26" t="str">
            <v>RAKESH PURI</v>
          </cell>
          <cell r="C26">
            <v>4600</v>
          </cell>
          <cell r="D26">
            <v>6130</v>
          </cell>
          <cell r="E26">
            <v>7470</v>
          </cell>
          <cell r="F26">
            <v>0</v>
          </cell>
          <cell r="G26">
            <v>9375</v>
          </cell>
        </row>
        <row r="27">
          <cell r="A27">
            <v>132</v>
          </cell>
          <cell r="B27" t="str">
            <v>S. DIPAK</v>
          </cell>
          <cell r="C27">
            <v>6215</v>
          </cell>
          <cell r="D27">
            <v>9065</v>
          </cell>
          <cell r="E27">
            <v>10785</v>
          </cell>
          <cell r="F27">
            <v>0</v>
          </cell>
          <cell r="G27">
            <v>11900</v>
          </cell>
        </row>
        <row r="28">
          <cell r="A28">
            <v>153</v>
          </cell>
          <cell r="B28" t="str">
            <v>KANTI P. NOWROJEE</v>
          </cell>
          <cell r="C28">
            <v>5650</v>
          </cell>
          <cell r="D28">
            <v>8485</v>
          </cell>
          <cell r="E28">
            <v>10525</v>
          </cell>
          <cell r="F28">
            <v>0</v>
          </cell>
          <cell r="G28">
            <v>11585</v>
          </cell>
        </row>
        <row r="29">
          <cell r="A29">
            <v>154</v>
          </cell>
          <cell r="B29" t="str">
            <v>ARCHANA RAI</v>
          </cell>
          <cell r="C29">
            <v>3870</v>
          </cell>
          <cell r="D29">
            <v>6090</v>
          </cell>
          <cell r="E29">
            <v>7380</v>
          </cell>
          <cell r="F29">
            <v>0</v>
          </cell>
          <cell r="G29">
            <v>8350</v>
          </cell>
        </row>
        <row r="30">
          <cell r="A30">
            <v>191</v>
          </cell>
          <cell r="B30" t="str">
            <v>GULAB SINGH</v>
          </cell>
          <cell r="C30">
            <v>3400</v>
          </cell>
          <cell r="D30">
            <v>4265</v>
          </cell>
          <cell r="E30">
            <v>5285</v>
          </cell>
          <cell r="F30">
            <v>0</v>
          </cell>
          <cell r="G30">
            <v>6275</v>
          </cell>
        </row>
        <row r="31">
          <cell r="A31">
            <v>195</v>
          </cell>
          <cell r="B31" t="str">
            <v>SHASHI BHUSHAN SHARMA</v>
          </cell>
          <cell r="C31">
            <v>3735</v>
          </cell>
          <cell r="D31">
            <v>6015</v>
          </cell>
          <cell r="E31">
            <v>7830</v>
          </cell>
          <cell r="F31">
            <v>0</v>
          </cell>
          <cell r="G31">
            <v>9585</v>
          </cell>
        </row>
        <row r="32">
          <cell r="A32">
            <v>197</v>
          </cell>
          <cell r="B32" t="str">
            <v>S.K.TALUKDAR</v>
          </cell>
          <cell r="C32">
            <v>10770</v>
          </cell>
          <cell r="D32">
            <v>18415</v>
          </cell>
          <cell r="E32">
            <v>21785</v>
          </cell>
          <cell r="F32">
            <v>0</v>
          </cell>
          <cell r="G32">
            <v>23325</v>
          </cell>
        </row>
        <row r="33">
          <cell r="A33">
            <v>200</v>
          </cell>
          <cell r="B33" t="str">
            <v>GURDEEP LAMBA</v>
          </cell>
          <cell r="C33">
            <v>4550</v>
          </cell>
          <cell r="D33">
            <v>6130</v>
          </cell>
          <cell r="E33">
            <v>7470</v>
          </cell>
          <cell r="F33">
            <v>0</v>
          </cell>
          <cell r="G33">
            <v>8290</v>
          </cell>
        </row>
        <row r="34">
          <cell r="A34">
            <v>201</v>
          </cell>
          <cell r="B34" t="str">
            <v>SHEESH PAL</v>
          </cell>
          <cell r="C34">
            <v>2775</v>
          </cell>
          <cell r="D34">
            <v>3710</v>
          </cell>
          <cell r="E34">
            <v>4750</v>
          </cell>
          <cell r="F34">
            <v>0</v>
          </cell>
          <cell r="G34">
            <v>5990</v>
          </cell>
        </row>
        <row r="35">
          <cell r="A35">
            <v>206</v>
          </cell>
          <cell r="B35" t="str">
            <v>SANEL KUMAR</v>
          </cell>
          <cell r="C35">
            <v>4230</v>
          </cell>
          <cell r="D35">
            <v>5000</v>
          </cell>
          <cell r="E35">
            <v>6370</v>
          </cell>
          <cell r="F35">
            <v>0</v>
          </cell>
          <cell r="G35">
            <v>6975</v>
          </cell>
        </row>
        <row r="36">
          <cell r="A36">
            <v>209</v>
          </cell>
          <cell r="B36" t="str">
            <v>RAJAN SACHDEVA</v>
          </cell>
          <cell r="C36">
            <v>4050</v>
          </cell>
          <cell r="D36">
            <v>5065</v>
          </cell>
          <cell r="E36">
            <v>6580</v>
          </cell>
          <cell r="F36">
            <v>0</v>
          </cell>
          <cell r="G36">
            <v>7585</v>
          </cell>
        </row>
        <row r="37">
          <cell r="A37">
            <v>211</v>
          </cell>
          <cell r="B37" t="str">
            <v>JAYARAM .B</v>
          </cell>
          <cell r="C37">
            <v>5550</v>
          </cell>
          <cell r="D37">
            <v>7195</v>
          </cell>
          <cell r="E37">
            <v>8960</v>
          </cell>
          <cell r="F37">
            <v>0</v>
          </cell>
          <cell r="G37">
            <v>11180</v>
          </cell>
        </row>
        <row r="38">
          <cell r="A38">
            <v>212</v>
          </cell>
          <cell r="B38" t="str">
            <v>G. HARI KUMAR</v>
          </cell>
          <cell r="C38">
            <v>6050</v>
          </cell>
          <cell r="D38">
            <v>7755</v>
          </cell>
          <cell r="E38">
            <v>9345</v>
          </cell>
          <cell r="F38">
            <v>0</v>
          </cell>
          <cell r="G38">
            <v>9875</v>
          </cell>
        </row>
        <row r="39">
          <cell r="A39">
            <v>217</v>
          </cell>
          <cell r="B39" t="str">
            <v>S.K.BASU</v>
          </cell>
          <cell r="C39">
            <v>16070</v>
          </cell>
          <cell r="D39">
            <v>23675</v>
          </cell>
          <cell r="E39">
            <v>26935</v>
          </cell>
          <cell r="F39">
            <v>0</v>
          </cell>
          <cell r="G39">
            <v>27260</v>
          </cell>
        </row>
        <row r="40">
          <cell r="A40">
            <v>226</v>
          </cell>
          <cell r="B40" t="str">
            <v>C.D.SUGADAN</v>
          </cell>
          <cell r="C40">
            <v>18000</v>
          </cell>
          <cell r="D40">
            <v>28840</v>
          </cell>
          <cell r="E40">
            <v>33650</v>
          </cell>
          <cell r="F40">
            <v>0</v>
          </cell>
          <cell r="G40">
            <v>35835</v>
          </cell>
        </row>
        <row r="41">
          <cell r="A41">
            <v>238</v>
          </cell>
          <cell r="B41" t="str">
            <v>S.S. BIRDI</v>
          </cell>
          <cell r="C41">
            <v>3200</v>
          </cell>
          <cell r="D41">
            <v>4285</v>
          </cell>
          <cell r="E41">
            <v>5470</v>
          </cell>
          <cell r="F41">
            <v>0</v>
          </cell>
          <cell r="G41">
            <v>6855</v>
          </cell>
        </row>
        <row r="42">
          <cell r="A42">
            <v>239</v>
          </cell>
          <cell r="B42" t="str">
            <v>KULDEEP KUMAR ARORA</v>
          </cell>
          <cell r="C42">
            <v>5315</v>
          </cell>
          <cell r="D42">
            <v>7705</v>
          </cell>
          <cell r="E42">
            <v>9545</v>
          </cell>
          <cell r="F42">
            <v>0</v>
          </cell>
          <cell r="G42">
            <v>14630</v>
          </cell>
        </row>
        <row r="43">
          <cell r="A43">
            <v>240</v>
          </cell>
          <cell r="B43" t="str">
            <v>AJAY VERMA</v>
          </cell>
          <cell r="C43">
            <v>7450</v>
          </cell>
          <cell r="D43">
            <v>10175</v>
          </cell>
          <cell r="E43">
            <v>11755</v>
          </cell>
          <cell r="F43">
            <v>0</v>
          </cell>
          <cell r="G43">
            <v>12420</v>
          </cell>
        </row>
        <row r="44">
          <cell r="A44">
            <v>250</v>
          </cell>
          <cell r="B44" t="str">
            <v>V.S RAO</v>
          </cell>
          <cell r="C44">
            <v>2150</v>
          </cell>
          <cell r="D44">
            <v>2735</v>
          </cell>
          <cell r="E44">
            <v>3425</v>
          </cell>
          <cell r="F44">
            <v>0</v>
          </cell>
          <cell r="G44">
            <v>5555</v>
          </cell>
        </row>
        <row r="45">
          <cell r="A45">
            <v>261</v>
          </cell>
          <cell r="B45" t="str">
            <v>VIRENDER SINGH</v>
          </cell>
          <cell r="C45">
            <v>2180</v>
          </cell>
          <cell r="D45">
            <v>2855</v>
          </cell>
          <cell r="E45">
            <v>3680</v>
          </cell>
          <cell r="F45">
            <v>0</v>
          </cell>
          <cell r="G45">
            <v>4670</v>
          </cell>
        </row>
        <row r="46">
          <cell r="A46">
            <v>262</v>
          </cell>
          <cell r="B46" t="str">
            <v>RAKESH NEGI</v>
          </cell>
          <cell r="C46">
            <v>2125</v>
          </cell>
          <cell r="D46">
            <v>2795</v>
          </cell>
          <cell r="E46">
            <v>3605</v>
          </cell>
          <cell r="F46">
            <v>0</v>
          </cell>
          <cell r="G46">
            <v>4595</v>
          </cell>
        </row>
        <row r="47">
          <cell r="A47">
            <v>263</v>
          </cell>
          <cell r="B47" t="str">
            <v>MANORANJAN PATI</v>
          </cell>
          <cell r="C47">
            <v>2800</v>
          </cell>
          <cell r="D47">
            <v>3410</v>
          </cell>
          <cell r="E47">
            <v>4375</v>
          </cell>
          <cell r="F47">
            <v>0</v>
          </cell>
          <cell r="G47">
            <v>5365</v>
          </cell>
        </row>
        <row r="48">
          <cell r="A48">
            <v>268</v>
          </cell>
          <cell r="B48" t="str">
            <v>A.K.MITRA</v>
          </cell>
          <cell r="C48">
            <v>9005</v>
          </cell>
          <cell r="D48">
            <v>12320</v>
          </cell>
          <cell r="E48">
            <v>14630</v>
          </cell>
          <cell r="F48">
            <v>0</v>
          </cell>
          <cell r="G48">
            <v>16305</v>
          </cell>
        </row>
        <row r="49">
          <cell r="A49">
            <v>282</v>
          </cell>
          <cell r="B49" t="str">
            <v>VINOD KUMAR</v>
          </cell>
          <cell r="C49">
            <v>2850</v>
          </cell>
          <cell r="D49">
            <v>3900</v>
          </cell>
          <cell r="E49">
            <v>4870</v>
          </cell>
          <cell r="F49">
            <v>0</v>
          </cell>
          <cell r="G49">
            <v>5950</v>
          </cell>
        </row>
        <row r="50">
          <cell r="A50">
            <v>283</v>
          </cell>
          <cell r="B50" t="str">
            <v>R.K.MEHROTRA</v>
          </cell>
          <cell r="C50">
            <v>7925</v>
          </cell>
          <cell r="D50">
            <v>14555</v>
          </cell>
          <cell r="E50">
            <v>18025</v>
          </cell>
          <cell r="F50">
            <v>0</v>
          </cell>
          <cell r="G50">
            <v>19205</v>
          </cell>
        </row>
        <row r="51">
          <cell r="A51">
            <v>288</v>
          </cell>
          <cell r="B51" t="str">
            <v>VIBHASH PATNAIK</v>
          </cell>
          <cell r="C51">
            <v>5600</v>
          </cell>
          <cell r="D51">
            <v>7430</v>
          </cell>
          <cell r="E51">
            <v>8875</v>
          </cell>
          <cell r="F51">
            <v>0</v>
          </cell>
          <cell r="G51">
            <v>9925</v>
          </cell>
        </row>
        <row r="52">
          <cell r="A52">
            <v>290</v>
          </cell>
          <cell r="B52" t="str">
            <v>SAURABH KUMAR</v>
          </cell>
          <cell r="C52">
            <v>3800</v>
          </cell>
          <cell r="D52">
            <v>5190</v>
          </cell>
          <cell r="E52">
            <v>6470</v>
          </cell>
          <cell r="F52">
            <v>0</v>
          </cell>
          <cell r="G52">
            <v>6530</v>
          </cell>
        </row>
        <row r="53">
          <cell r="A53">
            <v>291</v>
          </cell>
          <cell r="B53" t="str">
            <v>S.K.GARG</v>
          </cell>
          <cell r="C53">
            <v>3185</v>
          </cell>
          <cell r="D53">
            <v>4025</v>
          </cell>
          <cell r="E53">
            <v>5145</v>
          </cell>
          <cell r="F53">
            <v>0</v>
          </cell>
          <cell r="G53">
            <v>5645</v>
          </cell>
        </row>
        <row r="54">
          <cell r="A54">
            <v>293</v>
          </cell>
          <cell r="B54" t="str">
            <v>SARAMMA MAMACHAN</v>
          </cell>
          <cell r="C54">
            <v>3380</v>
          </cell>
          <cell r="D54">
            <v>4355</v>
          </cell>
          <cell r="E54">
            <v>5725</v>
          </cell>
          <cell r="F54">
            <v>0</v>
          </cell>
          <cell r="G54">
            <v>6395</v>
          </cell>
        </row>
        <row r="55">
          <cell r="A55">
            <v>294</v>
          </cell>
          <cell r="B55" t="str">
            <v>G.K.NARULA</v>
          </cell>
          <cell r="C55">
            <v>11900</v>
          </cell>
          <cell r="D55">
            <v>19005</v>
          </cell>
          <cell r="E55">
            <v>21735</v>
          </cell>
          <cell r="F55">
            <v>0</v>
          </cell>
          <cell r="G55">
            <v>23375</v>
          </cell>
        </row>
        <row r="56">
          <cell r="A56">
            <v>307</v>
          </cell>
          <cell r="B56" t="str">
            <v>SANJEEV SHARMA</v>
          </cell>
          <cell r="C56">
            <v>5210</v>
          </cell>
          <cell r="D56">
            <v>7670</v>
          </cell>
          <cell r="E56">
            <v>8830</v>
          </cell>
          <cell r="F56">
            <v>0</v>
          </cell>
          <cell r="G56">
            <v>10525</v>
          </cell>
        </row>
        <row r="57">
          <cell r="A57">
            <v>313</v>
          </cell>
          <cell r="B57" t="str">
            <v>K.R. ASHIM KUMAR</v>
          </cell>
          <cell r="C57">
            <v>6925</v>
          </cell>
          <cell r="D57">
            <v>11440</v>
          </cell>
          <cell r="E57">
            <v>13655</v>
          </cell>
          <cell r="F57">
            <v>0</v>
          </cell>
          <cell r="G57">
            <v>14435</v>
          </cell>
        </row>
        <row r="58">
          <cell r="A58">
            <v>314</v>
          </cell>
          <cell r="B58" t="str">
            <v>MANOJ KOTHARI</v>
          </cell>
          <cell r="C58">
            <v>2925</v>
          </cell>
          <cell r="D58">
            <v>3870</v>
          </cell>
          <cell r="E58">
            <v>4805</v>
          </cell>
          <cell r="F58">
            <v>0</v>
          </cell>
          <cell r="G58">
            <v>5910</v>
          </cell>
        </row>
        <row r="59">
          <cell r="A59">
            <v>320</v>
          </cell>
          <cell r="B59" t="str">
            <v>A.JOHN LOUIS</v>
          </cell>
          <cell r="C59">
            <v>6230</v>
          </cell>
          <cell r="D59">
            <v>8810</v>
          </cell>
          <cell r="E59">
            <v>10485</v>
          </cell>
          <cell r="F59">
            <v>0</v>
          </cell>
          <cell r="G59">
            <v>11085</v>
          </cell>
        </row>
        <row r="60">
          <cell r="A60">
            <v>321</v>
          </cell>
          <cell r="B60" t="str">
            <v>L.N. BHATT</v>
          </cell>
          <cell r="C60">
            <v>2715</v>
          </cell>
          <cell r="D60">
            <v>3640</v>
          </cell>
          <cell r="E60">
            <v>4665</v>
          </cell>
          <cell r="F60">
            <v>0</v>
          </cell>
          <cell r="G60">
            <v>5905</v>
          </cell>
        </row>
        <row r="61">
          <cell r="A61">
            <v>327</v>
          </cell>
          <cell r="B61" t="str">
            <v>RAJPAL SINGH</v>
          </cell>
          <cell r="C61">
            <v>2070</v>
          </cell>
          <cell r="D61">
            <v>2735</v>
          </cell>
          <cell r="E61">
            <v>3530</v>
          </cell>
          <cell r="F61">
            <v>0</v>
          </cell>
          <cell r="G61">
            <v>4770</v>
          </cell>
        </row>
        <row r="62">
          <cell r="A62">
            <v>330</v>
          </cell>
          <cell r="B62" t="str">
            <v>BASUDEB SIRCAR</v>
          </cell>
          <cell r="C62">
            <v>10100</v>
          </cell>
          <cell r="D62">
            <v>16560</v>
          </cell>
          <cell r="E62">
            <v>19405</v>
          </cell>
          <cell r="F62">
            <v>0</v>
          </cell>
          <cell r="G62">
            <v>20090</v>
          </cell>
        </row>
        <row r="63">
          <cell r="A63">
            <v>331</v>
          </cell>
          <cell r="B63" t="str">
            <v>RAJA CHOWDHURY</v>
          </cell>
          <cell r="C63">
            <v>5850</v>
          </cell>
          <cell r="D63">
            <v>7485</v>
          </cell>
          <cell r="E63">
            <v>8940</v>
          </cell>
          <cell r="F63">
            <v>0</v>
          </cell>
          <cell r="G63">
            <v>9450</v>
          </cell>
        </row>
        <row r="64">
          <cell r="A64">
            <v>332</v>
          </cell>
          <cell r="B64" t="str">
            <v>A. D. NATH</v>
          </cell>
          <cell r="C64">
            <v>6850</v>
          </cell>
          <cell r="D64">
            <v>9545</v>
          </cell>
          <cell r="E64">
            <v>11430</v>
          </cell>
          <cell r="F64">
            <v>0</v>
          </cell>
          <cell r="G64">
            <v>12095</v>
          </cell>
        </row>
        <row r="65">
          <cell r="A65">
            <v>333</v>
          </cell>
          <cell r="B65" t="str">
            <v>RAJIV MEHROTRA</v>
          </cell>
          <cell r="C65">
            <v>9510</v>
          </cell>
          <cell r="D65">
            <v>12525</v>
          </cell>
          <cell r="E65">
            <v>15000</v>
          </cell>
          <cell r="F65">
            <v>0</v>
          </cell>
          <cell r="G65">
            <v>21180</v>
          </cell>
        </row>
        <row r="66">
          <cell r="A66">
            <v>334</v>
          </cell>
          <cell r="B66" t="str">
            <v>SUBHASH CHANDRA MITRA</v>
          </cell>
          <cell r="C66">
            <v>8825</v>
          </cell>
          <cell r="D66">
            <v>13085</v>
          </cell>
          <cell r="E66">
            <v>14325</v>
          </cell>
          <cell r="F66">
            <v>0</v>
          </cell>
          <cell r="G66">
            <v>14860</v>
          </cell>
        </row>
        <row r="67">
          <cell r="A67">
            <v>336</v>
          </cell>
          <cell r="B67" t="str">
            <v>P. S. TARAGI</v>
          </cell>
          <cell r="C67">
            <v>3250</v>
          </cell>
          <cell r="D67">
            <v>4220</v>
          </cell>
          <cell r="E67">
            <v>5205</v>
          </cell>
          <cell r="F67">
            <v>0</v>
          </cell>
          <cell r="G67">
            <v>6555</v>
          </cell>
        </row>
        <row r="68">
          <cell r="A68">
            <v>340</v>
          </cell>
          <cell r="B68" t="str">
            <v>C. B. S. S. SRINIVAS</v>
          </cell>
          <cell r="C68">
            <v>4225</v>
          </cell>
          <cell r="D68">
            <v>7125</v>
          </cell>
          <cell r="E68">
            <v>8460</v>
          </cell>
          <cell r="F68">
            <v>0</v>
          </cell>
          <cell r="G68">
            <v>10445</v>
          </cell>
        </row>
        <row r="69">
          <cell r="A69">
            <v>349</v>
          </cell>
          <cell r="B69" t="str">
            <v>BHAVESH JOSHI</v>
          </cell>
          <cell r="C69">
            <v>4925</v>
          </cell>
          <cell r="D69">
            <v>7255</v>
          </cell>
          <cell r="E69">
            <v>8725</v>
          </cell>
          <cell r="F69">
            <v>0</v>
          </cell>
          <cell r="G69">
            <v>9650</v>
          </cell>
        </row>
        <row r="70">
          <cell r="A70">
            <v>361</v>
          </cell>
          <cell r="B70" t="str">
            <v>R.K.GARG</v>
          </cell>
          <cell r="C70">
            <v>4375</v>
          </cell>
          <cell r="D70">
            <v>5925</v>
          </cell>
          <cell r="E70">
            <v>7230</v>
          </cell>
          <cell r="F70">
            <v>0</v>
          </cell>
          <cell r="G70">
            <v>8030</v>
          </cell>
        </row>
        <row r="71">
          <cell r="A71">
            <v>368</v>
          </cell>
          <cell r="B71" t="str">
            <v>LALIT  KUMAR</v>
          </cell>
          <cell r="C71">
            <v>2980</v>
          </cell>
          <cell r="D71">
            <v>4045</v>
          </cell>
          <cell r="E71">
            <v>5170</v>
          </cell>
          <cell r="F71">
            <v>0</v>
          </cell>
          <cell r="G71">
            <v>6410</v>
          </cell>
        </row>
        <row r="72">
          <cell r="A72">
            <v>373</v>
          </cell>
          <cell r="B72" t="str">
            <v>PANKAJ KUMAR</v>
          </cell>
          <cell r="C72">
            <v>5290</v>
          </cell>
          <cell r="D72">
            <v>7120</v>
          </cell>
          <cell r="E72">
            <v>8370</v>
          </cell>
          <cell r="F72">
            <v>0</v>
          </cell>
          <cell r="G72">
            <v>9450</v>
          </cell>
        </row>
        <row r="73">
          <cell r="A73">
            <v>378</v>
          </cell>
          <cell r="B73" t="str">
            <v>RAKESH GOYAL</v>
          </cell>
          <cell r="C73">
            <v>4525</v>
          </cell>
          <cell r="D73">
            <v>5575</v>
          </cell>
          <cell r="E73">
            <v>7090</v>
          </cell>
          <cell r="F73">
            <v>0</v>
          </cell>
          <cell r="G73">
            <v>8620</v>
          </cell>
        </row>
        <row r="74">
          <cell r="A74">
            <v>385</v>
          </cell>
          <cell r="B74" t="str">
            <v>RANJAN HALDAR</v>
          </cell>
          <cell r="C74">
            <v>3800</v>
          </cell>
          <cell r="D74">
            <v>4660</v>
          </cell>
          <cell r="E74">
            <v>5940</v>
          </cell>
          <cell r="F74">
            <v>0</v>
          </cell>
          <cell r="G74">
            <v>7180</v>
          </cell>
        </row>
        <row r="75">
          <cell r="A75">
            <v>389</v>
          </cell>
          <cell r="B75" t="str">
            <v>S.FAZLE ALI</v>
          </cell>
          <cell r="C75">
            <v>5100</v>
          </cell>
          <cell r="D75">
            <v>6270</v>
          </cell>
          <cell r="E75">
            <v>7590</v>
          </cell>
          <cell r="F75">
            <v>0</v>
          </cell>
          <cell r="G75">
            <v>7705</v>
          </cell>
        </row>
        <row r="76">
          <cell r="A76">
            <v>396</v>
          </cell>
          <cell r="B76" t="str">
            <v>Neeraj Sharma</v>
          </cell>
          <cell r="C76">
            <v>2175</v>
          </cell>
          <cell r="D76">
            <v>2870</v>
          </cell>
          <cell r="E76">
            <v>3810</v>
          </cell>
          <cell r="F76">
            <v>0</v>
          </cell>
          <cell r="G76">
            <v>5050</v>
          </cell>
        </row>
        <row r="77">
          <cell r="A77">
            <v>403</v>
          </cell>
          <cell r="B77" t="str">
            <v>SURESH KUMAR DHANKHAR</v>
          </cell>
          <cell r="C77">
            <v>3170</v>
          </cell>
          <cell r="D77">
            <v>4130</v>
          </cell>
          <cell r="E77">
            <v>5280</v>
          </cell>
          <cell r="F77">
            <v>0</v>
          </cell>
          <cell r="G77">
            <v>6270</v>
          </cell>
        </row>
        <row r="78">
          <cell r="A78">
            <v>420</v>
          </cell>
          <cell r="B78" t="str">
            <v>DURGADAS MANNA</v>
          </cell>
          <cell r="C78">
            <v>2710</v>
          </cell>
          <cell r="D78">
            <v>3240</v>
          </cell>
          <cell r="E78">
            <v>4045</v>
          </cell>
          <cell r="F78">
            <v>0</v>
          </cell>
          <cell r="G78">
            <v>4855</v>
          </cell>
        </row>
        <row r="79">
          <cell r="A79">
            <v>424</v>
          </cell>
          <cell r="B79" t="str">
            <v>S. DURAIKKANNU</v>
          </cell>
          <cell r="C79">
            <v>2925</v>
          </cell>
          <cell r="D79">
            <v>4160</v>
          </cell>
          <cell r="E79">
            <v>4960</v>
          </cell>
          <cell r="F79">
            <v>0</v>
          </cell>
          <cell r="G79">
            <v>6040</v>
          </cell>
        </row>
        <row r="80">
          <cell r="A80">
            <v>428</v>
          </cell>
          <cell r="B80" t="str">
            <v>BIDYUT BASAK</v>
          </cell>
          <cell r="C80">
            <v>3660</v>
          </cell>
          <cell r="D80">
            <v>4650</v>
          </cell>
          <cell r="E80">
            <v>5925</v>
          </cell>
          <cell r="F80">
            <v>0</v>
          </cell>
          <cell r="G80">
            <v>7005</v>
          </cell>
        </row>
        <row r="81">
          <cell r="A81">
            <v>432</v>
          </cell>
          <cell r="B81" t="str">
            <v xml:space="preserve">SURESH KUMAR </v>
          </cell>
          <cell r="C81">
            <v>2050</v>
          </cell>
          <cell r="D81">
            <v>2415</v>
          </cell>
          <cell r="E81">
            <v>3070</v>
          </cell>
          <cell r="F81">
            <v>0</v>
          </cell>
          <cell r="G81">
            <v>4425</v>
          </cell>
        </row>
        <row r="82">
          <cell r="A82">
            <v>449</v>
          </cell>
          <cell r="B82" t="str">
            <v>BRAJESH KUMAR MITTAL</v>
          </cell>
          <cell r="C82">
            <v>11400</v>
          </cell>
          <cell r="D82">
            <v>15570</v>
          </cell>
          <cell r="E82">
            <v>18270</v>
          </cell>
          <cell r="F82">
            <v>0</v>
          </cell>
          <cell r="G82">
            <v>19085</v>
          </cell>
        </row>
        <row r="83">
          <cell r="A83">
            <v>451</v>
          </cell>
          <cell r="B83" t="str">
            <v>D.K.SHARMA.</v>
          </cell>
          <cell r="C83">
            <v>3775</v>
          </cell>
          <cell r="D83">
            <v>5280</v>
          </cell>
          <cell r="E83">
            <v>6415</v>
          </cell>
          <cell r="F83">
            <v>0</v>
          </cell>
          <cell r="G83">
            <v>7495</v>
          </cell>
        </row>
        <row r="84">
          <cell r="A84">
            <v>465</v>
          </cell>
          <cell r="B84" t="str">
            <v>ALOK KALRA</v>
          </cell>
          <cell r="C84">
            <v>4000</v>
          </cell>
          <cell r="D84">
            <v>7395</v>
          </cell>
          <cell r="E84">
            <v>8835</v>
          </cell>
          <cell r="F84">
            <v>0</v>
          </cell>
          <cell r="G84">
            <v>13290</v>
          </cell>
        </row>
        <row r="85">
          <cell r="A85">
            <v>475</v>
          </cell>
          <cell r="B85" t="str">
            <v>A.D. KELKAR</v>
          </cell>
          <cell r="D85">
            <v>20300</v>
          </cell>
          <cell r="E85">
            <v>29010</v>
          </cell>
          <cell r="F85">
            <v>0</v>
          </cell>
          <cell r="G85">
            <v>30965</v>
          </cell>
        </row>
        <row r="86">
          <cell r="A86">
            <v>476</v>
          </cell>
          <cell r="B86" t="str">
            <v>ASHIM KUMAR BANERJEE</v>
          </cell>
          <cell r="D86">
            <v>14550</v>
          </cell>
          <cell r="E86">
            <v>17400</v>
          </cell>
          <cell r="F86">
            <v>0</v>
          </cell>
          <cell r="G86">
            <v>18090</v>
          </cell>
        </row>
        <row r="87">
          <cell r="A87">
            <v>478</v>
          </cell>
          <cell r="B87" t="str">
            <v>M.K. HARTMANN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481</v>
          </cell>
          <cell r="B88" t="str">
            <v>MADHAV MANI</v>
          </cell>
          <cell r="D88">
            <v>12700</v>
          </cell>
          <cell r="E88">
            <v>15720</v>
          </cell>
          <cell r="F88">
            <v>0</v>
          </cell>
          <cell r="G88">
            <v>18100</v>
          </cell>
        </row>
        <row r="89">
          <cell r="A89">
            <v>482</v>
          </cell>
          <cell r="B89" t="str">
            <v>ABHIJIT BANERJEE</v>
          </cell>
          <cell r="E89">
            <v>13120</v>
          </cell>
          <cell r="F89">
            <v>0</v>
          </cell>
          <cell r="G89">
            <v>14575</v>
          </cell>
        </row>
        <row r="90">
          <cell r="A90">
            <v>484</v>
          </cell>
          <cell r="B90" t="str">
            <v>SANTANU RUDRA</v>
          </cell>
          <cell r="E90">
            <v>6640</v>
          </cell>
          <cell r="F90">
            <v>0</v>
          </cell>
          <cell r="G90">
            <v>7720</v>
          </cell>
        </row>
        <row r="91">
          <cell r="A91">
            <v>486</v>
          </cell>
          <cell r="B91" t="str">
            <v>S. BHATTACHARYA</v>
          </cell>
          <cell r="E91">
            <v>7380</v>
          </cell>
          <cell r="F91">
            <v>0</v>
          </cell>
          <cell r="G91">
            <v>7895</v>
          </cell>
        </row>
        <row r="92">
          <cell r="A92">
            <v>488</v>
          </cell>
          <cell r="B92" t="str">
            <v>SAILESH KUMAR DAGA</v>
          </cell>
          <cell r="E92">
            <v>12615</v>
          </cell>
          <cell r="F92">
            <v>0</v>
          </cell>
          <cell r="G92">
            <v>16030</v>
          </cell>
        </row>
        <row r="93">
          <cell r="A93">
            <v>489</v>
          </cell>
          <cell r="B93" t="str">
            <v>M.K. JAIN</v>
          </cell>
          <cell r="E93">
            <v>9285</v>
          </cell>
          <cell r="F93">
            <v>0</v>
          </cell>
          <cell r="G93">
            <v>9815</v>
          </cell>
        </row>
        <row r="94">
          <cell r="A94">
            <v>491</v>
          </cell>
          <cell r="B94" t="str">
            <v>ANIL JAIN</v>
          </cell>
          <cell r="G94">
            <v>10680</v>
          </cell>
        </row>
        <row r="95">
          <cell r="A95">
            <v>493</v>
          </cell>
          <cell r="B95" t="str">
            <v>DAYAKANT</v>
          </cell>
          <cell r="G95">
            <v>9105</v>
          </cell>
        </row>
        <row r="96">
          <cell r="A96">
            <v>494</v>
          </cell>
          <cell r="B96" t="str">
            <v>M.K. KESHARI</v>
          </cell>
          <cell r="C96">
            <v>7000</v>
          </cell>
          <cell r="D96">
            <v>7000</v>
          </cell>
          <cell r="E96">
            <v>9005</v>
          </cell>
          <cell r="G96">
            <v>9980</v>
          </cell>
        </row>
        <row r="97">
          <cell r="A97">
            <v>495</v>
          </cell>
          <cell r="B97" t="str">
            <v>TAPAS SARKAR</v>
          </cell>
          <cell r="D97">
            <v>9000</v>
          </cell>
          <cell r="E97">
            <v>18950</v>
          </cell>
          <cell r="G97">
            <v>20545</v>
          </cell>
        </row>
        <row r="98">
          <cell r="A98">
            <v>496</v>
          </cell>
          <cell r="B98" t="str">
            <v>P.R.V. NAIR</v>
          </cell>
          <cell r="C98">
            <v>19000</v>
          </cell>
          <cell r="D98">
            <v>19000</v>
          </cell>
          <cell r="E98">
            <v>31045</v>
          </cell>
          <cell r="G98">
            <v>33185</v>
          </cell>
        </row>
        <row r="99">
          <cell r="A99">
            <v>497</v>
          </cell>
          <cell r="B99" t="str">
            <v>D.K. DEY</v>
          </cell>
          <cell r="C99">
            <v>14000</v>
          </cell>
          <cell r="D99">
            <v>14000</v>
          </cell>
          <cell r="E99">
            <v>19845</v>
          </cell>
          <cell r="G99">
            <v>21930</v>
          </cell>
        </row>
        <row r="100">
          <cell r="A100">
            <v>498</v>
          </cell>
          <cell r="B100" t="str">
            <v>R.N. JENA</v>
          </cell>
          <cell r="C100">
            <v>14000</v>
          </cell>
          <cell r="D100">
            <v>14000</v>
          </cell>
          <cell r="E100">
            <v>21010</v>
          </cell>
          <cell r="G100">
            <v>21885</v>
          </cell>
        </row>
        <row r="101">
          <cell r="A101">
            <v>501</v>
          </cell>
          <cell r="B101" t="str">
            <v>S.D. MEHER</v>
          </cell>
          <cell r="C101">
            <v>12000</v>
          </cell>
          <cell r="D101">
            <v>12000</v>
          </cell>
          <cell r="E101">
            <v>24240</v>
          </cell>
          <cell r="G101">
            <v>26925</v>
          </cell>
        </row>
        <row r="102">
          <cell r="A102">
            <v>503</v>
          </cell>
          <cell r="B102" t="str">
            <v>ALOK GUPTA</v>
          </cell>
          <cell r="C102">
            <v>7000</v>
          </cell>
          <cell r="D102">
            <v>7000</v>
          </cell>
          <cell r="E102">
            <v>10190</v>
          </cell>
          <cell r="G102">
            <v>12520</v>
          </cell>
        </row>
        <row r="103">
          <cell r="A103">
            <v>504</v>
          </cell>
          <cell r="B103" t="str">
            <v>DIPANKAR DAS</v>
          </cell>
          <cell r="G103">
            <v>6410</v>
          </cell>
        </row>
        <row r="104">
          <cell r="A104">
            <v>506</v>
          </cell>
          <cell r="B104" t="str">
            <v>ANOOP NAMBIAR</v>
          </cell>
        </row>
        <row r="105">
          <cell r="A105">
            <v>507</v>
          </cell>
          <cell r="B105" t="str">
            <v>ABHIJIT BATTACHARYA</v>
          </cell>
        </row>
        <row r="106">
          <cell r="A106">
            <v>508</v>
          </cell>
          <cell r="B106" t="str">
            <v>SHAILENDRA DUBEY</v>
          </cell>
        </row>
        <row r="107">
          <cell r="A107">
            <v>509</v>
          </cell>
          <cell r="B107" t="str">
            <v>ROOPALI SINGH</v>
          </cell>
        </row>
      </sheetData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uter"/>
      <sheetName val="STEEL"/>
      <sheetName val="WJMOD"/>
      <sheetName val="Straightening Temp."/>
      <sheetName val="NF Inspect Map quality "/>
      <sheetName val=" NF Inspect Map grind"/>
      <sheetName val="NF Inspect Map MACHINE"/>
      <sheetName val="NF Cond. Map"/>
      <sheetName val="Ni Hardness"/>
      <sheetName val="UT Verification"/>
      <sheetName val="final flat"/>
      <sheetName val="Cassette Distortion Check"/>
      <sheetName val="spc"/>
      <sheetName val="Hardness Measurements"/>
      <sheetName val="heat treat"/>
      <sheetName val="extra work"/>
      <sheetName val="FLOW TEST"/>
      <sheetName val="BOM"/>
      <sheetName val="BOM (2)"/>
      <sheetName val="Nickel Rounds"/>
    </sheetNames>
    <sheetDataSet>
      <sheetData sheetId="0" refreshError="1"/>
      <sheetData sheetId="1" refreshError="1"/>
      <sheetData sheetId="2" refreshError="1"/>
      <sheetData sheetId="3" refreshError="1">
        <row r="5">
          <cell r="C5" t="str">
            <v>(</v>
          </cell>
          <cell r="R5" t="str">
            <v>(</v>
          </cell>
        </row>
        <row r="6">
          <cell r="C6" t="str">
            <v>)</v>
          </cell>
          <cell r="G6" t="str">
            <v xml:space="preserve">     )</v>
          </cell>
          <cell r="H6" t="str">
            <v>(       )</v>
          </cell>
          <cell r="I6" t="str">
            <v xml:space="preserve">   (</v>
          </cell>
          <cell r="R6" t="str">
            <v>)</v>
          </cell>
          <cell r="V6" t="str">
            <v xml:space="preserve">     )</v>
          </cell>
          <cell r="W6" t="str">
            <v>(       )</v>
          </cell>
          <cell r="X6" t="str">
            <v xml:space="preserve">   (</v>
          </cell>
        </row>
        <row r="8">
          <cell r="C8" t="str">
            <v>(</v>
          </cell>
          <cell r="R8" t="str">
            <v>(</v>
          </cell>
        </row>
        <row r="9">
          <cell r="C9" t="str">
            <v>)</v>
          </cell>
          <cell r="G9" t="str">
            <v xml:space="preserve">     )</v>
          </cell>
          <cell r="H9" t="str">
            <v>(       )</v>
          </cell>
          <cell r="I9" t="str">
            <v xml:space="preserve">   (</v>
          </cell>
          <cell r="R9" t="str">
            <v>)</v>
          </cell>
          <cell r="V9" t="str">
            <v xml:space="preserve">     )</v>
          </cell>
          <cell r="W9" t="str">
            <v>(       )</v>
          </cell>
          <cell r="X9" t="str">
            <v xml:space="preserve">   (</v>
          </cell>
        </row>
        <row r="11">
          <cell r="C11" t="str">
            <v>(</v>
          </cell>
          <cell r="R11" t="str">
            <v>(</v>
          </cell>
        </row>
        <row r="12">
          <cell r="C12" t="str">
            <v>)</v>
          </cell>
          <cell r="G12" t="str">
            <v xml:space="preserve">     )</v>
          </cell>
          <cell r="H12" t="str">
            <v>(       )</v>
          </cell>
          <cell r="I12" t="str">
            <v xml:space="preserve">   (</v>
          </cell>
          <cell r="R12" t="str">
            <v>)</v>
          </cell>
          <cell r="V12" t="str">
            <v xml:space="preserve">     )</v>
          </cell>
          <cell r="W12" t="str">
            <v>(       )</v>
          </cell>
          <cell r="X12" t="str">
            <v xml:space="preserve">   (</v>
          </cell>
        </row>
        <row r="14">
          <cell r="C14" t="str">
            <v>(</v>
          </cell>
          <cell r="R14" t="str">
            <v>(</v>
          </cell>
        </row>
        <row r="15">
          <cell r="C15" t="str">
            <v>)</v>
          </cell>
          <cell r="G15" t="str">
            <v xml:space="preserve">     )</v>
          </cell>
          <cell r="H15" t="str">
            <v>(       )</v>
          </cell>
          <cell r="I15" t="str">
            <v xml:space="preserve">   (</v>
          </cell>
          <cell r="R15" t="str">
            <v>)</v>
          </cell>
          <cell r="V15" t="str">
            <v xml:space="preserve">     )</v>
          </cell>
          <cell r="W15" t="str">
            <v>(       )</v>
          </cell>
          <cell r="X15" t="str">
            <v xml:space="preserve">   (</v>
          </cell>
        </row>
        <row r="17">
          <cell r="C17" t="str">
            <v>(</v>
          </cell>
          <cell r="R17" t="str">
            <v>(</v>
          </cell>
        </row>
        <row r="18">
          <cell r="C18" t="str">
            <v>)</v>
          </cell>
          <cell r="G18" t="str">
            <v xml:space="preserve">     )</v>
          </cell>
          <cell r="H18" t="str">
            <v>(       )</v>
          </cell>
          <cell r="I18" t="str">
            <v xml:space="preserve">   (</v>
          </cell>
          <cell r="R18" t="str">
            <v>)</v>
          </cell>
          <cell r="V18" t="str">
            <v xml:space="preserve">     )</v>
          </cell>
          <cell r="W18" t="str">
            <v>(       )</v>
          </cell>
          <cell r="X18" t="str">
            <v xml:space="preserve">   (</v>
          </cell>
        </row>
        <row r="20">
          <cell r="C20" t="str">
            <v>(</v>
          </cell>
          <cell r="R20" t="str">
            <v>(</v>
          </cell>
        </row>
        <row r="21">
          <cell r="C21" t="str">
            <v>)</v>
          </cell>
          <cell r="G21" t="str">
            <v xml:space="preserve">     )</v>
          </cell>
          <cell r="H21" t="str">
            <v>(       )</v>
          </cell>
          <cell r="I21" t="str">
            <v xml:space="preserve">   (</v>
          </cell>
          <cell r="R21" t="str">
            <v>)</v>
          </cell>
          <cell r="V21" t="str">
            <v xml:space="preserve">     )</v>
          </cell>
          <cell r="W21" t="str">
            <v>(       )</v>
          </cell>
          <cell r="X21" t="str">
            <v xml:space="preserve">   (</v>
          </cell>
        </row>
        <row r="29">
          <cell r="C29" t="str">
            <v>(</v>
          </cell>
          <cell r="R29" t="str">
            <v>(</v>
          </cell>
        </row>
        <row r="30">
          <cell r="C30" t="str">
            <v>)</v>
          </cell>
          <cell r="G30" t="str">
            <v xml:space="preserve">     )</v>
          </cell>
          <cell r="H30" t="str">
            <v>(       )</v>
          </cell>
          <cell r="I30" t="str">
            <v xml:space="preserve">   (</v>
          </cell>
          <cell r="R30" t="str">
            <v>)</v>
          </cell>
          <cell r="V30" t="str">
            <v xml:space="preserve">     )</v>
          </cell>
          <cell r="W30" t="str">
            <v>(       )</v>
          </cell>
          <cell r="X30" t="str">
            <v xml:space="preserve">   (</v>
          </cell>
        </row>
        <row r="32">
          <cell r="C32" t="str">
            <v>(</v>
          </cell>
          <cell r="R32" t="str">
            <v>(</v>
          </cell>
        </row>
        <row r="33">
          <cell r="C33" t="str">
            <v>)</v>
          </cell>
          <cell r="G33" t="str">
            <v xml:space="preserve">     )</v>
          </cell>
          <cell r="H33" t="str">
            <v>(       )</v>
          </cell>
          <cell r="I33" t="str">
            <v xml:space="preserve">   (</v>
          </cell>
          <cell r="R33" t="str">
            <v>)</v>
          </cell>
          <cell r="V33" t="str">
            <v xml:space="preserve">     )</v>
          </cell>
          <cell r="W33" t="str">
            <v>(       )</v>
          </cell>
          <cell r="X33" t="str">
            <v xml:space="preserve">   (</v>
          </cell>
        </row>
        <row r="35">
          <cell r="C35" t="str">
            <v>(</v>
          </cell>
          <cell r="R35" t="str">
            <v>(</v>
          </cell>
        </row>
        <row r="36">
          <cell r="C36" t="str">
            <v>)</v>
          </cell>
          <cell r="G36" t="str">
            <v xml:space="preserve">     )</v>
          </cell>
          <cell r="H36" t="str">
            <v>(       )</v>
          </cell>
          <cell r="I36" t="str">
            <v xml:space="preserve">   (</v>
          </cell>
          <cell r="R36" t="str">
            <v>)</v>
          </cell>
          <cell r="V36" t="str">
            <v xml:space="preserve">     )</v>
          </cell>
          <cell r="W36" t="str">
            <v>(       )</v>
          </cell>
          <cell r="X36" t="str">
            <v xml:space="preserve">   (</v>
          </cell>
        </row>
        <row r="38">
          <cell r="C38" t="str">
            <v>(</v>
          </cell>
          <cell r="R38" t="str">
            <v>(</v>
          </cell>
        </row>
        <row r="39">
          <cell r="C39" t="str">
            <v>)</v>
          </cell>
          <cell r="G39" t="str">
            <v xml:space="preserve">     )</v>
          </cell>
          <cell r="H39" t="str">
            <v>(       )</v>
          </cell>
          <cell r="I39" t="str">
            <v xml:space="preserve">   (</v>
          </cell>
          <cell r="R39" t="str">
            <v>)</v>
          </cell>
          <cell r="V39" t="str">
            <v xml:space="preserve">     )</v>
          </cell>
          <cell r="W39" t="str">
            <v>(       )</v>
          </cell>
          <cell r="X39" t="str">
            <v xml:space="preserve">   (</v>
          </cell>
        </row>
        <row r="41">
          <cell r="C41" t="str">
            <v>(</v>
          </cell>
          <cell r="R41" t="str">
            <v>(</v>
          </cell>
        </row>
        <row r="42">
          <cell r="C42" t="str">
            <v>)</v>
          </cell>
          <cell r="G42" t="str">
            <v xml:space="preserve">     )</v>
          </cell>
          <cell r="H42" t="str">
            <v>(       )</v>
          </cell>
          <cell r="I42" t="str">
            <v xml:space="preserve">   (</v>
          </cell>
          <cell r="R42" t="str">
            <v>)</v>
          </cell>
          <cell r="V42" t="str">
            <v xml:space="preserve">     )</v>
          </cell>
          <cell r="W42" t="str">
            <v>(       )</v>
          </cell>
          <cell r="X42" t="str">
            <v xml:space="preserve">   (</v>
          </cell>
        </row>
        <row r="44">
          <cell r="C44" t="str">
            <v>(</v>
          </cell>
          <cell r="R44" t="str">
            <v>(</v>
          </cell>
        </row>
        <row r="45">
          <cell r="C45" t="str">
            <v>)</v>
          </cell>
          <cell r="G45" t="str">
            <v xml:space="preserve">     )</v>
          </cell>
          <cell r="H45" t="str">
            <v>(       )</v>
          </cell>
          <cell r="I45" t="str">
            <v xml:space="preserve">   (</v>
          </cell>
          <cell r="R45" t="str">
            <v>)</v>
          </cell>
          <cell r="V45" t="str">
            <v xml:space="preserve">     )</v>
          </cell>
          <cell r="W45" t="str">
            <v>(       )</v>
          </cell>
          <cell r="X45" t="str">
            <v xml:space="preserve">   (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uter"/>
      <sheetName val="STEEL"/>
      <sheetName val="Straightening Temp."/>
      <sheetName val="NF Inspect Map quality "/>
      <sheetName val=" NF Inspect Map grind"/>
      <sheetName val="NF Inspect Map MACHINE"/>
      <sheetName val="NF Cond. Map"/>
      <sheetName val="Ni Hardness"/>
      <sheetName val="UT Verification"/>
      <sheetName val="final flat"/>
      <sheetName val="Cassette Distortion Check"/>
      <sheetName val="spc"/>
      <sheetName val="Hardness Measurements"/>
      <sheetName val="heat treat"/>
      <sheetName val="extra work"/>
      <sheetName val="FLOW TEST"/>
      <sheetName val="BOM"/>
      <sheetName val="WJMOD"/>
      <sheetName val="BOM (2)"/>
    </sheetNames>
    <sheetDataSet>
      <sheetData sheetId="0" refreshError="1"/>
      <sheetData sheetId="1" refreshError="1"/>
      <sheetData sheetId="2" refreshError="1">
        <row r="5">
          <cell r="C5" t="str">
            <v>(</v>
          </cell>
          <cell r="R5" t="str">
            <v>(</v>
          </cell>
        </row>
        <row r="6">
          <cell r="C6" t="str">
            <v>)</v>
          </cell>
          <cell r="G6" t="str">
            <v xml:space="preserve">     )</v>
          </cell>
          <cell r="H6" t="str">
            <v>(       )</v>
          </cell>
          <cell r="I6" t="str">
            <v xml:space="preserve">   (</v>
          </cell>
          <cell r="R6" t="str">
            <v>)</v>
          </cell>
          <cell r="V6" t="str">
            <v xml:space="preserve">     )</v>
          </cell>
          <cell r="W6" t="str">
            <v>(       )</v>
          </cell>
          <cell r="X6" t="str">
            <v xml:space="preserve">   (</v>
          </cell>
        </row>
        <row r="8">
          <cell r="C8" t="str">
            <v>(</v>
          </cell>
          <cell r="R8" t="str">
            <v>(</v>
          </cell>
        </row>
        <row r="9">
          <cell r="C9" t="str">
            <v>)</v>
          </cell>
          <cell r="G9" t="str">
            <v xml:space="preserve">     )</v>
          </cell>
          <cell r="H9" t="str">
            <v>(       )</v>
          </cell>
          <cell r="I9" t="str">
            <v xml:space="preserve">   (</v>
          </cell>
          <cell r="R9" t="str">
            <v>)</v>
          </cell>
          <cell r="V9" t="str">
            <v xml:space="preserve">     )</v>
          </cell>
          <cell r="W9" t="str">
            <v>(       )</v>
          </cell>
          <cell r="X9" t="str">
            <v xml:space="preserve">   (</v>
          </cell>
        </row>
        <row r="11">
          <cell r="C11" t="str">
            <v>(</v>
          </cell>
          <cell r="R11" t="str">
            <v>(</v>
          </cell>
        </row>
        <row r="12">
          <cell r="C12" t="str">
            <v>)</v>
          </cell>
          <cell r="G12" t="str">
            <v xml:space="preserve">     )</v>
          </cell>
          <cell r="H12" t="str">
            <v>(       )</v>
          </cell>
          <cell r="I12" t="str">
            <v xml:space="preserve">   (</v>
          </cell>
          <cell r="R12" t="str">
            <v>)</v>
          </cell>
          <cell r="V12" t="str">
            <v xml:space="preserve">     )</v>
          </cell>
          <cell r="W12" t="str">
            <v>(       )</v>
          </cell>
          <cell r="X12" t="str">
            <v xml:space="preserve">   (</v>
          </cell>
        </row>
        <row r="14">
          <cell r="C14" t="str">
            <v>(</v>
          </cell>
          <cell r="R14" t="str">
            <v>(</v>
          </cell>
        </row>
        <row r="15">
          <cell r="C15" t="str">
            <v>)</v>
          </cell>
          <cell r="G15" t="str">
            <v xml:space="preserve">     )</v>
          </cell>
          <cell r="H15" t="str">
            <v>(       )</v>
          </cell>
          <cell r="I15" t="str">
            <v xml:space="preserve">   (</v>
          </cell>
          <cell r="R15" t="str">
            <v>)</v>
          </cell>
          <cell r="V15" t="str">
            <v xml:space="preserve">     )</v>
          </cell>
          <cell r="W15" t="str">
            <v>(       )</v>
          </cell>
          <cell r="X15" t="str">
            <v xml:space="preserve">   (</v>
          </cell>
        </row>
        <row r="17">
          <cell r="C17" t="str">
            <v>(</v>
          </cell>
          <cell r="R17" t="str">
            <v>(</v>
          </cell>
        </row>
        <row r="18">
          <cell r="C18" t="str">
            <v>)</v>
          </cell>
          <cell r="G18" t="str">
            <v xml:space="preserve">     )</v>
          </cell>
          <cell r="H18" t="str">
            <v>(       )</v>
          </cell>
          <cell r="I18" t="str">
            <v xml:space="preserve">   (</v>
          </cell>
          <cell r="R18" t="str">
            <v>)</v>
          </cell>
          <cell r="V18" t="str">
            <v xml:space="preserve">     )</v>
          </cell>
          <cell r="W18" t="str">
            <v>(       )</v>
          </cell>
          <cell r="X18" t="str">
            <v xml:space="preserve">   (</v>
          </cell>
        </row>
        <row r="20">
          <cell r="C20" t="str">
            <v>(</v>
          </cell>
          <cell r="R20" t="str">
            <v>(</v>
          </cell>
        </row>
        <row r="21">
          <cell r="C21" t="str">
            <v>)</v>
          </cell>
          <cell r="G21" t="str">
            <v xml:space="preserve">     )</v>
          </cell>
          <cell r="H21" t="str">
            <v>(       )</v>
          </cell>
          <cell r="I21" t="str">
            <v xml:space="preserve">   (</v>
          </cell>
          <cell r="R21" t="str">
            <v>)</v>
          </cell>
          <cell r="V21" t="str">
            <v xml:space="preserve">     )</v>
          </cell>
          <cell r="W21" t="str">
            <v>(       )</v>
          </cell>
          <cell r="X21" t="str">
            <v xml:space="preserve">   (</v>
          </cell>
        </row>
        <row r="29">
          <cell r="C29" t="str">
            <v>(</v>
          </cell>
          <cell r="R29" t="str">
            <v>(</v>
          </cell>
        </row>
        <row r="30">
          <cell r="C30" t="str">
            <v>)</v>
          </cell>
          <cell r="G30" t="str">
            <v xml:space="preserve">     )</v>
          </cell>
          <cell r="H30" t="str">
            <v>(       )</v>
          </cell>
          <cell r="I30" t="str">
            <v xml:space="preserve">   (</v>
          </cell>
          <cell r="R30" t="str">
            <v>)</v>
          </cell>
          <cell r="V30" t="str">
            <v xml:space="preserve">     )</v>
          </cell>
          <cell r="W30" t="str">
            <v>(       )</v>
          </cell>
          <cell r="X30" t="str">
            <v xml:space="preserve">   (</v>
          </cell>
        </row>
        <row r="32">
          <cell r="C32" t="str">
            <v>(</v>
          </cell>
          <cell r="R32" t="str">
            <v>(</v>
          </cell>
        </row>
        <row r="33">
          <cell r="C33" t="str">
            <v>)</v>
          </cell>
          <cell r="G33" t="str">
            <v xml:space="preserve">     )</v>
          </cell>
          <cell r="H33" t="str">
            <v>(       )</v>
          </cell>
          <cell r="I33" t="str">
            <v xml:space="preserve">   (</v>
          </cell>
          <cell r="R33" t="str">
            <v>)</v>
          </cell>
          <cell r="V33" t="str">
            <v xml:space="preserve">     )</v>
          </cell>
          <cell r="W33" t="str">
            <v>(       )</v>
          </cell>
          <cell r="X33" t="str">
            <v xml:space="preserve">   (</v>
          </cell>
        </row>
        <row r="35">
          <cell r="C35" t="str">
            <v>(</v>
          </cell>
          <cell r="R35" t="str">
            <v>(</v>
          </cell>
        </row>
        <row r="36">
          <cell r="C36" t="str">
            <v>)</v>
          </cell>
          <cell r="G36" t="str">
            <v xml:space="preserve">     )</v>
          </cell>
          <cell r="H36" t="str">
            <v>(       )</v>
          </cell>
          <cell r="I36" t="str">
            <v xml:space="preserve">   (</v>
          </cell>
          <cell r="R36" t="str">
            <v>)</v>
          </cell>
          <cell r="V36" t="str">
            <v xml:space="preserve">     )</v>
          </cell>
          <cell r="W36" t="str">
            <v>(       )</v>
          </cell>
          <cell r="X36" t="str">
            <v xml:space="preserve">   (</v>
          </cell>
        </row>
        <row r="38">
          <cell r="C38" t="str">
            <v>(</v>
          </cell>
          <cell r="R38" t="str">
            <v>(</v>
          </cell>
        </row>
        <row r="39">
          <cell r="C39" t="str">
            <v>)</v>
          </cell>
          <cell r="G39" t="str">
            <v xml:space="preserve">     )</v>
          </cell>
          <cell r="H39" t="str">
            <v>(       )</v>
          </cell>
          <cell r="I39" t="str">
            <v xml:space="preserve">   (</v>
          </cell>
          <cell r="R39" t="str">
            <v>)</v>
          </cell>
          <cell r="V39" t="str">
            <v xml:space="preserve">     )</v>
          </cell>
          <cell r="W39" t="str">
            <v>(       )</v>
          </cell>
          <cell r="X39" t="str">
            <v xml:space="preserve">   (</v>
          </cell>
        </row>
        <row r="41">
          <cell r="C41" t="str">
            <v>(</v>
          </cell>
          <cell r="R41" t="str">
            <v>(</v>
          </cell>
        </row>
        <row r="42">
          <cell r="C42" t="str">
            <v>)</v>
          </cell>
          <cell r="G42" t="str">
            <v xml:space="preserve">     )</v>
          </cell>
          <cell r="H42" t="str">
            <v>(       )</v>
          </cell>
          <cell r="I42" t="str">
            <v xml:space="preserve">   (</v>
          </cell>
          <cell r="R42" t="str">
            <v>)</v>
          </cell>
          <cell r="V42" t="str">
            <v xml:space="preserve">     )</v>
          </cell>
          <cell r="W42" t="str">
            <v>(       )</v>
          </cell>
          <cell r="X42" t="str">
            <v xml:space="preserve">   (</v>
          </cell>
        </row>
        <row r="44">
          <cell r="C44" t="str">
            <v>(</v>
          </cell>
          <cell r="R44" t="str">
            <v>(</v>
          </cell>
        </row>
        <row r="45">
          <cell r="C45" t="str">
            <v>)</v>
          </cell>
          <cell r="G45" t="str">
            <v xml:space="preserve">     )</v>
          </cell>
          <cell r="H45" t="str">
            <v>(       )</v>
          </cell>
          <cell r="I45" t="str">
            <v xml:space="preserve">   (</v>
          </cell>
          <cell r="R45" t="str">
            <v>)</v>
          </cell>
          <cell r="V45" t="str">
            <v xml:space="preserve">     )</v>
          </cell>
          <cell r="W45" t="str">
            <v>(       )</v>
          </cell>
          <cell r="X45" t="str">
            <v xml:space="preserve">   (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"/>
      <sheetName val="B"/>
      <sheetName val="G"/>
      <sheetName val="SA"/>
      <sheetName val="ZA"/>
      <sheetName val="FA"/>
      <sheetName val="Vor"/>
      <sheetName val="Inter"/>
      <sheetName val="soVG"/>
      <sheetName val="Liqu"/>
      <sheetName val="Kap"/>
      <sheetName val="SoPo"/>
      <sheetName val="RSt"/>
      <sheetName val="soVerb"/>
      <sheetName val="Ergeb"/>
      <sheetName val="sbE"/>
      <sheetName val="sbA"/>
      <sheetName val="FErg"/>
      <sheetName val="aoErg"/>
      <sheetName val="Haft"/>
      <sheetName val="Pers"/>
    </sheetNames>
    <sheetDataSet>
      <sheetData sheetId="0" refreshError="1">
        <row r="5">
          <cell r="C5" t="str">
            <v>EUR</v>
          </cell>
        </row>
      </sheetData>
      <sheetData sheetId="1" refreshError="1">
        <row r="3">
          <cell r="C3" t="str">
            <v>PwC</v>
          </cell>
        </row>
        <row r="4">
          <cell r="C4" t="str">
            <v>00541 3304 636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checks"/>
      <sheetName val="summary"/>
      <sheetName val="result total"/>
      <sheetName val="io total"/>
      <sheetName val="sales total"/>
      <sheetName val="contract exp. total"/>
      <sheetName val="Overheads"/>
      <sheetName val="result metallurgy"/>
      <sheetName val="io metallurgy"/>
      <sheetName val="sales metallurgy"/>
      <sheetName val="contract exp. metallurgy"/>
      <sheetName val="gross margin metallurgy"/>
      <sheetName val="result caster"/>
      <sheetName val="io caster"/>
      <sheetName val="sales caster"/>
      <sheetName val="contract exp. caster"/>
      <sheetName val="gross margin caster"/>
      <sheetName val="result hot"/>
      <sheetName val="io hot"/>
      <sheetName val="sales hot"/>
      <sheetName val="contract exp. hot"/>
      <sheetName val="gross margin hot"/>
      <sheetName val="result cold"/>
      <sheetName val="io cold"/>
      <sheetName val="sales cold"/>
      <sheetName val="contract exp. cold"/>
      <sheetName val="gross margin cold"/>
      <sheetName val="result aluminium"/>
      <sheetName val="io aluminium"/>
      <sheetName val="sales aluminium"/>
      <sheetName val="contract exp. aluminium"/>
      <sheetName val="gross margin aluminium"/>
      <sheetName val="result processing lines"/>
      <sheetName val="io processing lines"/>
      <sheetName val="sales processing lines"/>
      <sheetName val="contract exp. processing lines"/>
      <sheetName val="gross margin processing lines"/>
      <sheetName val="result ea own business"/>
      <sheetName val="io ea own business"/>
      <sheetName val="sales ea own business"/>
      <sheetName val="contract exp. ea own business"/>
      <sheetName val="gross margin ea own business"/>
      <sheetName val="result dummy"/>
      <sheetName val="io dummy"/>
      <sheetName val="sales dummy"/>
      <sheetName val="contract exp. dummy"/>
      <sheetName val="gross margin dummy"/>
      <sheetName val="Tabelle4"/>
      <sheetName val="result others"/>
      <sheetName val="Oct2014-Summ"/>
      <sheetName val="Oct2014"/>
      <sheetName val="Summ-Bud&amp;ActCost-Oct14"/>
      <sheetName val="TeemingLadle"/>
      <sheetName val="Sheet3"/>
    </sheetNames>
    <sheetDataSet>
      <sheetData sheetId="0">
        <row r="12">
          <cell r="G12" t="str">
            <v>Plan</v>
          </cell>
        </row>
        <row r="13">
          <cell r="G13" t="str">
            <v>FC1</v>
          </cell>
        </row>
        <row r="14">
          <cell r="G14" t="str">
            <v>FC2</v>
          </cell>
        </row>
        <row r="20">
          <cell r="A20" t="str">
            <v>Ext</v>
          </cell>
          <cell r="B20">
            <v>99999</v>
          </cell>
        </row>
        <row r="21">
          <cell r="A21" t="str">
            <v>SDE</v>
          </cell>
          <cell r="B21">
            <v>30120</v>
          </cell>
        </row>
        <row r="22">
          <cell r="A22" t="str">
            <v>SLX</v>
          </cell>
          <cell r="B22">
            <v>32030</v>
          </cell>
        </row>
        <row r="23">
          <cell r="A23" t="str">
            <v>SDT</v>
          </cell>
          <cell r="B23">
            <v>30110</v>
          </cell>
        </row>
        <row r="24">
          <cell r="A24" t="str">
            <v>STC</v>
          </cell>
          <cell r="B24">
            <v>31440</v>
          </cell>
        </row>
        <row r="25">
          <cell r="A25" t="str">
            <v>SUS</v>
          </cell>
          <cell r="B25">
            <v>30720</v>
          </cell>
        </row>
        <row r="26">
          <cell r="A26" t="str">
            <v>SMI</v>
          </cell>
          <cell r="B26">
            <v>31790</v>
          </cell>
        </row>
        <row r="27">
          <cell r="A27" t="str">
            <v>CST</v>
          </cell>
          <cell r="B27">
            <v>30510</v>
          </cell>
        </row>
        <row r="28">
          <cell r="A28" t="str">
            <v>Meer</v>
          </cell>
          <cell r="B28">
            <v>30430</v>
          </cell>
        </row>
        <row r="29">
          <cell r="A29" t="str">
            <v>SBR</v>
          </cell>
          <cell r="B29">
            <v>30480</v>
          </cell>
        </row>
        <row r="30">
          <cell r="A30" t="str">
            <v>SZA</v>
          </cell>
          <cell r="B30">
            <v>30490</v>
          </cell>
        </row>
        <row r="31">
          <cell r="A31" t="str">
            <v>SIN</v>
          </cell>
          <cell r="B31">
            <v>30380</v>
          </cell>
        </row>
        <row r="32">
          <cell r="A32" t="str">
            <v>Dummy1</v>
          </cell>
          <cell r="B32">
            <v>90001</v>
          </cell>
        </row>
        <row r="33">
          <cell r="A33" t="str">
            <v>Dummy2</v>
          </cell>
          <cell r="B33">
            <v>90002</v>
          </cell>
        </row>
        <row r="57">
          <cell r="C57" t="str">
            <v>44 SAF</v>
          </cell>
          <cell r="G57" t="str">
            <v>72 CSP-Caster</v>
          </cell>
          <cell r="L57" t="str">
            <v>52 Plate/Steckel-mills</v>
          </cell>
        </row>
        <row r="58">
          <cell r="C58" t="str">
            <v>46 EAF-Route</v>
          </cell>
          <cell r="G58" t="str">
            <v>73 Caster-LP</v>
          </cell>
          <cell r="L58" t="str">
            <v>56 CSP Mills</v>
          </cell>
        </row>
        <row r="59">
          <cell r="C59" t="str">
            <v>47 BOF-Route</v>
          </cell>
          <cell r="G59" t="str">
            <v>76 Slab Caster</v>
          </cell>
          <cell r="L59" t="str">
            <v>60 Conv. HSM</v>
          </cell>
        </row>
        <row r="60">
          <cell r="C60" t="str">
            <v>48 STW-Stainless</v>
          </cell>
          <cell r="G60" t="str">
            <v>78 Bandgießanlagen</v>
          </cell>
        </row>
        <row r="67">
          <cell r="C67" t="str">
            <v>55 RCM / SPM</v>
          </cell>
          <cell r="G67" t="str">
            <v>53 Alu-Hot</v>
          </cell>
          <cell r="L67" t="str">
            <v>38 SPL stainless steel</v>
          </cell>
        </row>
        <row r="68">
          <cell r="C68" t="str">
            <v>65 TCM</v>
          </cell>
          <cell r="G68" t="str">
            <v>66 CRM Alu, NF</v>
          </cell>
          <cell r="L68" t="str">
            <v>51 SPL Hot</v>
          </cell>
        </row>
        <row r="69">
          <cell r="C69" t="str">
            <v>69 Stainless Steel Mills</v>
          </cell>
          <cell r="L69" t="str">
            <v>67 SPL cold</v>
          </cell>
        </row>
        <row r="77">
          <cell r="C77" t="str">
            <v>98 Spare parts</v>
          </cell>
        </row>
        <row r="78">
          <cell r="C78" t="str">
            <v>81 Service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Router"/>
      <sheetName val="Ni Hardness"/>
      <sheetName val="tc broadface"/>
      <sheetName val="Strip"/>
      <sheetName val="Electrical List"/>
      <sheetName val="Baffle Plate"/>
      <sheetName val="UT Verification"/>
      <sheetName val="Width Avoidance"/>
      <sheetName val="BF Inspt Report"/>
      <sheetName val="Nickel Rounds"/>
      <sheetName val="extra work"/>
      <sheetName val="studweld"/>
      <sheetName val="CONDITION MAP"/>
      <sheetName val="BOM"/>
      <sheetName val="BOM2"/>
      <sheetName val="BOM3"/>
      <sheetName val="Horizontal Edge Inspt"/>
      <sheetName val="Vertical Edge Ins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2">
          <cell r="B32">
            <v>1</v>
          </cell>
          <cell r="C32">
            <v>3</v>
          </cell>
          <cell r="E32">
            <v>5</v>
          </cell>
          <cell r="F32">
            <v>7</v>
          </cell>
          <cell r="H32">
            <v>9</v>
          </cell>
          <cell r="I32">
            <v>11</v>
          </cell>
          <cell r="K32">
            <v>13</v>
          </cell>
          <cell r="L32">
            <v>15</v>
          </cell>
          <cell r="N32">
            <v>17</v>
          </cell>
          <cell r="O32">
            <v>19</v>
          </cell>
          <cell r="Q32">
            <v>21</v>
          </cell>
          <cell r="R32">
            <v>23</v>
          </cell>
          <cell r="T32">
            <v>25</v>
          </cell>
          <cell r="U32">
            <v>27</v>
          </cell>
          <cell r="W32">
            <v>29</v>
          </cell>
          <cell r="X32">
            <v>31</v>
          </cell>
        </row>
        <row r="33">
          <cell r="B33">
            <v>2</v>
          </cell>
          <cell r="C33">
            <v>4</v>
          </cell>
          <cell r="E33">
            <v>6</v>
          </cell>
          <cell r="F33">
            <v>8</v>
          </cell>
          <cell r="H33">
            <v>10</v>
          </cell>
          <cell r="I33">
            <v>12</v>
          </cell>
          <cell r="K33">
            <v>14</v>
          </cell>
          <cell r="L33">
            <v>16</v>
          </cell>
          <cell r="N33">
            <v>18</v>
          </cell>
          <cell r="O33">
            <v>20</v>
          </cell>
          <cell r="Q33">
            <v>22</v>
          </cell>
          <cell r="R33">
            <v>24</v>
          </cell>
          <cell r="T33">
            <v>26</v>
          </cell>
          <cell r="U33">
            <v>28</v>
          </cell>
          <cell r="W33">
            <v>30</v>
          </cell>
          <cell r="X33">
            <v>32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y"/>
      <sheetName val="Header"/>
      <sheetName val="P&amp;L"/>
      <sheetName val="Bal.Sheet-Adjustments"/>
      <sheetName val="Details1"/>
      <sheetName val="Details2"/>
      <sheetName val="Details 3"/>
      <sheetName val="Details 4"/>
      <sheetName val="Key data"/>
      <sheetName val="CF-Details"/>
      <sheetName val="Comments 1"/>
      <sheetName val="Comments 2"/>
    </sheetNames>
    <sheetDataSet>
      <sheetData sheetId="0" refreshError="1"/>
      <sheetData sheetId="1"/>
      <sheetData sheetId="2" refreshError="1">
        <row r="6">
          <cell r="A6" t="str">
            <v>Data Input Table - Actual</v>
          </cell>
        </row>
        <row r="9">
          <cell r="A9" t="str">
            <v>Profit  + Loss Statement</v>
          </cell>
        </row>
        <row r="10">
          <cell r="A10" t="str">
            <v>MU207011FT01</v>
          </cell>
        </row>
        <row r="11">
          <cell r="A11" t="str">
            <v>MU Austria FT</v>
          </cell>
        </row>
        <row r="14">
          <cell r="A14" t="str">
            <v>Actual Quarter</v>
          </cell>
          <cell r="E14" t="str">
            <v>HB I</v>
          </cell>
          <cell r="F14" t="str">
            <v>Adjustments</v>
          </cell>
          <cell r="G14" t="str">
            <v>HB II</v>
          </cell>
        </row>
        <row r="15">
          <cell r="A15" t="str">
            <v>3 / 2000</v>
          </cell>
        </row>
        <row r="16">
          <cell r="A16">
            <v>73011000</v>
          </cell>
          <cell r="B16" t="str">
            <v xml:space="preserve">Net sales third parties             </v>
          </cell>
          <cell r="C16">
            <v>78301100</v>
          </cell>
          <cell r="D16" t="e">
            <v>#NAME?</v>
          </cell>
          <cell r="E16">
            <v>0</v>
          </cell>
        </row>
        <row r="17">
          <cell r="A17">
            <v>73014000</v>
          </cell>
          <cell r="B17" t="str">
            <v>Net sales non-consolidated companies</v>
          </cell>
          <cell r="C17">
            <v>78301400</v>
          </cell>
          <cell r="D17" t="e">
            <v>#NAME?</v>
          </cell>
          <cell r="E17">
            <v>0</v>
          </cell>
        </row>
        <row r="18">
          <cell r="A18">
            <v>73012000</v>
          </cell>
          <cell r="B18" t="str">
            <v>Net sales affiliates own gr.division</v>
          </cell>
          <cell r="C18">
            <v>78301200</v>
          </cell>
          <cell r="D18" t="e">
            <v>#NAME?</v>
          </cell>
          <cell r="E18">
            <v>0</v>
          </cell>
        </row>
        <row r="19">
          <cell r="A19">
            <v>73013005</v>
          </cell>
          <cell r="B19" t="str">
            <v>..... Fresenius AG/Corporate</v>
          </cell>
          <cell r="C19">
            <v>78301305</v>
          </cell>
          <cell r="D19" t="e">
            <v>#NAME?</v>
          </cell>
          <cell r="E19">
            <v>0</v>
          </cell>
        </row>
        <row r="20">
          <cell r="A20">
            <v>73013001</v>
          </cell>
          <cell r="B20" t="str">
            <v>..... FMC</v>
          </cell>
          <cell r="C20">
            <v>78301301</v>
          </cell>
          <cell r="D20" t="e">
            <v>#NAME?</v>
          </cell>
          <cell r="E20">
            <v>0</v>
          </cell>
        </row>
        <row r="21">
          <cell r="A21">
            <v>73013002</v>
          </cell>
          <cell r="B21" t="str">
            <v>..... Kabi</v>
          </cell>
          <cell r="C21">
            <v>78301302</v>
          </cell>
          <cell r="D21" t="e">
            <v>#NAME?</v>
          </cell>
          <cell r="E21">
            <v>0</v>
          </cell>
        </row>
        <row r="22">
          <cell r="A22">
            <v>73013004</v>
          </cell>
          <cell r="B22" t="str">
            <v>..... HemoCare</v>
          </cell>
          <cell r="C22">
            <v>78301304</v>
          </cell>
          <cell r="D22" t="e">
            <v>#NAME?</v>
          </cell>
          <cell r="E22">
            <v>0</v>
          </cell>
        </row>
        <row r="23">
          <cell r="A23">
            <v>73013003</v>
          </cell>
          <cell r="B23" t="str">
            <v>..... Proserve</v>
          </cell>
          <cell r="C23">
            <v>78301303</v>
          </cell>
          <cell r="D23" t="e">
            <v>#NAME?</v>
          </cell>
          <cell r="E23">
            <v>0</v>
          </cell>
        </row>
        <row r="24">
          <cell r="A24">
            <v>73013000</v>
          </cell>
          <cell r="B24" t="str">
            <v xml:space="preserve">Net Sales other group divisions     </v>
          </cell>
          <cell r="E24">
            <v>0</v>
          </cell>
        </row>
        <row r="25">
          <cell r="A25">
            <v>73010000</v>
          </cell>
          <cell r="B25" t="str">
            <v>Net Sales</v>
          </cell>
          <cell r="E25">
            <v>0</v>
          </cell>
        </row>
        <row r="26">
          <cell r="A26">
            <v>74100000</v>
          </cell>
          <cell r="B26" t="str">
            <v>Increase / Decrease in finished goods and work in process</v>
          </cell>
          <cell r="C26">
            <v>78410000</v>
          </cell>
          <cell r="D26" t="e">
            <v>#NAME?</v>
          </cell>
          <cell r="E26">
            <v>0</v>
          </cell>
        </row>
        <row r="27">
          <cell r="A27">
            <v>74301010</v>
          </cell>
          <cell r="B27" t="str">
            <v xml:space="preserve">Other income third parties </v>
          </cell>
          <cell r="C27">
            <v>78430110</v>
          </cell>
          <cell r="D27" t="e">
            <v>#NAME?</v>
          </cell>
          <cell r="E27">
            <v>0</v>
          </cell>
        </row>
        <row r="28">
          <cell r="A28">
            <v>74301020</v>
          </cell>
          <cell r="B28" t="str">
            <v>Other income non-consolidated affiliates</v>
          </cell>
          <cell r="C28">
            <v>78430120</v>
          </cell>
          <cell r="D28" t="e">
            <v>#NAME?</v>
          </cell>
          <cell r="E28">
            <v>0</v>
          </cell>
        </row>
        <row r="29">
          <cell r="A29">
            <v>74301030</v>
          </cell>
          <cell r="B29" t="str">
            <v>Other incomes affiliates  (consolidated companies of own Group Division)</v>
          </cell>
          <cell r="C29">
            <v>78430130</v>
          </cell>
          <cell r="D29" t="e">
            <v>#NAME?</v>
          </cell>
          <cell r="E29">
            <v>0</v>
          </cell>
        </row>
        <row r="30">
          <cell r="A30">
            <v>74301045</v>
          </cell>
          <cell r="B30" t="str">
            <v>..... Fresenius AG/Corporate</v>
          </cell>
          <cell r="C30">
            <v>78430145</v>
          </cell>
          <cell r="D30" t="e">
            <v>#NAME?</v>
          </cell>
          <cell r="E30">
            <v>0</v>
          </cell>
        </row>
        <row r="31">
          <cell r="A31">
            <v>74301041</v>
          </cell>
          <cell r="B31" t="str">
            <v>..... FMC</v>
          </cell>
          <cell r="C31">
            <v>78430141</v>
          </cell>
          <cell r="D31" t="e">
            <v>#NAME?</v>
          </cell>
          <cell r="E31">
            <v>0</v>
          </cell>
        </row>
        <row r="32">
          <cell r="A32">
            <v>74301042</v>
          </cell>
          <cell r="B32" t="str">
            <v>..... Kabi</v>
          </cell>
          <cell r="C32">
            <v>78430142</v>
          </cell>
          <cell r="D32" t="e">
            <v>#NAME?</v>
          </cell>
          <cell r="E32">
            <v>0</v>
          </cell>
        </row>
        <row r="33">
          <cell r="A33">
            <v>74301044</v>
          </cell>
          <cell r="B33" t="str">
            <v>..... HemoCare</v>
          </cell>
          <cell r="C33">
            <v>78430144</v>
          </cell>
          <cell r="D33" t="e">
            <v>#NAME?</v>
          </cell>
          <cell r="E33">
            <v>0</v>
          </cell>
        </row>
        <row r="34">
          <cell r="A34">
            <v>74301043</v>
          </cell>
          <cell r="B34" t="str">
            <v>..... Proserve</v>
          </cell>
          <cell r="C34">
            <v>78430143</v>
          </cell>
          <cell r="D34" t="e">
            <v>#NAME?</v>
          </cell>
          <cell r="E34">
            <v>0</v>
          </cell>
        </row>
        <row r="35">
          <cell r="A35">
            <v>74301040</v>
          </cell>
          <cell r="B35" t="str">
            <v>Other income Affiliates  (consolidated companies of other Fresenius Group Divisions)</v>
          </cell>
          <cell r="E35">
            <v>0</v>
          </cell>
        </row>
        <row r="36">
          <cell r="A36">
            <v>74301000</v>
          </cell>
          <cell r="B36" t="str">
            <v>Other income</v>
          </cell>
          <cell r="E36">
            <v>0</v>
          </cell>
        </row>
        <row r="37">
          <cell r="A37">
            <v>74400000</v>
          </cell>
          <cell r="B37" t="str">
            <v>Cost of material</v>
          </cell>
          <cell r="C37">
            <v>78440000</v>
          </cell>
          <cell r="D37" t="e">
            <v>#NAME?</v>
          </cell>
          <cell r="E37">
            <v>0</v>
          </cell>
        </row>
        <row r="38">
          <cell r="A38">
            <v>74500000</v>
          </cell>
          <cell r="B38" t="str">
            <v>Personnel expenses</v>
          </cell>
          <cell r="C38">
            <v>78450000</v>
          </cell>
          <cell r="D38" t="e">
            <v>#NAME?</v>
          </cell>
          <cell r="E38">
            <v>0</v>
          </cell>
        </row>
        <row r="39">
          <cell r="A39">
            <v>74600000</v>
          </cell>
          <cell r="B39" t="str">
            <v>Depreciation expenses</v>
          </cell>
          <cell r="C39">
            <v>78460000</v>
          </cell>
          <cell r="D39" t="e">
            <v>#NAME?</v>
          </cell>
          <cell r="E39">
            <v>0</v>
          </cell>
        </row>
        <row r="40">
          <cell r="A40">
            <v>74700000</v>
          </cell>
          <cell r="B40" t="str">
            <v>Other expenses</v>
          </cell>
          <cell r="C40">
            <v>78470000</v>
          </cell>
          <cell r="D40" t="e">
            <v>#NAME?</v>
          </cell>
          <cell r="E40">
            <v>0</v>
          </cell>
        </row>
        <row r="41">
          <cell r="A41">
            <v>74800000</v>
          </cell>
          <cell r="B41" t="str">
            <v>Other taxes</v>
          </cell>
          <cell r="C41">
            <v>78480000</v>
          </cell>
          <cell r="D41" t="e">
            <v>#NAME?</v>
          </cell>
          <cell r="E41">
            <v>0</v>
          </cell>
        </row>
        <row r="42">
          <cell r="A42">
            <v>73320001</v>
          </cell>
          <cell r="B42" t="str">
            <v>Income from investments in affiliates</v>
          </cell>
          <cell r="C42">
            <v>78332001</v>
          </cell>
          <cell r="D42" t="e">
            <v>#NAME?</v>
          </cell>
          <cell r="E42">
            <v>0</v>
          </cell>
        </row>
        <row r="43">
          <cell r="A43">
            <v>73330001</v>
          </cell>
          <cell r="B43" t="str">
            <v>other financial income</v>
          </cell>
          <cell r="C43">
            <v>78333001</v>
          </cell>
          <cell r="D43" t="e">
            <v>#NAME?</v>
          </cell>
          <cell r="E43">
            <v>0</v>
          </cell>
        </row>
        <row r="44">
          <cell r="A44">
            <v>73300000</v>
          </cell>
          <cell r="B44" t="str">
            <v>EBIT</v>
          </cell>
          <cell r="E44">
            <v>0</v>
          </cell>
        </row>
        <row r="45">
          <cell r="A45">
            <v>73310000</v>
          </cell>
          <cell r="B45" t="str">
            <v>Net interest</v>
          </cell>
          <cell r="C45">
            <v>78331000</v>
          </cell>
          <cell r="D45" t="e">
            <v>#NAME?</v>
          </cell>
          <cell r="E45">
            <v>0</v>
          </cell>
        </row>
        <row r="46">
          <cell r="A46">
            <v>73400000</v>
          </cell>
          <cell r="B46" t="str">
            <v>EBT (Earnings before income taxes)</v>
          </cell>
          <cell r="E46">
            <v>0</v>
          </cell>
        </row>
        <row r="47">
          <cell r="A47">
            <v>73421100</v>
          </cell>
          <cell r="B47" t="str">
            <v>taxes payable on EBT without P&amp;L transfer</v>
          </cell>
          <cell r="C47">
            <v>78342110</v>
          </cell>
          <cell r="D47" t="e">
            <v>#NAME?</v>
          </cell>
          <cell r="E47">
            <v>0</v>
          </cell>
        </row>
        <row r="48">
          <cell r="A48">
            <v>73422300</v>
          </cell>
          <cell r="B48" t="str">
            <v xml:space="preserve">effect forecasted taxes (Kabi only) </v>
          </cell>
          <cell r="C48">
            <v>78342230</v>
          </cell>
          <cell r="D48" t="e">
            <v>#NAME?</v>
          </cell>
          <cell r="E48">
            <v>0</v>
          </cell>
        </row>
        <row r="49">
          <cell r="A49">
            <v>73421200</v>
          </cell>
          <cell r="B49" t="str">
            <v>deferred taxes</v>
          </cell>
          <cell r="C49">
            <v>78342120</v>
          </cell>
          <cell r="D49" t="e">
            <v>#NAME?</v>
          </cell>
          <cell r="E49">
            <v>0</v>
          </cell>
        </row>
        <row r="50">
          <cell r="A50">
            <v>73421000</v>
          </cell>
          <cell r="B50" t="str">
            <v>Income taxes</v>
          </cell>
          <cell r="E50">
            <v>0</v>
          </cell>
        </row>
        <row r="51">
          <cell r="A51">
            <v>73500000</v>
          </cell>
          <cell r="B51" t="str">
            <v>EAT (Earnings after income taxes)</v>
          </cell>
          <cell r="E51">
            <v>0</v>
          </cell>
        </row>
        <row r="52">
          <cell r="A52">
            <v>73521000</v>
          </cell>
          <cell r="B52" t="str">
            <v>loss absorption income</v>
          </cell>
          <cell r="C52">
            <v>78352100</v>
          </cell>
          <cell r="D52" t="e">
            <v>#NAME?</v>
          </cell>
          <cell r="E52">
            <v>0</v>
          </cell>
        </row>
        <row r="53">
          <cell r="A53">
            <v>73521010</v>
          </cell>
          <cell r="B53" t="str">
            <v>loss absorption expense</v>
          </cell>
          <cell r="C53">
            <v>78352101</v>
          </cell>
          <cell r="D53" t="e">
            <v>#NAME?</v>
          </cell>
          <cell r="E53">
            <v>0</v>
          </cell>
        </row>
        <row r="54">
          <cell r="A54">
            <v>73522000</v>
          </cell>
          <cell r="B54" t="str">
            <v>income from P&amp;L transfer agreements</v>
          </cell>
          <cell r="C54">
            <v>78352200</v>
          </cell>
          <cell r="D54" t="e">
            <v>#NAME?</v>
          </cell>
          <cell r="E54">
            <v>0</v>
          </cell>
        </row>
        <row r="55">
          <cell r="A55">
            <v>73522010</v>
          </cell>
          <cell r="B55" t="str">
            <v>income from P&amp;L transfer agreements</v>
          </cell>
          <cell r="C55">
            <v>78352201</v>
          </cell>
          <cell r="D55" t="e">
            <v>#NAME?</v>
          </cell>
          <cell r="E55">
            <v>0</v>
          </cell>
        </row>
        <row r="56">
          <cell r="A56">
            <v>73523000</v>
          </cell>
          <cell r="B56" t="str">
            <v>expense taxes on loss absorption, P&amp;L transfer</v>
          </cell>
          <cell r="C56">
            <v>78352300</v>
          </cell>
          <cell r="D56" t="e">
            <v>#NAME?</v>
          </cell>
          <cell r="E56">
            <v>0</v>
          </cell>
        </row>
        <row r="57">
          <cell r="A57">
            <v>73520000</v>
          </cell>
          <cell r="B57" t="str">
            <v>EAT II (after profit and loss transfer)</v>
          </cell>
          <cell r="E57">
            <v>0</v>
          </cell>
        </row>
        <row r="58">
          <cell r="A58">
            <v>73511000</v>
          </cell>
          <cell r="B58" t="str">
            <v>Ret. earnings / acc. deficit</v>
          </cell>
          <cell r="C58">
            <v>78351200</v>
          </cell>
          <cell r="D58" t="e">
            <v>#NAME?</v>
          </cell>
          <cell r="E58">
            <v>0</v>
          </cell>
        </row>
        <row r="59">
          <cell r="A59">
            <v>73512000</v>
          </cell>
          <cell r="B59" t="str">
            <v>Drawings from reserves</v>
          </cell>
          <cell r="C59">
            <v>78351300</v>
          </cell>
          <cell r="D59" t="e">
            <v>#NAME?</v>
          </cell>
          <cell r="E59">
            <v>0</v>
          </cell>
        </row>
        <row r="60">
          <cell r="A60">
            <v>73513000</v>
          </cell>
          <cell r="B60" t="str">
            <v>Addition to reserves</v>
          </cell>
          <cell r="C60">
            <v>78351000</v>
          </cell>
          <cell r="D60" t="e">
            <v>#NAME?</v>
          </cell>
          <cell r="E60">
            <v>0</v>
          </cell>
        </row>
        <row r="61">
          <cell r="A61">
            <v>73510000</v>
          </cell>
          <cell r="B61" t="str">
            <v>Distributed dividends</v>
          </cell>
          <cell r="E61">
            <v>0</v>
          </cell>
        </row>
        <row r="62">
          <cell r="A62">
            <v>73551000</v>
          </cell>
          <cell r="B62" t="str">
            <v xml:space="preserve"> Ret. earnings / deficit accumulated</v>
          </cell>
          <cell r="C62">
            <v>78355100</v>
          </cell>
          <cell r="E62">
            <v>0</v>
          </cell>
        </row>
        <row r="66">
          <cell r="B66" t="str">
            <v xml:space="preserve"> </v>
          </cell>
        </row>
      </sheetData>
      <sheetData sheetId="3" refreshError="1">
        <row r="6">
          <cell r="A6" t="str">
            <v>Data Input Table - Actual</v>
          </cell>
        </row>
        <row r="7">
          <cell r="C7" t="str">
            <v>Please enter only Adjustments !</v>
          </cell>
        </row>
        <row r="9">
          <cell r="A9" t="str">
            <v>Balance Sheet</v>
          </cell>
        </row>
        <row r="10">
          <cell r="A10" t="str">
            <v>MU207011FT01</v>
          </cell>
        </row>
        <row r="11">
          <cell r="A11" t="str">
            <v>MU Austria FT</v>
          </cell>
        </row>
        <row r="14">
          <cell r="A14" t="str">
            <v>Actual Quarter</v>
          </cell>
          <cell r="F14" t="str">
            <v>HB I</v>
          </cell>
          <cell r="G14" t="str">
            <v>Adjustments</v>
          </cell>
          <cell r="H14" t="str">
            <v>HB II</v>
          </cell>
        </row>
        <row r="15">
          <cell r="A15" t="str">
            <v>3 / 2000</v>
          </cell>
        </row>
        <row r="16">
          <cell r="A16">
            <v>71101000</v>
          </cell>
          <cell r="B16" t="str">
            <v>Intangible assets</v>
          </cell>
          <cell r="C16" t="str">
            <v>+</v>
          </cell>
          <cell r="D16">
            <v>79110100</v>
          </cell>
          <cell r="F16">
            <v>0</v>
          </cell>
        </row>
        <row r="17">
          <cell r="A17">
            <v>71104000</v>
          </cell>
          <cell r="B17" t="str">
            <v>Tangible assets (Kabi only)</v>
          </cell>
          <cell r="D17">
            <v>79110200</v>
          </cell>
          <cell r="F17">
            <v>0</v>
          </cell>
        </row>
        <row r="18">
          <cell r="A18">
            <v>71105010</v>
          </cell>
          <cell r="B18" t="str">
            <v>Shares in affiliates</v>
          </cell>
          <cell r="C18" t="str">
            <v>+</v>
          </cell>
          <cell r="D18">
            <v>79110501</v>
          </cell>
          <cell r="F18">
            <v>0</v>
          </cell>
        </row>
        <row r="19">
          <cell r="A19">
            <v>71105020</v>
          </cell>
          <cell r="B19" t="str">
            <v>Loans to affiliates (financing)</v>
          </cell>
          <cell r="C19" t="str">
            <v>+</v>
          </cell>
          <cell r="D19">
            <v>79110502</v>
          </cell>
          <cell r="F19">
            <v>0</v>
          </cell>
        </row>
        <row r="20">
          <cell r="A20">
            <v>71105030</v>
          </cell>
          <cell r="B20" t="str">
            <v>Other financial assets</v>
          </cell>
          <cell r="C20" t="str">
            <v>+</v>
          </cell>
          <cell r="D20">
            <v>79110503</v>
          </cell>
          <cell r="F20">
            <v>0</v>
          </cell>
        </row>
        <row r="21">
          <cell r="A21">
            <v>71105000</v>
          </cell>
          <cell r="B21" t="str">
            <v>Financial assets</v>
          </cell>
          <cell r="C21" t="str">
            <v>+</v>
          </cell>
          <cell r="F21">
            <v>0</v>
          </cell>
          <cell r="G21">
            <v>0</v>
          </cell>
        </row>
        <row r="22">
          <cell r="A22">
            <v>71100000</v>
          </cell>
          <cell r="B22" t="str">
            <v>Fixed assets</v>
          </cell>
          <cell r="F22">
            <v>0</v>
          </cell>
          <cell r="G22">
            <v>0</v>
          </cell>
        </row>
        <row r="23">
          <cell r="A23">
            <v>71211100</v>
          </cell>
          <cell r="B23" t="str">
            <v>Raw material&amp;supplies affiliates</v>
          </cell>
          <cell r="C23" t="str">
            <v>+</v>
          </cell>
          <cell r="D23">
            <v>79121110</v>
          </cell>
          <cell r="F23">
            <v>0</v>
          </cell>
        </row>
        <row r="24">
          <cell r="A24">
            <v>71211200</v>
          </cell>
          <cell r="B24" t="str">
            <v>Raw material&amp;supplies third parties</v>
          </cell>
          <cell r="C24" t="str">
            <v>+</v>
          </cell>
          <cell r="D24">
            <v>79121120</v>
          </cell>
          <cell r="F24">
            <v>0</v>
          </cell>
        </row>
        <row r="25">
          <cell r="A25">
            <v>71211000</v>
          </cell>
          <cell r="B25" t="str">
            <v>Raw material and supplies</v>
          </cell>
          <cell r="F25">
            <v>0</v>
          </cell>
          <cell r="G25">
            <v>0</v>
          </cell>
        </row>
        <row r="26">
          <cell r="A26">
            <v>71212100</v>
          </cell>
          <cell r="B26" t="str">
            <v>Work in process affiliates</v>
          </cell>
          <cell r="C26" t="str">
            <v>+</v>
          </cell>
          <cell r="D26">
            <v>79121210</v>
          </cell>
          <cell r="F26">
            <v>0</v>
          </cell>
        </row>
        <row r="27">
          <cell r="A27">
            <v>71212200</v>
          </cell>
          <cell r="B27" t="str">
            <v>Work in process third parties</v>
          </cell>
          <cell r="C27" t="str">
            <v>+</v>
          </cell>
          <cell r="D27">
            <v>79121220</v>
          </cell>
          <cell r="F27">
            <v>0</v>
          </cell>
        </row>
        <row r="28">
          <cell r="A28">
            <v>71212000</v>
          </cell>
          <cell r="B28" t="str">
            <v>Work in process</v>
          </cell>
          <cell r="F28">
            <v>0</v>
          </cell>
          <cell r="G28">
            <v>0</v>
          </cell>
        </row>
        <row r="29">
          <cell r="A29">
            <v>71213100</v>
          </cell>
          <cell r="B29" t="str">
            <v>Finished Goods affiliates</v>
          </cell>
          <cell r="C29" t="str">
            <v>+</v>
          </cell>
          <cell r="D29">
            <v>79121310</v>
          </cell>
          <cell r="F29">
            <v>0</v>
          </cell>
        </row>
        <row r="30">
          <cell r="A30">
            <v>71213200</v>
          </cell>
          <cell r="B30" t="str">
            <v>Finished Goods third parties</v>
          </cell>
          <cell r="C30" t="str">
            <v>+</v>
          </cell>
          <cell r="D30">
            <v>79121320</v>
          </cell>
          <cell r="F30">
            <v>0</v>
          </cell>
        </row>
        <row r="31">
          <cell r="A31">
            <v>71213000</v>
          </cell>
          <cell r="B31" t="str">
            <v>Finished Goods</v>
          </cell>
          <cell r="F31">
            <v>0</v>
          </cell>
          <cell r="G31">
            <v>0</v>
          </cell>
        </row>
        <row r="32">
          <cell r="A32">
            <v>71214100</v>
          </cell>
          <cell r="B32" t="str">
            <v>Goods for resale affiliates</v>
          </cell>
          <cell r="C32" t="str">
            <v>+</v>
          </cell>
          <cell r="D32">
            <v>79121410</v>
          </cell>
          <cell r="F32">
            <v>0</v>
          </cell>
        </row>
        <row r="33">
          <cell r="A33">
            <v>71214200</v>
          </cell>
          <cell r="B33" t="str">
            <v>Goods for resale third parties</v>
          </cell>
          <cell r="C33" t="str">
            <v>+</v>
          </cell>
          <cell r="D33">
            <v>79121420</v>
          </cell>
          <cell r="F33">
            <v>0</v>
          </cell>
        </row>
        <row r="34">
          <cell r="A34">
            <v>71214000</v>
          </cell>
          <cell r="B34" t="str">
            <v>Goods for resale</v>
          </cell>
          <cell r="F34">
            <v>0</v>
          </cell>
          <cell r="G34">
            <v>0</v>
          </cell>
        </row>
        <row r="35">
          <cell r="A35">
            <v>71215000</v>
          </cell>
          <cell r="B35" t="str">
            <v>Payments on account</v>
          </cell>
          <cell r="C35" t="str">
            <v>+</v>
          </cell>
          <cell r="D35">
            <v>79121500</v>
          </cell>
          <cell r="F35">
            <v>0</v>
          </cell>
        </row>
        <row r="36">
          <cell r="A36">
            <v>71210000</v>
          </cell>
          <cell r="B36" t="str">
            <v>Inventories</v>
          </cell>
          <cell r="F36">
            <v>0</v>
          </cell>
          <cell r="G36">
            <v>0</v>
          </cell>
        </row>
        <row r="37">
          <cell r="A37">
            <v>71221000</v>
          </cell>
          <cell r="B37" t="str">
            <v>Account receivable fromaffiliates</v>
          </cell>
          <cell r="C37" t="str">
            <v>+</v>
          </cell>
          <cell r="D37">
            <v>79122100</v>
          </cell>
          <cell r="F37">
            <v>0</v>
          </cell>
        </row>
        <row r="38">
          <cell r="A38">
            <v>71222000</v>
          </cell>
          <cell r="B38" t="str">
            <v>Account receivable fromthird parties</v>
          </cell>
          <cell r="C38" t="str">
            <v>+</v>
          </cell>
          <cell r="D38">
            <v>79122200</v>
          </cell>
          <cell r="F38">
            <v>0</v>
          </cell>
        </row>
        <row r="39">
          <cell r="A39">
            <v>71223000</v>
          </cell>
          <cell r="B39" t="str">
            <v>Loans to affiliates (financing)</v>
          </cell>
          <cell r="C39" t="str">
            <v>+</v>
          </cell>
          <cell r="D39">
            <v>79122300</v>
          </cell>
          <cell r="F39">
            <v>0</v>
          </cell>
        </row>
        <row r="40">
          <cell r="A40">
            <v>71220000</v>
          </cell>
          <cell r="B40" t="str">
            <v>Receivables</v>
          </cell>
          <cell r="F40">
            <v>0</v>
          </cell>
          <cell r="G40">
            <v>0</v>
          </cell>
        </row>
        <row r="41">
          <cell r="A41">
            <v>71231000</v>
          </cell>
          <cell r="B41" t="str">
            <v>Cheques, Cash-in-hand,C.in fed.&amp;postal giro a</v>
          </cell>
          <cell r="C41" t="str">
            <v>+</v>
          </cell>
          <cell r="D41">
            <v>79123100</v>
          </cell>
          <cell r="F41">
            <v>0</v>
          </cell>
        </row>
        <row r="42">
          <cell r="A42">
            <v>71232000</v>
          </cell>
          <cell r="B42" t="str">
            <v>Remaining current assets</v>
          </cell>
          <cell r="C42" t="str">
            <v>+</v>
          </cell>
          <cell r="D42">
            <v>79123200</v>
          </cell>
          <cell r="F42">
            <v>0</v>
          </cell>
        </row>
        <row r="43">
          <cell r="A43">
            <v>71230000</v>
          </cell>
          <cell r="B43" t="str">
            <v>Other current assets</v>
          </cell>
          <cell r="F43">
            <v>0</v>
          </cell>
          <cell r="G43">
            <v>0</v>
          </cell>
        </row>
        <row r="44">
          <cell r="A44">
            <v>71200000</v>
          </cell>
          <cell r="B44" t="str">
            <v>Current assets</v>
          </cell>
          <cell r="F44">
            <v>0</v>
          </cell>
          <cell r="G44">
            <v>0</v>
          </cell>
        </row>
        <row r="45">
          <cell r="A45">
            <v>71301010</v>
          </cell>
          <cell r="B45" t="str">
            <v>Deferred taxes</v>
          </cell>
          <cell r="C45" t="str">
            <v>+</v>
          </cell>
          <cell r="D45">
            <v>79130101</v>
          </cell>
          <cell r="F45">
            <v>0</v>
          </cell>
        </row>
        <row r="46">
          <cell r="A46">
            <v>71301020</v>
          </cell>
          <cell r="B46" t="str">
            <v>Other deferred charges</v>
          </cell>
          <cell r="C46" t="str">
            <v>+</v>
          </cell>
          <cell r="D46">
            <v>79130102</v>
          </cell>
          <cell r="F46">
            <v>0</v>
          </cell>
        </row>
        <row r="47">
          <cell r="A47">
            <v>71301000</v>
          </cell>
          <cell r="B47" t="str">
            <v>Deferred charges</v>
          </cell>
          <cell r="C47" t="str">
            <v>+</v>
          </cell>
          <cell r="F47">
            <v>0</v>
          </cell>
          <cell r="G47">
            <v>0</v>
          </cell>
        </row>
        <row r="48">
          <cell r="A48">
            <v>71000000</v>
          </cell>
          <cell r="B48" t="str">
            <v>ASSETS HB II</v>
          </cell>
          <cell r="F48">
            <v>0</v>
          </cell>
          <cell r="G48">
            <v>0</v>
          </cell>
        </row>
        <row r="50">
          <cell r="A50">
            <v>72101000</v>
          </cell>
          <cell r="B50" t="str">
            <v>Subscribed capital</v>
          </cell>
          <cell r="C50" t="str">
            <v>-</v>
          </cell>
          <cell r="D50">
            <v>79210100</v>
          </cell>
          <cell r="F50">
            <v>0</v>
          </cell>
        </row>
        <row r="51">
          <cell r="A51">
            <v>72102000</v>
          </cell>
          <cell r="B51" t="str">
            <v>Capital reserves</v>
          </cell>
          <cell r="C51" t="str">
            <v>-</v>
          </cell>
          <cell r="D51">
            <v>79210200</v>
          </cell>
          <cell r="F51">
            <v>0</v>
          </cell>
        </row>
        <row r="52">
          <cell r="A52">
            <v>72103000</v>
          </cell>
          <cell r="B52" t="str">
            <v>Appropriated ret. earnings</v>
          </cell>
          <cell r="C52" t="str">
            <v>-</v>
          </cell>
          <cell r="D52">
            <v>79210300</v>
          </cell>
          <cell r="F52">
            <v>0</v>
          </cell>
        </row>
        <row r="53">
          <cell r="A53">
            <v>72104000</v>
          </cell>
          <cell r="B53" t="str">
            <v>Retained earnings</v>
          </cell>
          <cell r="C53" t="str">
            <v>-</v>
          </cell>
          <cell r="D53">
            <v>79210400</v>
          </cell>
          <cell r="F53">
            <v>0</v>
          </cell>
        </row>
        <row r="54">
          <cell r="A54">
            <v>72100000</v>
          </cell>
          <cell r="B54" t="str">
            <v>Shareholder's equity</v>
          </cell>
          <cell r="F54">
            <v>0</v>
          </cell>
          <cell r="G54">
            <v>0</v>
          </cell>
        </row>
        <row r="55">
          <cell r="A55">
            <v>72200000</v>
          </cell>
          <cell r="B55" t="str">
            <v>Special reserves</v>
          </cell>
          <cell r="C55" t="str">
            <v>-</v>
          </cell>
          <cell r="D55">
            <v>79220000</v>
          </cell>
          <cell r="F55">
            <v>0</v>
          </cell>
        </row>
        <row r="56">
          <cell r="A56">
            <v>72301000</v>
          </cell>
          <cell r="B56" t="str">
            <v>Provision for Pension and sim.oblig.</v>
          </cell>
          <cell r="C56" t="str">
            <v>-</v>
          </cell>
          <cell r="D56">
            <v>79230100</v>
          </cell>
          <cell r="F56">
            <v>0</v>
          </cell>
        </row>
        <row r="57">
          <cell r="A57">
            <v>72302110</v>
          </cell>
          <cell r="B57" t="str">
            <v>Taxes payable</v>
          </cell>
          <cell r="C57" t="str">
            <v>-</v>
          </cell>
          <cell r="D57">
            <v>79230211</v>
          </cell>
          <cell r="F57">
            <v>0</v>
          </cell>
        </row>
        <row r="58">
          <cell r="A58">
            <v>72302120</v>
          </cell>
          <cell r="B58" t="str">
            <v>Deferred taxes</v>
          </cell>
          <cell r="C58" t="str">
            <v>-</v>
          </cell>
          <cell r="D58">
            <v>79230212</v>
          </cell>
          <cell r="F58">
            <v>0</v>
          </cell>
        </row>
        <row r="59">
          <cell r="A59">
            <v>72302100</v>
          </cell>
          <cell r="B59" t="str">
            <v>Provisions for taxes</v>
          </cell>
          <cell r="F59">
            <v>0</v>
          </cell>
          <cell r="G59">
            <v>0</v>
          </cell>
        </row>
        <row r="60">
          <cell r="A60">
            <v>72303000</v>
          </cell>
          <cell r="B60" t="str">
            <v>Other provisions</v>
          </cell>
          <cell r="C60" t="str">
            <v>-</v>
          </cell>
          <cell r="D60">
            <v>79230300</v>
          </cell>
          <cell r="F60">
            <v>0</v>
          </cell>
        </row>
        <row r="61">
          <cell r="A61">
            <v>72300000</v>
          </cell>
          <cell r="B61" t="str">
            <v>Provisions</v>
          </cell>
          <cell r="F61">
            <v>0</v>
          </cell>
          <cell r="G61">
            <v>0</v>
          </cell>
        </row>
        <row r="62">
          <cell r="A62">
            <v>72401000</v>
          </cell>
          <cell r="B62" t="str">
            <v>Profit sharing rights</v>
          </cell>
          <cell r="C62" t="str">
            <v>-</v>
          </cell>
          <cell r="D62">
            <v>79240100</v>
          </cell>
          <cell r="F62">
            <v>0</v>
          </cell>
        </row>
        <row r="63">
          <cell r="A63">
            <v>72402000</v>
          </cell>
          <cell r="B63" t="str">
            <v>Loans</v>
          </cell>
          <cell r="C63" t="str">
            <v>-</v>
          </cell>
          <cell r="D63">
            <v>79240200</v>
          </cell>
          <cell r="F63">
            <v>0</v>
          </cell>
        </row>
        <row r="64">
          <cell r="A64">
            <v>72403000</v>
          </cell>
          <cell r="B64" t="str">
            <v>Payable to banks</v>
          </cell>
          <cell r="C64" t="str">
            <v>-</v>
          </cell>
          <cell r="D64">
            <v>79240300</v>
          </cell>
          <cell r="F64">
            <v>0</v>
          </cell>
        </row>
        <row r="65">
          <cell r="A65">
            <v>72404500</v>
          </cell>
          <cell r="B65" t="str">
            <v>Paym.rec.on acc.thereoffor inventories</v>
          </cell>
          <cell r="C65" t="str">
            <v>-</v>
          </cell>
          <cell r="D65">
            <v>79240450</v>
          </cell>
          <cell r="F65">
            <v>0</v>
          </cell>
        </row>
        <row r="66">
          <cell r="A66">
            <v>72404600</v>
          </cell>
          <cell r="B66" t="str">
            <v>Payments received on accounts - Other</v>
          </cell>
          <cell r="C66" t="str">
            <v>-</v>
          </cell>
          <cell r="D66">
            <v>79240460</v>
          </cell>
          <cell r="F66">
            <v>0</v>
          </cell>
        </row>
        <row r="67">
          <cell r="A67">
            <v>72404000</v>
          </cell>
          <cell r="B67" t="str">
            <v>Payments received on accounts</v>
          </cell>
          <cell r="F67">
            <v>0</v>
          </cell>
          <cell r="G67">
            <v>0</v>
          </cell>
        </row>
        <row r="68">
          <cell r="A68">
            <v>72405000</v>
          </cell>
          <cell r="B68" t="str">
            <v>Notes payable</v>
          </cell>
          <cell r="C68" t="str">
            <v>-</v>
          </cell>
          <cell r="D68">
            <v>79240500</v>
          </cell>
          <cell r="F68">
            <v>0</v>
          </cell>
        </row>
        <row r="69">
          <cell r="A69">
            <v>72406100</v>
          </cell>
          <cell r="B69" t="str">
            <v>Accounts payable to affiliates</v>
          </cell>
          <cell r="C69" t="str">
            <v>-</v>
          </cell>
          <cell r="D69">
            <v>79240610</v>
          </cell>
          <cell r="F69">
            <v>0</v>
          </cell>
        </row>
        <row r="70">
          <cell r="A70">
            <v>72406200</v>
          </cell>
          <cell r="B70" t="str">
            <v>Accounts payable to third parties</v>
          </cell>
          <cell r="C70" t="str">
            <v>-</v>
          </cell>
          <cell r="D70">
            <v>79240620</v>
          </cell>
          <cell r="F70">
            <v>0</v>
          </cell>
        </row>
        <row r="71">
          <cell r="A71">
            <v>72406300</v>
          </cell>
          <cell r="B71" t="str">
            <v>Loans from affiliates (financing)</v>
          </cell>
          <cell r="C71" t="str">
            <v>-</v>
          </cell>
          <cell r="D71">
            <v>79240630</v>
          </cell>
          <cell r="F71">
            <v>0</v>
          </cell>
        </row>
        <row r="72">
          <cell r="A72">
            <v>72406000</v>
          </cell>
          <cell r="B72" t="str">
            <v>Accounts payable</v>
          </cell>
          <cell r="F72">
            <v>0</v>
          </cell>
          <cell r="G72">
            <v>0</v>
          </cell>
        </row>
        <row r="73">
          <cell r="A73">
            <v>72407000</v>
          </cell>
          <cell r="B73" t="str">
            <v>Other Liabilities</v>
          </cell>
          <cell r="C73" t="str">
            <v>-</v>
          </cell>
          <cell r="D73">
            <v>79240700</v>
          </cell>
          <cell r="F73">
            <v>0</v>
          </cell>
        </row>
        <row r="74">
          <cell r="A74">
            <v>72400000</v>
          </cell>
          <cell r="B74" t="str">
            <v>Liabilities</v>
          </cell>
          <cell r="F74">
            <v>0</v>
          </cell>
          <cell r="G74">
            <v>0</v>
          </cell>
        </row>
        <row r="75">
          <cell r="A75">
            <v>72500000</v>
          </cell>
          <cell r="B75" t="str">
            <v>Deferred income</v>
          </cell>
          <cell r="C75" t="str">
            <v>-</v>
          </cell>
          <cell r="D75">
            <v>79250000</v>
          </cell>
          <cell r="F75">
            <v>0</v>
          </cell>
        </row>
        <row r="76">
          <cell r="A76">
            <v>72000000</v>
          </cell>
          <cell r="B76" t="str">
            <v>LIABILITIES AND EQUITY HB II</v>
          </cell>
          <cell r="F76">
            <v>0</v>
          </cell>
          <cell r="G76">
            <v>0</v>
          </cell>
        </row>
        <row r="77">
          <cell r="A77">
            <v>72900001</v>
          </cell>
          <cell r="B77" t="str">
            <v>Contra Account Total Balance Sheet</v>
          </cell>
          <cell r="C77" t="str">
            <v>-</v>
          </cell>
          <cell r="G77">
            <v>0</v>
          </cell>
        </row>
        <row r="79">
          <cell r="A79" t="str">
            <v>calculated</v>
          </cell>
          <cell r="B79" t="str">
            <v>Operating Assets</v>
          </cell>
          <cell r="F79">
            <v>0</v>
          </cell>
          <cell r="G79">
            <v>0</v>
          </cell>
          <cell r="H7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O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B"/>
      <sheetName val="Inh"/>
      <sheetName val="Eckd"/>
      <sheetName val="E&amp;A SSR"/>
      <sheetName val="E&amp;A WarmKalt"/>
      <sheetName val="E&amp;A Band"/>
      <sheetName val="E&amp;A Service "/>
      <sheetName val="E&amp;A Sonst."/>
      <sheetName val="Probe"/>
      <sheetName val="Proj"/>
      <sheetName val="LOI"/>
      <sheetName val="AE"/>
      <sheetName val="Ums"/>
      <sheetName val="AB"/>
      <sheetName val="Kon"/>
      <sheetName val="Kon SDE"/>
      <sheetName val="MIKA alt"/>
      <sheetName val="MIKA"/>
      <sheetName val="3.1"/>
      <sheetName val="3.2"/>
      <sheetName val="3.3"/>
      <sheetName val="3.4"/>
    </sheetNames>
    <sheetDataSet>
      <sheetData sheetId="0">
        <row r="4">
          <cell r="F4" t="str">
            <v>GB Elektrik und Automation</v>
          </cell>
        </row>
        <row r="16">
          <cell r="F16" t="str">
            <v>Ist/Plan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Router"/>
      <sheetName val="Ni Hardness"/>
      <sheetName val="Strip"/>
      <sheetName val="Electrical List"/>
      <sheetName val="Baffle Plate"/>
    </sheetNames>
    <sheetDataSet>
      <sheetData sheetId="0"/>
      <sheetData sheetId="1"/>
      <sheetData sheetId="2"/>
      <sheetData sheetId="3"/>
      <sheetData sheetId="4">
        <row r="32">
          <cell r="B32">
            <v>1</v>
          </cell>
          <cell r="C32">
            <v>3</v>
          </cell>
          <cell r="E32">
            <v>5</v>
          </cell>
          <cell r="F32">
            <v>7</v>
          </cell>
          <cell r="H32">
            <v>9</v>
          </cell>
          <cell r="I32">
            <v>11</v>
          </cell>
          <cell r="K32">
            <v>13</v>
          </cell>
          <cell r="L32">
            <v>15</v>
          </cell>
          <cell r="N32">
            <v>17</v>
          </cell>
          <cell r="O32">
            <v>19</v>
          </cell>
          <cell r="Q32">
            <v>21</v>
          </cell>
          <cell r="R32">
            <v>23</v>
          </cell>
          <cell r="T32">
            <v>25</v>
          </cell>
          <cell r="U32">
            <v>27</v>
          </cell>
          <cell r="W32">
            <v>29</v>
          </cell>
          <cell r="X32">
            <v>31</v>
          </cell>
        </row>
        <row r="33">
          <cell r="B33">
            <v>2</v>
          </cell>
          <cell r="C33">
            <v>4</v>
          </cell>
          <cell r="E33">
            <v>6</v>
          </cell>
          <cell r="F33">
            <v>8</v>
          </cell>
          <cell r="H33">
            <v>10</v>
          </cell>
          <cell r="I33">
            <v>12</v>
          </cell>
          <cell r="K33">
            <v>14</v>
          </cell>
          <cell r="L33">
            <v>16</v>
          </cell>
          <cell r="N33">
            <v>18</v>
          </cell>
          <cell r="O33">
            <v>20</v>
          </cell>
          <cell r="Q33">
            <v>22</v>
          </cell>
          <cell r="R33">
            <v>24</v>
          </cell>
          <cell r="T33">
            <v>26</v>
          </cell>
          <cell r="U33">
            <v>28</v>
          </cell>
          <cell r="W33">
            <v>30</v>
          </cell>
          <cell r="X33">
            <v>32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uter"/>
      <sheetName val="STEEL"/>
      <sheetName val="Straightening Temp."/>
      <sheetName val="NF Inspect Map quality "/>
      <sheetName val=" NF Inspect Map grind"/>
      <sheetName val="NF Inspect Map MACHINE"/>
      <sheetName val="NF Cond. Map"/>
      <sheetName val="Ni Hardness"/>
      <sheetName val="UT Verification"/>
      <sheetName val="final flat"/>
      <sheetName val="Cassette Distortion Check"/>
      <sheetName val="spc"/>
      <sheetName val="Hardness Measurements"/>
      <sheetName val="heat treat"/>
      <sheetName val="extra work"/>
      <sheetName val="FLOW TEST"/>
      <sheetName val="BOM"/>
      <sheetName val="WJMOD"/>
      <sheetName val="BOM (2)"/>
    </sheetNames>
    <sheetDataSet>
      <sheetData sheetId="0"/>
      <sheetData sheetId="1"/>
      <sheetData sheetId="2">
        <row r="5">
          <cell r="C5" t="str">
            <v>(</v>
          </cell>
          <cell r="R5" t="str">
            <v>(</v>
          </cell>
        </row>
        <row r="6">
          <cell r="C6" t="str">
            <v>)</v>
          </cell>
          <cell r="G6" t="str">
            <v xml:space="preserve">     )</v>
          </cell>
          <cell r="H6" t="str">
            <v>(       )</v>
          </cell>
          <cell r="I6" t="str">
            <v xml:space="preserve">   (</v>
          </cell>
          <cell r="R6" t="str">
            <v>)</v>
          </cell>
          <cell r="V6" t="str">
            <v xml:space="preserve">     )</v>
          </cell>
          <cell r="W6" t="str">
            <v>(       )</v>
          </cell>
          <cell r="X6" t="str">
            <v xml:space="preserve">   (</v>
          </cell>
        </row>
        <row r="8">
          <cell r="C8" t="str">
            <v>(</v>
          </cell>
          <cell r="R8" t="str">
            <v>(</v>
          </cell>
        </row>
        <row r="9">
          <cell r="C9" t="str">
            <v>)</v>
          </cell>
          <cell r="G9" t="str">
            <v xml:space="preserve">     )</v>
          </cell>
          <cell r="H9" t="str">
            <v>(       )</v>
          </cell>
          <cell r="I9" t="str">
            <v xml:space="preserve">   (</v>
          </cell>
          <cell r="R9" t="str">
            <v>)</v>
          </cell>
          <cell r="V9" t="str">
            <v xml:space="preserve">     )</v>
          </cell>
          <cell r="W9" t="str">
            <v>(       )</v>
          </cell>
          <cell r="X9" t="str">
            <v xml:space="preserve">   (</v>
          </cell>
        </row>
        <row r="11">
          <cell r="C11" t="str">
            <v>(</v>
          </cell>
          <cell r="R11" t="str">
            <v>(</v>
          </cell>
        </row>
        <row r="12">
          <cell r="C12" t="str">
            <v>)</v>
          </cell>
          <cell r="G12" t="str">
            <v xml:space="preserve">     )</v>
          </cell>
          <cell r="H12" t="str">
            <v>(       )</v>
          </cell>
          <cell r="I12" t="str">
            <v xml:space="preserve">   (</v>
          </cell>
          <cell r="R12" t="str">
            <v>)</v>
          </cell>
          <cell r="V12" t="str">
            <v xml:space="preserve">     )</v>
          </cell>
          <cell r="W12" t="str">
            <v>(       )</v>
          </cell>
          <cell r="X12" t="str">
            <v xml:space="preserve">   (</v>
          </cell>
        </row>
        <row r="14">
          <cell r="C14" t="str">
            <v>(</v>
          </cell>
          <cell r="R14" t="str">
            <v>(</v>
          </cell>
        </row>
        <row r="15">
          <cell r="C15" t="str">
            <v>)</v>
          </cell>
          <cell r="G15" t="str">
            <v xml:space="preserve">     )</v>
          </cell>
          <cell r="H15" t="str">
            <v>(       )</v>
          </cell>
          <cell r="I15" t="str">
            <v xml:space="preserve">   (</v>
          </cell>
          <cell r="R15" t="str">
            <v>)</v>
          </cell>
          <cell r="V15" t="str">
            <v xml:space="preserve">     )</v>
          </cell>
          <cell r="W15" t="str">
            <v>(       )</v>
          </cell>
          <cell r="X15" t="str">
            <v xml:space="preserve">   (</v>
          </cell>
        </row>
        <row r="17">
          <cell r="C17" t="str">
            <v>(</v>
          </cell>
          <cell r="R17" t="str">
            <v>(</v>
          </cell>
        </row>
        <row r="18">
          <cell r="C18" t="str">
            <v>)</v>
          </cell>
          <cell r="G18" t="str">
            <v xml:space="preserve">     )</v>
          </cell>
          <cell r="H18" t="str">
            <v>(       )</v>
          </cell>
          <cell r="I18" t="str">
            <v xml:space="preserve">   (</v>
          </cell>
          <cell r="R18" t="str">
            <v>)</v>
          </cell>
          <cell r="V18" t="str">
            <v xml:space="preserve">     )</v>
          </cell>
          <cell r="W18" t="str">
            <v>(       )</v>
          </cell>
          <cell r="X18" t="str">
            <v xml:space="preserve">   (</v>
          </cell>
        </row>
        <row r="20">
          <cell r="C20" t="str">
            <v>(</v>
          </cell>
          <cell r="R20" t="str">
            <v>(</v>
          </cell>
        </row>
        <row r="21">
          <cell r="C21" t="str">
            <v>)</v>
          </cell>
          <cell r="G21" t="str">
            <v xml:space="preserve">     )</v>
          </cell>
          <cell r="H21" t="str">
            <v>(       )</v>
          </cell>
          <cell r="I21" t="str">
            <v xml:space="preserve">   (</v>
          </cell>
          <cell r="R21" t="str">
            <v>)</v>
          </cell>
          <cell r="V21" t="str">
            <v xml:space="preserve">     )</v>
          </cell>
          <cell r="W21" t="str">
            <v>(       )</v>
          </cell>
          <cell r="X21" t="str">
            <v xml:space="preserve">   (</v>
          </cell>
        </row>
        <row r="29">
          <cell r="C29" t="str">
            <v>(</v>
          </cell>
          <cell r="R29" t="str">
            <v>(</v>
          </cell>
        </row>
        <row r="30">
          <cell r="C30" t="str">
            <v>)</v>
          </cell>
          <cell r="G30" t="str">
            <v xml:space="preserve">     )</v>
          </cell>
          <cell r="H30" t="str">
            <v>(       )</v>
          </cell>
          <cell r="I30" t="str">
            <v xml:space="preserve">   (</v>
          </cell>
          <cell r="R30" t="str">
            <v>)</v>
          </cell>
          <cell r="V30" t="str">
            <v xml:space="preserve">     )</v>
          </cell>
          <cell r="W30" t="str">
            <v>(       )</v>
          </cell>
          <cell r="X30" t="str">
            <v xml:space="preserve">   (</v>
          </cell>
        </row>
        <row r="32">
          <cell r="C32" t="str">
            <v>(</v>
          </cell>
          <cell r="R32" t="str">
            <v>(</v>
          </cell>
        </row>
        <row r="33">
          <cell r="C33" t="str">
            <v>)</v>
          </cell>
          <cell r="G33" t="str">
            <v xml:space="preserve">     )</v>
          </cell>
          <cell r="H33" t="str">
            <v>(       )</v>
          </cell>
          <cell r="I33" t="str">
            <v xml:space="preserve">   (</v>
          </cell>
          <cell r="R33" t="str">
            <v>)</v>
          </cell>
          <cell r="V33" t="str">
            <v xml:space="preserve">     )</v>
          </cell>
          <cell r="W33" t="str">
            <v>(       )</v>
          </cell>
          <cell r="X33" t="str">
            <v xml:space="preserve">   (</v>
          </cell>
        </row>
        <row r="35">
          <cell r="C35" t="str">
            <v>(</v>
          </cell>
          <cell r="R35" t="str">
            <v>(</v>
          </cell>
        </row>
        <row r="36">
          <cell r="C36" t="str">
            <v>)</v>
          </cell>
          <cell r="G36" t="str">
            <v xml:space="preserve">     )</v>
          </cell>
          <cell r="H36" t="str">
            <v>(       )</v>
          </cell>
          <cell r="I36" t="str">
            <v xml:space="preserve">   (</v>
          </cell>
          <cell r="R36" t="str">
            <v>)</v>
          </cell>
          <cell r="V36" t="str">
            <v xml:space="preserve">     )</v>
          </cell>
          <cell r="W36" t="str">
            <v>(       )</v>
          </cell>
          <cell r="X36" t="str">
            <v xml:space="preserve">   (</v>
          </cell>
        </row>
        <row r="38">
          <cell r="C38" t="str">
            <v>(</v>
          </cell>
          <cell r="R38" t="str">
            <v>(</v>
          </cell>
        </row>
        <row r="39">
          <cell r="C39" t="str">
            <v>)</v>
          </cell>
          <cell r="G39" t="str">
            <v xml:space="preserve">     )</v>
          </cell>
          <cell r="H39" t="str">
            <v>(       )</v>
          </cell>
          <cell r="I39" t="str">
            <v xml:space="preserve">   (</v>
          </cell>
          <cell r="R39" t="str">
            <v>)</v>
          </cell>
          <cell r="V39" t="str">
            <v xml:space="preserve">     )</v>
          </cell>
          <cell r="W39" t="str">
            <v>(       )</v>
          </cell>
          <cell r="X39" t="str">
            <v xml:space="preserve">   (</v>
          </cell>
        </row>
        <row r="41">
          <cell r="C41" t="str">
            <v>(</v>
          </cell>
          <cell r="R41" t="str">
            <v>(</v>
          </cell>
        </row>
        <row r="42">
          <cell r="C42" t="str">
            <v>)</v>
          </cell>
          <cell r="G42" t="str">
            <v xml:space="preserve">     )</v>
          </cell>
          <cell r="H42" t="str">
            <v>(       )</v>
          </cell>
          <cell r="I42" t="str">
            <v xml:space="preserve">   (</v>
          </cell>
          <cell r="R42" t="str">
            <v>)</v>
          </cell>
          <cell r="V42" t="str">
            <v xml:space="preserve">     )</v>
          </cell>
          <cell r="W42" t="str">
            <v>(       )</v>
          </cell>
          <cell r="X42" t="str">
            <v xml:space="preserve">   (</v>
          </cell>
        </row>
        <row r="44">
          <cell r="C44" t="str">
            <v>(</v>
          </cell>
          <cell r="R44" t="str">
            <v>(</v>
          </cell>
        </row>
        <row r="45">
          <cell r="C45" t="str">
            <v>)</v>
          </cell>
          <cell r="G45" t="str">
            <v xml:space="preserve">     )</v>
          </cell>
          <cell r="H45" t="str">
            <v>(       )</v>
          </cell>
          <cell r="I45" t="str">
            <v xml:space="preserve">   (</v>
          </cell>
          <cell r="R45" t="str">
            <v>)</v>
          </cell>
          <cell r="V45" t="str">
            <v xml:space="preserve">     )</v>
          </cell>
          <cell r="W45" t="str">
            <v>(       )</v>
          </cell>
          <cell r="X45" t="str">
            <v xml:space="preserve">   (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.döv.krd.tl"/>
      <sheetName val="Y.DV.K.KUR TL"/>
      <sheetName val="YAT.DÖV.AY"/>
      <sheetName val="311299 YAT.DÖV.FAİZ"/>
      <sheetName val="ihr.gar.kur311299"/>
      <sheetName val="06.99 yat.döv.faiz"/>
      <sheetName val="03.99 yat.döv.kur"/>
      <sheetName val="İHR.GAR.98-99"/>
      <sheetName val="K.FARKI"/>
      <sheetName val="FAİZ"/>
      <sheetName val="faizkur"/>
      <sheetName val="k.farkı m.tl"/>
      <sheetName val="Faiz.m.tl"/>
      <sheetName val="30.06.99.kur.f.tl"/>
      <sheetName val="30.06.99Faiz TL"/>
      <sheetName val="99-00 KUR"/>
      <sheetName val="99-00 faiz"/>
      <sheetName val="YAT.DÖV.YIL"/>
      <sheetName val="Sayfa4"/>
      <sheetName val="30.09.99 kur"/>
      <sheetName val="30.09.99 faiz"/>
      <sheetName val="kur.faiz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İHRACAT GARANTİLİ YATIRIM DÖVİZ KREDİLERİ FAİZLERİ     31.12.1999         ( TL.)</v>
          </cell>
        </row>
        <row r="5">
          <cell r="B5" t="str">
            <v>TEŞVİK NO</v>
          </cell>
          <cell r="C5" t="str">
            <v>BANKA KODU</v>
          </cell>
          <cell r="D5" t="str">
            <v>KREDİ NO</v>
          </cell>
          <cell r="E5" t="str">
            <v>KREDİ VADESİ</v>
          </cell>
          <cell r="F5" t="str">
            <v>FAİZ DÖNEMİ</v>
          </cell>
          <cell r="H5" t="str">
            <v>ANAPARA</v>
          </cell>
          <cell r="I5" t="str">
            <v>D.C.</v>
          </cell>
          <cell r="J5" t="str">
            <v>GÜN</v>
          </cell>
          <cell r="K5" t="str">
            <v>FAİZ ORANI</v>
          </cell>
          <cell r="L5" t="str">
            <v>TOPLAM FAİZ TUT.(DÖV.)</v>
          </cell>
          <cell r="M5" t="str">
            <v>ÖDEME ve DEĞ.  KURU</v>
          </cell>
          <cell r="N5" t="str">
            <v>TOPLAM FAİZ</v>
          </cell>
          <cell r="O5" t="str">
            <v>1998 PAYI</v>
          </cell>
          <cell r="P5" t="str">
            <v>1999 PAYI</v>
          </cell>
        </row>
        <row r="6">
          <cell r="B6">
            <v>39581</v>
          </cell>
          <cell r="C6">
            <v>28</v>
          </cell>
          <cell r="D6">
            <v>400001</v>
          </cell>
          <cell r="E6">
            <v>36463</v>
          </cell>
          <cell r="F6">
            <v>35937</v>
          </cell>
          <cell r="G6">
            <v>36304</v>
          </cell>
          <cell r="H6">
            <v>5000000</v>
          </cell>
          <cell r="I6" t="str">
            <v>$</v>
          </cell>
          <cell r="J6">
            <v>367</v>
          </cell>
          <cell r="K6">
            <v>7.2523000000000004E-2</v>
          </cell>
          <cell r="L6">
            <v>369667.88999999996</v>
          </cell>
          <cell r="M6">
            <v>401000</v>
          </cell>
          <cell r="N6">
            <v>148236823890</v>
          </cell>
          <cell r="O6">
            <v>70535734723</v>
          </cell>
          <cell r="P6">
            <v>77701089167</v>
          </cell>
        </row>
        <row r="7">
          <cell r="F7">
            <v>36304</v>
          </cell>
          <cell r="G7">
            <v>36341</v>
          </cell>
          <cell r="H7">
            <v>5000000</v>
          </cell>
          <cell r="I7" t="str">
            <v>$</v>
          </cell>
          <cell r="J7">
            <v>37</v>
          </cell>
          <cell r="K7">
            <v>9.425E-2</v>
          </cell>
          <cell r="L7">
            <v>48434.03</v>
          </cell>
          <cell r="M7">
            <v>421654</v>
          </cell>
          <cell r="N7">
            <v>20422402486</v>
          </cell>
          <cell r="P7">
            <v>20422402486</v>
          </cell>
        </row>
        <row r="8">
          <cell r="F8">
            <v>36341</v>
          </cell>
          <cell r="G8">
            <v>36463</v>
          </cell>
          <cell r="H8">
            <v>5000000</v>
          </cell>
          <cell r="I8" t="str">
            <v>$</v>
          </cell>
          <cell r="J8">
            <v>122</v>
          </cell>
          <cell r="K8">
            <v>9.425E-2</v>
          </cell>
          <cell r="L8">
            <v>159701.39000000001</v>
          </cell>
          <cell r="M8">
            <v>470234</v>
          </cell>
          <cell r="N8">
            <v>75097023425</v>
          </cell>
          <cell r="P8">
            <v>75097023425</v>
          </cell>
        </row>
        <row r="9">
          <cell r="M9" t="str">
            <v>Toplam</v>
          </cell>
          <cell r="N9">
            <v>243756249801</v>
          </cell>
          <cell r="O9">
            <v>70535734723</v>
          </cell>
          <cell r="P9">
            <v>173220515078</v>
          </cell>
        </row>
        <row r="11">
          <cell r="B11">
            <v>39581</v>
          </cell>
          <cell r="C11">
            <v>43</v>
          </cell>
          <cell r="D11">
            <v>1800065</v>
          </cell>
          <cell r="E11">
            <v>36306</v>
          </cell>
          <cell r="F11">
            <v>35941</v>
          </cell>
          <cell r="G11">
            <v>36306</v>
          </cell>
          <cell r="H11">
            <v>5000000</v>
          </cell>
          <cell r="I11" t="str">
            <v>$</v>
          </cell>
          <cell r="J11">
            <v>365</v>
          </cell>
          <cell r="K11">
            <v>7.3749999999999996E-2</v>
          </cell>
          <cell r="L11">
            <v>373871.52</v>
          </cell>
          <cell r="M11">
            <v>401600</v>
          </cell>
          <cell r="N11">
            <v>150146802432</v>
          </cell>
          <cell r="O11">
            <v>70470582638</v>
          </cell>
          <cell r="P11">
            <v>79676219794</v>
          </cell>
        </row>
        <row r="14">
          <cell r="B14">
            <v>39581</v>
          </cell>
          <cell r="C14">
            <v>71</v>
          </cell>
          <cell r="D14">
            <v>98047</v>
          </cell>
          <cell r="E14">
            <v>36494</v>
          </cell>
          <cell r="F14">
            <v>35941</v>
          </cell>
          <cell r="G14">
            <v>36306</v>
          </cell>
          <cell r="H14">
            <v>8850000</v>
          </cell>
          <cell r="I14" t="str">
            <v>DM</v>
          </cell>
          <cell r="J14">
            <v>365</v>
          </cell>
          <cell r="K14">
            <v>5.1700000000000003E-2</v>
          </cell>
          <cell r="L14">
            <v>463899.79</v>
          </cell>
          <cell r="M14">
            <v>221876.2</v>
          </cell>
          <cell r="N14">
            <v>102928322864</v>
          </cell>
          <cell r="O14">
            <v>52382292892</v>
          </cell>
          <cell r="P14">
            <v>50546029972</v>
          </cell>
        </row>
        <row r="15">
          <cell r="B15" t="str">
            <v>1.Dönem Faiz Ödemesi EUR Üzerinden yapıldı:</v>
          </cell>
          <cell r="J15" t="str">
            <v>463.899,79*1,956:237.188,20 EUR</v>
          </cell>
          <cell r="M15">
            <v>425520</v>
          </cell>
        </row>
        <row r="16">
          <cell r="F16">
            <v>36306</v>
          </cell>
          <cell r="G16">
            <v>36494</v>
          </cell>
          <cell r="H16">
            <v>8850000</v>
          </cell>
          <cell r="I16" t="str">
            <v>DM</v>
          </cell>
          <cell r="J16">
            <v>188</v>
          </cell>
          <cell r="K16">
            <v>6.5960000000000005E-2</v>
          </cell>
          <cell r="L16">
            <v>304845.13</v>
          </cell>
          <cell r="M16">
            <v>256945</v>
          </cell>
          <cell r="N16">
            <v>78328431928</v>
          </cell>
          <cell r="P16">
            <v>78328431928</v>
          </cell>
        </row>
        <row r="17">
          <cell r="M17" t="str">
            <v>Toplam</v>
          </cell>
          <cell r="N17">
            <v>181256754792</v>
          </cell>
          <cell r="O17">
            <v>52382292892</v>
          </cell>
          <cell r="P17">
            <v>128874461900</v>
          </cell>
        </row>
        <row r="19">
          <cell r="B19">
            <v>39581</v>
          </cell>
          <cell r="C19" t="str">
            <v>01</v>
          </cell>
          <cell r="D19">
            <v>100858126</v>
          </cell>
          <cell r="E19">
            <v>36525</v>
          </cell>
          <cell r="F19">
            <v>35942</v>
          </cell>
          <cell r="G19">
            <v>36307</v>
          </cell>
          <cell r="H19">
            <v>23000000</v>
          </cell>
          <cell r="I19" t="str">
            <v>DM</v>
          </cell>
          <cell r="J19">
            <v>365</v>
          </cell>
          <cell r="K19">
            <v>5.5960000000000003E-2</v>
          </cell>
          <cell r="L19">
            <v>1304956.1100000001</v>
          </cell>
          <cell r="M19">
            <v>217112</v>
          </cell>
          <cell r="N19">
            <v>283321630954</v>
          </cell>
          <cell r="O19">
            <v>146682287338</v>
          </cell>
          <cell r="P19">
            <v>136639343616</v>
          </cell>
        </row>
        <row r="20">
          <cell r="F20">
            <v>36307</v>
          </cell>
          <cell r="G20">
            <v>36341</v>
          </cell>
          <cell r="H20">
            <v>23000000</v>
          </cell>
          <cell r="I20" t="str">
            <v>DM</v>
          </cell>
          <cell r="J20">
            <v>34</v>
          </cell>
          <cell r="K20">
            <v>7.7651999999999999E-2</v>
          </cell>
          <cell r="L20">
            <v>168677.4</v>
          </cell>
          <cell r="M20">
            <v>223631</v>
          </cell>
          <cell r="N20">
            <v>37721495639</v>
          </cell>
          <cell r="P20">
            <v>37721495639</v>
          </cell>
        </row>
        <row r="21">
          <cell r="B21" t="str">
            <v>* Peşin Ödendi</v>
          </cell>
          <cell r="F21">
            <v>36341</v>
          </cell>
          <cell r="G21">
            <v>36525</v>
          </cell>
          <cell r="H21">
            <v>23000000</v>
          </cell>
          <cell r="I21" t="str">
            <v>DM</v>
          </cell>
          <cell r="J21">
            <v>184</v>
          </cell>
          <cell r="K21">
            <v>0.06</v>
          </cell>
          <cell r="L21">
            <v>705333</v>
          </cell>
          <cell r="M21">
            <v>223430</v>
          </cell>
          <cell r="N21">
            <v>157592552190</v>
          </cell>
          <cell r="P21">
            <v>157592552190</v>
          </cell>
          <cell r="Q21" t="str">
            <v>*</v>
          </cell>
        </row>
        <row r="22">
          <cell r="F22">
            <v>36341</v>
          </cell>
          <cell r="G22">
            <v>36525</v>
          </cell>
          <cell r="H22">
            <v>23000000</v>
          </cell>
          <cell r="I22" t="str">
            <v>DM</v>
          </cell>
          <cell r="J22">
            <v>184</v>
          </cell>
          <cell r="K22">
            <v>5.1999999999999998E-2</v>
          </cell>
          <cell r="L22">
            <v>611289</v>
          </cell>
          <cell r="M22">
            <v>264653</v>
          </cell>
          <cell r="N22">
            <v>161779467717</v>
          </cell>
          <cell r="P22">
            <v>161779467717</v>
          </cell>
        </row>
        <row r="23">
          <cell r="M23" t="str">
            <v>Toplam</v>
          </cell>
          <cell r="N23">
            <v>640415146500</v>
          </cell>
          <cell r="O23">
            <v>146682287338</v>
          </cell>
          <cell r="P23">
            <v>493732859162</v>
          </cell>
        </row>
        <row r="25">
          <cell r="B25" t="str">
            <v>39581 Teşvik Toplamları</v>
          </cell>
          <cell r="N25">
            <v>1215574953525</v>
          </cell>
          <cell r="O25">
            <v>340070897591</v>
          </cell>
          <cell r="P25">
            <v>875504055934</v>
          </cell>
        </row>
        <row r="27">
          <cell r="B27">
            <v>35102</v>
          </cell>
          <cell r="C27">
            <v>74</v>
          </cell>
          <cell r="D27">
            <v>98024</v>
          </cell>
          <cell r="E27">
            <v>36522</v>
          </cell>
          <cell r="F27">
            <v>35941</v>
          </cell>
          <cell r="G27">
            <v>36306</v>
          </cell>
          <cell r="H27">
            <v>5000000</v>
          </cell>
          <cell r="I27" t="str">
            <v>$</v>
          </cell>
          <cell r="J27">
            <v>365</v>
          </cell>
          <cell r="K27">
            <v>7.2030999999999998E-2</v>
          </cell>
          <cell r="L27">
            <v>365157.15</v>
          </cell>
          <cell r="M27">
            <v>402000</v>
          </cell>
          <cell r="N27">
            <v>146793174300</v>
          </cell>
          <cell r="O27">
            <v>68828020838</v>
          </cell>
          <cell r="P27">
            <v>77965153462</v>
          </cell>
        </row>
        <row r="28">
          <cell r="F28">
            <v>36306</v>
          </cell>
          <cell r="G28">
            <v>36522</v>
          </cell>
          <cell r="H28">
            <v>5000000</v>
          </cell>
          <cell r="I28" t="str">
            <v>$</v>
          </cell>
          <cell r="J28">
            <v>217</v>
          </cell>
          <cell r="K28">
            <v>9.0162500000000007E-2</v>
          </cell>
          <cell r="L28">
            <v>271739.76</v>
          </cell>
          <cell r="M28">
            <v>497933</v>
          </cell>
          <cell r="N28">
            <v>135308193916</v>
          </cell>
          <cell r="P28">
            <v>135308193916</v>
          </cell>
        </row>
        <row r="29">
          <cell r="B29" t="str">
            <v>35102 Teşvik Toplamı</v>
          </cell>
          <cell r="N29">
            <v>282101368216</v>
          </cell>
          <cell r="O29">
            <v>68828020838</v>
          </cell>
          <cell r="P29">
            <v>213273347378</v>
          </cell>
        </row>
        <row r="31">
          <cell r="B31">
            <v>50911</v>
          </cell>
          <cell r="C31">
            <v>74</v>
          </cell>
          <cell r="D31">
            <v>98048</v>
          </cell>
          <cell r="E31">
            <v>36508</v>
          </cell>
          <cell r="F31">
            <v>36143</v>
          </cell>
          <cell r="G31">
            <v>36508</v>
          </cell>
          <cell r="H31">
            <v>18000000</v>
          </cell>
          <cell r="I31" t="str">
            <v>DM</v>
          </cell>
          <cell r="J31">
            <v>366</v>
          </cell>
          <cell r="K31">
            <v>5.6514000000000002E-2</v>
          </cell>
          <cell r="L31">
            <v>1034206.2</v>
          </cell>
          <cell r="M31">
            <v>260426</v>
          </cell>
          <cell r="N31">
            <v>269334183841</v>
          </cell>
          <cell r="O31">
            <v>9528599484</v>
          </cell>
          <cell r="P31">
            <v>259805584357</v>
          </cell>
        </row>
        <row r="32">
          <cell r="M32" t="str">
            <v>Toplam</v>
          </cell>
          <cell r="N32">
            <v>269334183841</v>
          </cell>
          <cell r="O32">
            <v>9528599484</v>
          </cell>
          <cell r="P32">
            <v>259805584357</v>
          </cell>
        </row>
        <row r="33">
          <cell r="B33">
            <v>50911</v>
          </cell>
          <cell r="C33">
            <v>74</v>
          </cell>
          <cell r="D33">
            <v>99001</v>
          </cell>
          <cell r="E33">
            <v>36536</v>
          </cell>
          <cell r="F33">
            <v>36171</v>
          </cell>
          <cell r="G33">
            <v>36525</v>
          </cell>
          <cell r="H33">
            <v>7000000</v>
          </cell>
          <cell r="I33" t="str">
            <v>DM</v>
          </cell>
          <cell r="J33">
            <v>355</v>
          </cell>
          <cell r="K33">
            <v>6.9150000000000003E-2</v>
          </cell>
          <cell r="L33">
            <v>477327.08</v>
          </cell>
          <cell r="M33">
            <v>264653</v>
          </cell>
          <cell r="N33">
            <v>126326043703</v>
          </cell>
          <cell r="P33">
            <v>126326043703</v>
          </cell>
        </row>
        <row r="34">
          <cell r="M34" t="str">
            <v>Toplam</v>
          </cell>
          <cell r="N34">
            <v>126326043703</v>
          </cell>
          <cell r="O34">
            <v>0</v>
          </cell>
          <cell r="P34">
            <v>126326043703</v>
          </cell>
          <cell r="Q34" t="str">
            <v>Tahakkuk</v>
          </cell>
        </row>
        <row r="35">
          <cell r="B35">
            <v>50911</v>
          </cell>
          <cell r="C35" t="str">
            <v>01</v>
          </cell>
          <cell r="D35">
            <v>100858127</v>
          </cell>
          <cell r="E35">
            <v>36566</v>
          </cell>
          <cell r="F35">
            <v>36201</v>
          </cell>
          <cell r="G35">
            <v>36525</v>
          </cell>
          <cell r="H35">
            <v>2400000</v>
          </cell>
          <cell r="I35" t="str">
            <v>$</v>
          </cell>
          <cell r="J35">
            <v>325</v>
          </cell>
          <cell r="K35">
            <v>0.1103</v>
          </cell>
          <cell r="L35">
            <v>238983.33</v>
          </cell>
          <cell r="M35">
            <v>499340</v>
          </cell>
          <cell r="N35">
            <v>119333936002</v>
          </cell>
          <cell r="P35">
            <v>119333936002</v>
          </cell>
        </row>
        <row r="36">
          <cell r="M36" t="str">
            <v>Toplam</v>
          </cell>
          <cell r="N36">
            <v>119333936002</v>
          </cell>
          <cell r="O36">
            <v>0</v>
          </cell>
          <cell r="P36">
            <v>119333936002</v>
          </cell>
          <cell r="Q36" t="str">
            <v>Tahakkuk</v>
          </cell>
        </row>
        <row r="38">
          <cell r="B38" t="str">
            <v>50911 Teşvik Toplamları</v>
          </cell>
          <cell r="N38">
            <v>514994163546</v>
          </cell>
          <cell r="O38">
            <v>9528599484</v>
          </cell>
          <cell r="P38">
            <v>505465564062</v>
          </cell>
        </row>
        <row r="40">
          <cell r="B40">
            <v>58169</v>
          </cell>
          <cell r="C40" t="str">
            <v>01</v>
          </cell>
          <cell r="D40">
            <v>100858129</v>
          </cell>
          <cell r="E40">
            <v>36566</v>
          </cell>
          <cell r="F40">
            <v>36201</v>
          </cell>
          <cell r="G40">
            <v>36525</v>
          </cell>
          <cell r="H40">
            <v>5100000</v>
          </cell>
          <cell r="I40" t="str">
            <v>$</v>
          </cell>
          <cell r="J40">
            <v>325</v>
          </cell>
          <cell r="K40">
            <v>0.1103</v>
          </cell>
          <cell r="L40">
            <v>507839.58</v>
          </cell>
          <cell r="M40">
            <v>499340</v>
          </cell>
          <cell r="N40">
            <v>253584615877</v>
          </cell>
          <cell r="P40">
            <v>253584615877</v>
          </cell>
        </row>
        <row r="41">
          <cell r="B41" t="str">
            <v>58169 Teşvik Toplamı</v>
          </cell>
          <cell r="N41">
            <v>253584615877</v>
          </cell>
          <cell r="O41">
            <v>0</v>
          </cell>
          <cell r="P41">
            <v>253584615877</v>
          </cell>
          <cell r="Q41" t="str">
            <v>Tahakkuk</v>
          </cell>
        </row>
        <row r="43">
          <cell r="B43">
            <v>57879</v>
          </cell>
          <cell r="C43" t="str">
            <v>74</v>
          </cell>
          <cell r="D43">
            <v>99026</v>
          </cell>
          <cell r="E43">
            <v>36605</v>
          </cell>
          <cell r="F43">
            <v>36234</v>
          </cell>
          <cell r="G43">
            <v>36525</v>
          </cell>
          <cell r="H43">
            <v>750000</v>
          </cell>
          <cell r="I43" t="str">
            <v>$</v>
          </cell>
          <cell r="J43">
            <v>292</v>
          </cell>
          <cell r="K43">
            <v>9.2862500000000001E-2</v>
          </cell>
          <cell r="L43">
            <v>56491.35</v>
          </cell>
          <cell r="M43">
            <v>499340</v>
          </cell>
          <cell r="N43">
            <v>28208390709</v>
          </cell>
          <cell r="P43">
            <v>28208390709</v>
          </cell>
        </row>
        <row r="44">
          <cell r="B44" t="str">
            <v>57879 Teşvik Toplamı</v>
          </cell>
          <cell r="N44">
            <v>28208390709</v>
          </cell>
          <cell r="P44">
            <v>28208390709</v>
          </cell>
          <cell r="Q44" t="str">
            <v>Tahakkuk</v>
          </cell>
        </row>
        <row r="45">
          <cell r="B45" t="str">
            <v>Genel Toplamlar</v>
          </cell>
          <cell r="N45">
            <v>2294463491873</v>
          </cell>
          <cell r="O45">
            <v>418427517913</v>
          </cell>
          <cell r="P45">
            <v>1876035973960</v>
          </cell>
        </row>
        <row r="49">
          <cell r="B49" t="str">
            <v>İHRACAT GARANTİLİ YATIRIM DÖVİZ KREDİLERİ KUR FARKLARI    31.12.1999       (TL)</v>
          </cell>
        </row>
        <row r="51">
          <cell r="B51" t="str">
            <v>Teşvik nosu</v>
          </cell>
          <cell r="C51" t="str">
            <v>Banka Kodu</v>
          </cell>
          <cell r="D51" t="str">
            <v>Kredi No</v>
          </cell>
          <cell r="E51" t="str">
            <v xml:space="preserve"> Kredi Vadesi</v>
          </cell>
          <cell r="F51" t="str">
            <v>Alış ve Değ.Tarihi</v>
          </cell>
          <cell r="G51" t="str">
            <v>Değ.ve Öd.Tarihi</v>
          </cell>
          <cell r="H51" t="str">
            <v>Kredi Tutarı</v>
          </cell>
          <cell r="I51" t="str">
            <v>D.C.</v>
          </cell>
          <cell r="J51" t="str">
            <v>Alış ve Değ.Kuru</v>
          </cell>
          <cell r="K51" t="str">
            <v>Ödeme ve değ.kuru</v>
          </cell>
          <cell r="L51" t="str">
            <v>Kur Farkı</v>
          </cell>
          <cell r="M51" t="str">
            <v xml:space="preserve"> Kur Farkları (TL)</v>
          </cell>
          <cell r="N51" t="str">
            <v>1998 Payı</v>
          </cell>
          <cell r="O51" t="str">
            <v>1999 Payı</v>
          </cell>
        </row>
        <row r="52">
          <cell r="B52">
            <v>39581</v>
          </cell>
          <cell r="C52">
            <v>28</v>
          </cell>
          <cell r="D52">
            <v>400001</v>
          </cell>
          <cell r="E52">
            <v>36341</v>
          </cell>
          <cell r="F52">
            <v>35937</v>
          </cell>
          <cell r="G52">
            <v>36160</v>
          </cell>
          <cell r="H52">
            <v>5000000</v>
          </cell>
          <cell r="I52" t="str">
            <v>$</v>
          </cell>
          <cell r="J52">
            <v>253500</v>
          </cell>
          <cell r="K52">
            <v>312720</v>
          </cell>
          <cell r="L52">
            <v>59220</v>
          </cell>
          <cell r="M52">
            <v>296100000000</v>
          </cell>
          <cell r="N52">
            <v>296100000000</v>
          </cell>
        </row>
        <row r="53">
          <cell r="F53">
            <v>36160</v>
          </cell>
          <cell r="G53">
            <v>36341</v>
          </cell>
          <cell r="H53">
            <v>5000000</v>
          </cell>
          <cell r="I53" t="str">
            <v>$</v>
          </cell>
          <cell r="J53">
            <v>312720</v>
          </cell>
          <cell r="K53">
            <v>418189</v>
          </cell>
          <cell r="L53">
            <v>105469</v>
          </cell>
          <cell r="M53">
            <v>527345000000</v>
          </cell>
          <cell r="O53">
            <v>527345000000</v>
          </cell>
        </row>
        <row r="54">
          <cell r="F54">
            <v>36341</v>
          </cell>
          <cell r="G54">
            <v>36463</v>
          </cell>
          <cell r="H54">
            <v>5000000</v>
          </cell>
          <cell r="I54" t="str">
            <v>$</v>
          </cell>
          <cell r="J54">
            <v>418189</v>
          </cell>
          <cell r="K54">
            <v>470234</v>
          </cell>
          <cell r="L54">
            <v>52045</v>
          </cell>
          <cell r="M54">
            <v>260225000000</v>
          </cell>
          <cell r="O54">
            <v>260225000000</v>
          </cell>
        </row>
        <row r="55">
          <cell r="L55" t="str">
            <v>Toplam</v>
          </cell>
          <cell r="M55">
            <v>1083670000000</v>
          </cell>
          <cell r="N55">
            <v>296100000000</v>
          </cell>
          <cell r="O55">
            <v>787570000000</v>
          </cell>
          <cell r="P55" t="str">
            <v>Tahakkuk</v>
          </cell>
        </row>
        <row r="57">
          <cell r="B57">
            <v>39581</v>
          </cell>
          <cell r="C57">
            <v>43</v>
          </cell>
          <cell r="D57">
            <v>1800065</v>
          </cell>
          <cell r="E57">
            <v>35941</v>
          </cell>
          <cell r="F57">
            <v>35941</v>
          </cell>
          <cell r="G57">
            <v>36160</v>
          </cell>
          <cell r="H57">
            <v>5000000</v>
          </cell>
          <cell r="I57" t="str">
            <v>$</v>
          </cell>
          <cell r="J57">
            <v>254995</v>
          </cell>
          <cell r="K57">
            <v>312720</v>
          </cell>
          <cell r="L57">
            <v>57725</v>
          </cell>
          <cell r="M57">
            <v>288625000000</v>
          </cell>
          <cell r="N57">
            <v>288625000000</v>
          </cell>
        </row>
        <row r="58">
          <cell r="F58">
            <v>36160</v>
          </cell>
          <cell r="G58">
            <v>36306</v>
          </cell>
          <cell r="H58">
            <v>5000000</v>
          </cell>
          <cell r="I58" t="str">
            <v>$</v>
          </cell>
          <cell r="J58">
            <v>312720</v>
          </cell>
          <cell r="K58">
            <v>401600</v>
          </cell>
          <cell r="L58">
            <v>88880</v>
          </cell>
          <cell r="M58">
            <v>444400000000</v>
          </cell>
          <cell r="O58">
            <v>444400000000</v>
          </cell>
        </row>
        <row r="59">
          <cell r="L59" t="str">
            <v>Toplam</v>
          </cell>
          <cell r="M59">
            <v>733025000000</v>
          </cell>
          <cell r="N59">
            <v>288625000000</v>
          </cell>
          <cell r="O59">
            <v>444400000000</v>
          </cell>
        </row>
        <row r="61">
          <cell r="B61">
            <v>39581</v>
          </cell>
          <cell r="C61">
            <v>71</v>
          </cell>
          <cell r="D61">
            <v>98047</v>
          </cell>
          <cell r="E61">
            <v>36341</v>
          </cell>
          <cell r="F61">
            <v>35941</v>
          </cell>
          <cell r="G61">
            <v>36160</v>
          </cell>
          <cell r="H61">
            <v>8850000</v>
          </cell>
          <cell r="I61" t="str">
            <v>DM</v>
          </cell>
          <cell r="J61">
            <v>144391</v>
          </cell>
          <cell r="K61">
            <v>187340</v>
          </cell>
          <cell r="L61">
            <v>42949</v>
          </cell>
          <cell r="M61">
            <v>380098650000</v>
          </cell>
          <cell r="N61">
            <v>380098650000</v>
          </cell>
        </row>
        <row r="62">
          <cell r="F62">
            <v>36160</v>
          </cell>
          <cell r="G62">
            <v>36341</v>
          </cell>
          <cell r="H62">
            <v>8850000</v>
          </cell>
          <cell r="I62" t="str">
            <v>DM</v>
          </cell>
          <cell r="J62">
            <v>187340</v>
          </cell>
          <cell r="K62">
            <v>221643</v>
          </cell>
          <cell r="L62">
            <v>34303</v>
          </cell>
          <cell r="M62">
            <v>303581550000</v>
          </cell>
          <cell r="O62">
            <v>303581550000</v>
          </cell>
        </row>
        <row r="63">
          <cell r="F63">
            <v>36341</v>
          </cell>
          <cell r="G63">
            <v>36494</v>
          </cell>
          <cell r="H63">
            <v>8850000</v>
          </cell>
          <cell r="I63" t="str">
            <v>DM</v>
          </cell>
          <cell r="J63">
            <v>221643</v>
          </cell>
          <cell r="K63">
            <v>256945</v>
          </cell>
          <cell r="L63">
            <v>35302</v>
          </cell>
          <cell r="M63">
            <v>312422700000</v>
          </cell>
          <cell r="O63">
            <v>312422700000</v>
          </cell>
        </row>
        <row r="64">
          <cell r="L64" t="str">
            <v>Toplam</v>
          </cell>
          <cell r="M64">
            <v>996102900000</v>
          </cell>
          <cell r="N64">
            <v>380098650000</v>
          </cell>
          <cell r="O64">
            <v>616004250000</v>
          </cell>
          <cell r="P64" t="str">
            <v>Tahakkuk</v>
          </cell>
        </row>
        <row r="66">
          <cell r="B66">
            <v>39581</v>
          </cell>
          <cell r="C66" t="str">
            <v>01</v>
          </cell>
          <cell r="D66">
            <v>100858126</v>
          </cell>
          <cell r="E66">
            <v>36341</v>
          </cell>
          <cell r="F66">
            <v>35942</v>
          </cell>
          <cell r="G66">
            <v>36160</v>
          </cell>
          <cell r="H66">
            <v>23000000</v>
          </cell>
          <cell r="I66" t="str">
            <v>DM</v>
          </cell>
          <cell r="J66">
            <v>144735</v>
          </cell>
          <cell r="K66">
            <v>187340</v>
          </cell>
          <cell r="L66">
            <v>42605</v>
          </cell>
          <cell r="M66">
            <v>979915000000</v>
          </cell>
          <cell r="N66">
            <v>979915000000</v>
          </cell>
        </row>
        <row r="67">
          <cell r="F67">
            <v>36160</v>
          </cell>
          <cell r="G67">
            <v>36341</v>
          </cell>
          <cell r="H67">
            <v>23000000</v>
          </cell>
          <cell r="I67" t="str">
            <v>DM</v>
          </cell>
          <cell r="J67">
            <v>187340</v>
          </cell>
          <cell r="K67">
            <v>221643</v>
          </cell>
          <cell r="L67">
            <v>34303</v>
          </cell>
          <cell r="M67">
            <v>788969000000</v>
          </cell>
          <cell r="O67">
            <v>788969000000</v>
          </cell>
        </row>
        <row r="68">
          <cell r="F68">
            <v>36341</v>
          </cell>
          <cell r="G68">
            <v>36525</v>
          </cell>
          <cell r="H68">
            <v>23000000</v>
          </cell>
          <cell r="I68" t="str">
            <v>DM</v>
          </cell>
          <cell r="J68">
            <v>221643</v>
          </cell>
          <cell r="K68">
            <v>264653</v>
          </cell>
          <cell r="L68">
            <v>43010</v>
          </cell>
          <cell r="M68">
            <v>989230000000</v>
          </cell>
          <cell r="O68">
            <v>989230000000</v>
          </cell>
        </row>
        <row r="69">
          <cell r="L69" t="str">
            <v>Toplam</v>
          </cell>
          <cell r="M69">
            <v>2758114000000</v>
          </cell>
          <cell r="N69">
            <v>979915000000</v>
          </cell>
          <cell r="O69">
            <v>1778199000000</v>
          </cell>
          <cell r="P69" t="str">
            <v>Tahakkuk</v>
          </cell>
        </row>
        <row r="71">
          <cell r="B71" t="str">
            <v>39581 Teşvik Toplamları</v>
          </cell>
          <cell r="M71">
            <v>5570911900000</v>
          </cell>
          <cell r="N71">
            <v>1944738650000</v>
          </cell>
          <cell r="O71">
            <v>3626173250000</v>
          </cell>
        </row>
        <row r="73">
          <cell r="B73">
            <v>35102</v>
          </cell>
          <cell r="C73">
            <v>74</v>
          </cell>
          <cell r="D73">
            <v>98024</v>
          </cell>
          <cell r="E73">
            <v>36522</v>
          </cell>
          <cell r="F73">
            <v>35941</v>
          </cell>
          <cell r="G73">
            <v>36160</v>
          </cell>
          <cell r="H73">
            <v>5000000</v>
          </cell>
          <cell r="I73" t="str">
            <v>$</v>
          </cell>
          <cell r="J73">
            <v>254995</v>
          </cell>
          <cell r="K73">
            <v>312720</v>
          </cell>
          <cell r="L73">
            <v>57725</v>
          </cell>
          <cell r="M73">
            <v>288625000000</v>
          </cell>
          <cell r="N73">
            <v>288625000000</v>
          </cell>
        </row>
        <row r="74">
          <cell r="F74">
            <v>36160</v>
          </cell>
          <cell r="G74">
            <v>36341</v>
          </cell>
          <cell r="H74">
            <v>5000000</v>
          </cell>
          <cell r="I74" t="str">
            <v>$</v>
          </cell>
          <cell r="J74">
            <v>312720</v>
          </cell>
          <cell r="K74">
            <v>418189</v>
          </cell>
          <cell r="L74">
            <v>105469</v>
          </cell>
          <cell r="M74">
            <v>527345000000</v>
          </cell>
          <cell r="O74">
            <v>527345000000</v>
          </cell>
        </row>
        <row r="75">
          <cell r="F75">
            <v>36341</v>
          </cell>
          <cell r="G75">
            <v>36522</v>
          </cell>
          <cell r="H75">
            <v>5000000</v>
          </cell>
          <cell r="I75" t="str">
            <v>$</v>
          </cell>
          <cell r="J75">
            <v>418189</v>
          </cell>
          <cell r="K75">
            <v>497933</v>
          </cell>
          <cell r="L75">
            <v>79744</v>
          </cell>
          <cell r="M75">
            <v>398720000000</v>
          </cell>
          <cell r="O75">
            <v>398720000000</v>
          </cell>
        </row>
        <row r="76">
          <cell r="B76" t="str">
            <v>35102 Teşvik Toplamı</v>
          </cell>
          <cell r="M76">
            <v>1214690000000</v>
          </cell>
          <cell r="N76">
            <v>288625000000</v>
          </cell>
          <cell r="O76">
            <v>926065000000</v>
          </cell>
          <cell r="P76" t="str">
            <v>Tahakkuk</v>
          </cell>
        </row>
        <row r="78">
          <cell r="B78">
            <v>50911</v>
          </cell>
          <cell r="C78">
            <v>74</v>
          </cell>
          <cell r="D78">
            <v>98048</v>
          </cell>
          <cell r="E78">
            <v>36143</v>
          </cell>
          <cell r="F78">
            <v>36143</v>
          </cell>
          <cell r="G78">
            <v>36160</v>
          </cell>
          <cell r="H78">
            <v>18000000</v>
          </cell>
          <cell r="I78" t="str">
            <v>DM</v>
          </cell>
          <cell r="J78">
            <v>185100</v>
          </cell>
          <cell r="K78">
            <v>187340</v>
          </cell>
          <cell r="L78">
            <v>2240</v>
          </cell>
          <cell r="M78">
            <v>40320000000</v>
          </cell>
          <cell r="N78">
            <v>40320000000</v>
          </cell>
        </row>
        <row r="79">
          <cell r="F79">
            <v>36160</v>
          </cell>
          <cell r="G79">
            <v>36341</v>
          </cell>
          <cell r="H79">
            <v>18000000</v>
          </cell>
          <cell r="I79" t="str">
            <v>DM</v>
          </cell>
          <cell r="J79">
            <v>187340</v>
          </cell>
          <cell r="K79">
            <v>221643</v>
          </cell>
          <cell r="L79">
            <v>34303</v>
          </cell>
          <cell r="M79">
            <v>617454000000</v>
          </cell>
          <cell r="O79">
            <v>617454000000</v>
          </cell>
        </row>
        <row r="80">
          <cell r="F80">
            <v>36341</v>
          </cell>
          <cell r="G80">
            <v>36508</v>
          </cell>
          <cell r="H80">
            <v>18000000</v>
          </cell>
          <cell r="I80" t="str">
            <v>DM</v>
          </cell>
          <cell r="J80">
            <v>221643</v>
          </cell>
          <cell r="K80">
            <v>260426</v>
          </cell>
          <cell r="L80">
            <v>38783</v>
          </cell>
          <cell r="M80">
            <v>698094000000</v>
          </cell>
          <cell r="O80">
            <v>698094000000</v>
          </cell>
        </row>
        <row r="81">
          <cell r="L81" t="str">
            <v>Toplam</v>
          </cell>
          <cell r="M81">
            <v>1355868000000</v>
          </cell>
          <cell r="N81">
            <v>40320000000</v>
          </cell>
          <cell r="O81">
            <v>1315548000000</v>
          </cell>
          <cell r="P81" t="str">
            <v>Tahakkuk</v>
          </cell>
        </row>
        <row r="83">
          <cell r="B83">
            <v>50911</v>
          </cell>
          <cell r="C83">
            <v>74</v>
          </cell>
          <cell r="D83">
            <v>99001</v>
          </cell>
          <cell r="E83">
            <v>36536</v>
          </cell>
          <cell r="F83">
            <v>36171</v>
          </cell>
          <cell r="G83">
            <v>36341</v>
          </cell>
          <cell r="H83">
            <v>7000000</v>
          </cell>
          <cell r="I83" t="str">
            <v>DM</v>
          </cell>
          <cell r="J83">
            <v>190301</v>
          </cell>
          <cell r="K83">
            <v>221643</v>
          </cell>
          <cell r="L83">
            <v>31342</v>
          </cell>
          <cell r="M83">
            <v>219394000000</v>
          </cell>
          <cell r="O83">
            <v>219394000000</v>
          </cell>
        </row>
        <row r="84">
          <cell r="F84">
            <v>36341</v>
          </cell>
          <cell r="G84">
            <v>36525</v>
          </cell>
          <cell r="H84">
            <v>7000000</v>
          </cell>
          <cell r="I84" t="str">
            <v>DM</v>
          </cell>
          <cell r="J84">
            <v>221643</v>
          </cell>
          <cell r="K84">
            <v>264653</v>
          </cell>
          <cell r="L84">
            <v>43010</v>
          </cell>
          <cell r="M84">
            <v>301070000000</v>
          </cell>
          <cell r="O84">
            <v>301070000000</v>
          </cell>
        </row>
        <row r="85">
          <cell r="L85" t="str">
            <v>Toplam</v>
          </cell>
          <cell r="M85">
            <v>520464000000</v>
          </cell>
          <cell r="O85">
            <v>520464000000</v>
          </cell>
          <cell r="P85" t="str">
            <v>Tahakkuk</v>
          </cell>
        </row>
        <row r="86">
          <cell r="B86">
            <v>50911</v>
          </cell>
          <cell r="C86" t="str">
            <v>01</v>
          </cell>
          <cell r="D86">
            <v>100858127</v>
          </cell>
          <cell r="E86">
            <v>36566</v>
          </cell>
          <cell r="F86">
            <v>36201</v>
          </cell>
          <cell r="G86">
            <v>36341</v>
          </cell>
          <cell r="H86">
            <v>2400000</v>
          </cell>
          <cell r="I86" t="str">
            <v>$</v>
          </cell>
          <cell r="J86">
            <v>339377</v>
          </cell>
          <cell r="K86">
            <v>418189</v>
          </cell>
          <cell r="L86">
            <v>78812</v>
          </cell>
          <cell r="M86">
            <v>189148800000</v>
          </cell>
          <cell r="O86">
            <v>189148800000</v>
          </cell>
        </row>
        <row r="87">
          <cell r="F87">
            <v>36341</v>
          </cell>
          <cell r="G87">
            <v>36525</v>
          </cell>
          <cell r="H87">
            <v>2400000</v>
          </cell>
          <cell r="I87" t="str">
            <v>$</v>
          </cell>
          <cell r="J87">
            <v>418189</v>
          </cell>
          <cell r="K87">
            <v>499340</v>
          </cell>
          <cell r="L87">
            <v>81151</v>
          </cell>
          <cell r="M87">
            <v>194762400000</v>
          </cell>
          <cell r="O87">
            <v>194762400000</v>
          </cell>
        </row>
        <row r="88">
          <cell r="L88" t="str">
            <v>Toplam</v>
          </cell>
          <cell r="M88">
            <v>383911200000</v>
          </cell>
          <cell r="O88">
            <v>383911200000</v>
          </cell>
          <cell r="P88" t="str">
            <v>Tahakkuk</v>
          </cell>
        </row>
        <row r="90">
          <cell r="B90" t="str">
            <v>50911 Teşvik Toplamları</v>
          </cell>
          <cell r="M90">
            <v>2260243200000</v>
          </cell>
          <cell r="N90">
            <v>40320000000</v>
          </cell>
          <cell r="O90">
            <v>2219923200000</v>
          </cell>
        </row>
        <row r="92">
          <cell r="B92">
            <v>58169</v>
          </cell>
          <cell r="C92" t="str">
            <v>01</v>
          </cell>
          <cell r="D92">
            <v>100858129</v>
          </cell>
          <cell r="E92">
            <v>36566</v>
          </cell>
          <cell r="F92">
            <v>36201</v>
          </cell>
          <cell r="G92">
            <v>36341</v>
          </cell>
          <cell r="H92">
            <v>5100000</v>
          </cell>
          <cell r="I92" t="str">
            <v>$</v>
          </cell>
          <cell r="J92">
            <v>339377</v>
          </cell>
          <cell r="K92">
            <v>418189</v>
          </cell>
          <cell r="L92">
            <v>78812</v>
          </cell>
          <cell r="M92">
            <v>401941200000</v>
          </cell>
          <cell r="O92">
            <v>401941200000</v>
          </cell>
        </row>
        <row r="93">
          <cell r="F93">
            <v>36341</v>
          </cell>
          <cell r="G93">
            <v>36525</v>
          </cell>
          <cell r="H93">
            <v>5100000</v>
          </cell>
          <cell r="I93" t="str">
            <v>$</v>
          </cell>
          <cell r="J93">
            <v>418189</v>
          </cell>
          <cell r="K93">
            <v>499340</v>
          </cell>
          <cell r="L93">
            <v>81151</v>
          </cell>
          <cell r="M93">
            <v>413870100000</v>
          </cell>
          <cell r="O93">
            <v>413870100000</v>
          </cell>
        </row>
        <row r="94">
          <cell r="B94" t="str">
            <v>58169 Teşvik Toplamı</v>
          </cell>
          <cell r="M94">
            <v>815811300000</v>
          </cell>
          <cell r="O94">
            <v>815811300000</v>
          </cell>
          <cell r="P94" t="str">
            <v>Tahakkuk(*)</v>
          </cell>
        </row>
        <row r="97">
          <cell r="B97">
            <v>57879</v>
          </cell>
          <cell r="C97" t="str">
            <v>74</v>
          </cell>
          <cell r="D97">
            <v>99026</v>
          </cell>
          <cell r="E97">
            <v>36605</v>
          </cell>
          <cell r="F97">
            <v>36234</v>
          </cell>
          <cell r="G97">
            <v>36341</v>
          </cell>
          <cell r="H97">
            <v>750000</v>
          </cell>
          <cell r="I97" t="str">
            <v>$</v>
          </cell>
          <cell r="J97">
            <v>361741</v>
          </cell>
          <cell r="K97">
            <v>418189</v>
          </cell>
          <cell r="L97">
            <v>56448</v>
          </cell>
          <cell r="M97">
            <v>42336000000</v>
          </cell>
          <cell r="O97">
            <v>42336000000</v>
          </cell>
        </row>
        <row r="98">
          <cell r="F98">
            <v>36341</v>
          </cell>
          <cell r="G98">
            <v>36525</v>
          </cell>
          <cell r="H98">
            <v>750000</v>
          </cell>
          <cell r="I98" t="str">
            <v>$</v>
          </cell>
          <cell r="J98">
            <v>418189</v>
          </cell>
          <cell r="K98">
            <v>499340</v>
          </cell>
          <cell r="L98">
            <v>81151</v>
          </cell>
          <cell r="M98">
            <v>60863250000</v>
          </cell>
          <cell r="O98">
            <v>60863250000</v>
          </cell>
        </row>
        <row r="99">
          <cell r="B99" t="str">
            <v>57879 Teşvik Toplamı</v>
          </cell>
          <cell r="M99">
            <v>103199250000</v>
          </cell>
          <cell r="O99">
            <v>103199250000</v>
          </cell>
          <cell r="P99" t="str">
            <v>Tahakkuk</v>
          </cell>
        </row>
        <row r="101">
          <cell r="B101" t="str">
            <v>Genel Toplamlar</v>
          </cell>
          <cell r="M101">
            <v>9964855650000</v>
          </cell>
          <cell r="N101">
            <v>2273683650000</v>
          </cell>
          <cell r="O101">
            <v>7691172000000</v>
          </cell>
        </row>
        <row r="334">
          <cell r="B334" t="str">
            <v>İHRACAT GARANTİLİ YATIRIM DÖVİZ KREDİLERİ FAİZLERİ     31.12.1999         ( TL.)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K MW 98_99"/>
      <sheetName val="NPK MW 99_00"/>
      <sheetName val="MASCHKAP"/>
    </sheetNames>
    <sheetDataSet>
      <sheetData sheetId="0"/>
      <sheetData sheetId="1">
        <row r="2">
          <cell r="S2">
            <v>0.98</v>
          </cell>
        </row>
      </sheetData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-green"/>
      <sheetName val="fa12.00"/>
      <sheetName val="cash flow-ias"/>
      <sheetName val="pcepl"/>
      <sheetName val="pl00"/>
      <sheetName val="FR12.00"/>
      <sheetName val="320"/>
      <sheetName val="EQUITY"/>
      <sheetName val="LEADS"/>
      <sheetName val="AJE RJE12.00"/>
      <sheetName val="def tax recon"/>
      <sheetName val="monetaryias"/>
      <sheetName val="monetary-stat"/>
      <sheetName val="analyticsstat"/>
      <sheetName val="analyticsias"/>
      <sheetName val="doubtful"/>
      <sheetName val="ajerje9.00"/>
      <sheetName val="AJE9.98.99"/>
      <sheetName val="ind12.00"/>
      <sheetName val="PL99"/>
      <sheetName val="premiums"/>
    </sheetNames>
    <sheetDataSet>
      <sheetData sheetId="0" refreshError="1"/>
      <sheetData sheetId="1" refreshError="1"/>
      <sheetData sheetId="2" refreshError="1"/>
      <sheetData sheetId="3" refreshError="1">
        <row r="15">
          <cell r="K15">
            <v>25319771</v>
          </cell>
          <cell r="L15">
            <v>37155883</v>
          </cell>
        </row>
        <row r="17">
          <cell r="K17">
            <v>25319771</v>
          </cell>
          <cell r="L17">
            <v>37155883</v>
          </cell>
        </row>
        <row r="18">
          <cell r="K18">
            <v>85272</v>
          </cell>
          <cell r="L18">
            <v>147347</v>
          </cell>
        </row>
        <row r="20">
          <cell r="K20">
            <v>25405043</v>
          </cell>
          <cell r="L20">
            <v>37303230</v>
          </cell>
        </row>
        <row r="23">
          <cell r="K23">
            <v>211624</v>
          </cell>
          <cell r="L23">
            <v>606015</v>
          </cell>
        </row>
        <row r="24">
          <cell r="K24">
            <v>211624</v>
          </cell>
          <cell r="L24">
            <v>606015</v>
          </cell>
        </row>
        <row r="26">
          <cell r="K26">
            <v>24411973</v>
          </cell>
          <cell r="L26">
            <v>35980136</v>
          </cell>
        </row>
        <row r="27">
          <cell r="K27">
            <v>856684</v>
          </cell>
          <cell r="L27">
            <v>1589486.5261464175</v>
          </cell>
        </row>
        <row r="29">
          <cell r="K29">
            <v>25268657</v>
          </cell>
          <cell r="L29">
            <v>37569622.526146419</v>
          </cell>
        </row>
        <row r="31">
          <cell r="K31">
            <v>579684</v>
          </cell>
          <cell r="L31">
            <v>979720.16969451122</v>
          </cell>
        </row>
        <row r="34">
          <cell r="K34">
            <v>579684</v>
          </cell>
          <cell r="L34">
            <v>979720.16969451122</v>
          </cell>
        </row>
        <row r="37">
          <cell r="K37">
            <v>58015</v>
          </cell>
          <cell r="L37">
            <v>105712</v>
          </cell>
        </row>
        <row r="40">
          <cell r="K40">
            <v>58015</v>
          </cell>
          <cell r="L40">
            <v>105712</v>
          </cell>
        </row>
        <row r="45">
          <cell r="K45">
            <v>735486</v>
          </cell>
          <cell r="L45">
            <v>1694967</v>
          </cell>
        </row>
        <row r="47">
          <cell r="K47">
            <v>735486</v>
          </cell>
          <cell r="L47">
            <v>1694967</v>
          </cell>
        </row>
        <row r="48">
          <cell r="K48">
            <v>-1025175</v>
          </cell>
          <cell r="L48">
            <v>-2440776.6958409306</v>
          </cell>
        </row>
        <row r="57">
          <cell r="K57">
            <v>2973298</v>
          </cell>
          <cell r="L57">
            <v>5492848</v>
          </cell>
        </row>
        <row r="64">
          <cell r="K64">
            <v>-2968002</v>
          </cell>
          <cell r="L64">
            <v>-2997502</v>
          </cell>
        </row>
        <row r="72">
          <cell r="K72">
            <v>-1019879</v>
          </cell>
          <cell r="L72">
            <v>54569.304159069434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KB Fiyatları"/>
      <sheetName val="Iskontolu"/>
      <sheetName val="CouponDetails"/>
      <sheetName val="CouponCashFlow"/>
      <sheetName val="CouponCashFlow (IRR)"/>
      <sheetName val="CFSheet"/>
      <sheetName val="CF (İşlem Görmeyenler)"/>
      <sheetName val="IMKB VALUATION"/>
      <sheetName val="MAIN GATE"/>
      <sheetName val="MAIN GATE (IRR)"/>
      <sheetName val="stok-repo"/>
      <sheetName val="İskontolu-Kuponlu Ayırımı"/>
      <sheetName val="Name List"/>
      <sheetName val="ÇiftlikEvi"/>
      <sheetName val="TCMB Fiyatlar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 t="str">
            <v>369711B</v>
          </cell>
          <cell r="B3">
            <v>36971</v>
          </cell>
          <cell r="C3" t="str">
            <v>1B</v>
          </cell>
          <cell r="D3" t="str">
            <v>i</v>
          </cell>
          <cell r="E3">
            <v>93580.484215667369</v>
          </cell>
          <cell r="F3">
            <v>137.47634294059173</v>
          </cell>
          <cell r="G3">
            <v>93580.484215667369</v>
          </cell>
          <cell r="H3">
            <v>89.423531325544104</v>
          </cell>
          <cell r="I3">
            <v>137.47634294059173</v>
          </cell>
          <cell r="J3">
            <v>93550.323106299518</v>
          </cell>
          <cell r="K3">
            <v>93431.025687587055</v>
          </cell>
          <cell r="L3">
            <v>28</v>
          </cell>
          <cell r="M3">
            <v>100000</v>
          </cell>
          <cell r="N3" t="str">
            <v/>
          </cell>
          <cell r="O3">
            <v>92.728262482919277</v>
          </cell>
          <cell r="P3">
            <v>28</v>
          </cell>
        </row>
        <row r="4">
          <cell r="A4" t="str">
            <v>3697124T4</v>
          </cell>
          <cell r="B4">
            <v>36971</v>
          </cell>
          <cell r="C4" t="str">
            <v>24T4</v>
          </cell>
          <cell r="D4" t="str">
            <v>s</v>
          </cell>
          <cell r="E4">
            <v>115365.68521492703</v>
          </cell>
          <cell r="F4">
            <v>9.8487106767724342</v>
          </cell>
          <cell r="G4">
            <v>115365.68521492703</v>
          </cell>
          <cell r="H4">
            <v>9.4273128447259698</v>
          </cell>
          <cell r="I4">
            <v>9.8487106767724342</v>
          </cell>
          <cell r="J4">
            <v>115285.51289083238</v>
          </cell>
          <cell r="K4">
            <v>114972.43068012773</v>
          </cell>
          <cell r="L4">
            <v>28</v>
          </cell>
          <cell r="M4">
            <v>100000</v>
          </cell>
          <cell r="N4">
            <v>28</v>
          </cell>
          <cell r="O4">
            <v>9.5042437436934737</v>
          </cell>
          <cell r="P4">
            <v>91</v>
          </cell>
        </row>
        <row r="5">
          <cell r="A5" t="str">
            <v>370063B</v>
          </cell>
          <cell r="B5">
            <v>37006</v>
          </cell>
          <cell r="C5" t="str">
            <v>3B</v>
          </cell>
          <cell r="D5" t="str">
            <v>i</v>
          </cell>
          <cell r="E5">
            <v>92103.182960948325</v>
          </cell>
          <cell r="F5">
            <v>61.057244898014694</v>
          </cell>
          <cell r="G5">
            <v>92103.182960948325</v>
          </cell>
          <cell r="H5">
            <v>49.674070791902359</v>
          </cell>
          <cell r="I5">
            <v>61.057244898014694</v>
          </cell>
          <cell r="J5">
            <v>92004.835013866235</v>
          </cell>
          <cell r="K5">
            <v>91618.440570801133</v>
          </cell>
          <cell r="L5">
            <v>63</v>
          </cell>
          <cell r="M5">
            <v>100000</v>
          </cell>
          <cell r="N5" t="str">
            <v/>
          </cell>
          <cell r="O5">
            <v>69.499931291417383</v>
          </cell>
          <cell r="P5">
            <v>63</v>
          </cell>
        </row>
        <row r="6">
          <cell r="A6" t="str">
            <v>370273B</v>
          </cell>
          <cell r="B6">
            <v>37027</v>
          </cell>
          <cell r="C6" t="str">
            <v>3B</v>
          </cell>
          <cell r="D6" t="str">
            <v>i</v>
          </cell>
          <cell r="E6">
            <v>82937</v>
          </cell>
          <cell r="F6">
            <v>125.45396968571248</v>
          </cell>
          <cell r="G6">
            <v>82937</v>
          </cell>
          <cell r="H6">
            <v>89.396527025389929</v>
          </cell>
          <cell r="I6">
            <v>125.45396968571248</v>
          </cell>
          <cell r="J6">
            <v>82852.570478488909</v>
          </cell>
          <cell r="K6">
            <v>82519.381927464274</v>
          </cell>
          <cell r="L6">
            <v>84</v>
          </cell>
          <cell r="M6">
            <v>100000</v>
          </cell>
          <cell r="N6" t="str">
            <v/>
          </cell>
          <cell r="O6">
            <v>57.189853712973864</v>
          </cell>
          <cell r="P6">
            <v>91</v>
          </cell>
        </row>
        <row r="7">
          <cell r="A7" t="str">
            <v>3703416T</v>
          </cell>
          <cell r="B7">
            <v>37034</v>
          </cell>
          <cell r="C7" t="str">
            <v>16T</v>
          </cell>
          <cell r="D7" t="str">
            <v>i</v>
          </cell>
          <cell r="E7">
            <v>81732</v>
          </cell>
          <cell r="F7">
            <v>124.59196690175376</v>
          </cell>
          <cell r="G7">
            <v>81732</v>
          </cell>
          <cell r="H7">
            <v>89.650011320837933</v>
          </cell>
          <cell r="I7">
            <v>124.59196690175376</v>
          </cell>
          <cell r="J7">
            <v>81641.522440256827</v>
          </cell>
          <cell r="K7">
            <v>81284.559858771026</v>
          </cell>
          <cell r="L7">
            <v>91</v>
          </cell>
          <cell r="M7">
            <v>100000</v>
          </cell>
          <cell r="N7" t="str">
            <v/>
          </cell>
          <cell r="O7">
            <v>72.080963728677048</v>
          </cell>
          <cell r="P7">
            <v>148</v>
          </cell>
        </row>
        <row r="8">
          <cell r="A8" t="str">
            <v>3706214T</v>
          </cell>
          <cell r="B8">
            <v>37062</v>
          </cell>
          <cell r="C8" t="str">
            <v>14T</v>
          </cell>
          <cell r="D8" t="str">
            <v>i</v>
          </cell>
          <cell r="E8">
            <v>78408</v>
          </cell>
          <cell r="F8">
            <v>110.87286321313221</v>
          </cell>
          <cell r="G8">
            <v>78408</v>
          </cell>
          <cell r="H8">
            <v>84.46531352057201</v>
          </cell>
          <cell r="I8">
            <v>110.87286321313221</v>
          </cell>
          <cell r="J8">
            <v>78287.154311237202</v>
          </cell>
          <cell r="K8">
            <v>77811.229736634225</v>
          </cell>
          <cell r="L8">
            <v>119</v>
          </cell>
          <cell r="M8">
            <v>100000</v>
          </cell>
          <cell r="N8" t="str">
            <v/>
          </cell>
          <cell r="O8">
            <v>65.821155513612197</v>
          </cell>
          <cell r="P8">
            <v>176</v>
          </cell>
        </row>
        <row r="9">
          <cell r="A9" t="str">
            <v>370836B</v>
          </cell>
          <cell r="B9">
            <v>37083</v>
          </cell>
          <cell r="C9" t="str">
            <v>6B</v>
          </cell>
          <cell r="D9" t="str">
            <v>i</v>
          </cell>
          <cell r="E9">
            <v>76033</v>
          </cell>
          <cell r="F9">
            <v>104.2887521651807</v>
          </cell>
          <cell r="G9">
            <v>76033</v>
          </cell>
          <cell r="H9">
            <v>82.181937917934135</v>
          </cell>
          <cell r="I9">
            <v>104.2887521651807</v>
          </cell>
          <cell r="J9">
            <v>75890.726041502479</v>
          </cell>
          <cell r="K9">
            <v>75331.077550210175</v>
          </cell>
          <cell r="L9">
            <v>140</v>
          </cell>
          <cell r="M9">
            <v>100000</v>
          </cell>
          <cell r="N9" t="str">
            <v/>
          </cell>
          <cell r="O9">
            <v>59.072702825009223</v>
          </cell>
          <cell r="P9">
            <v>184</v>
          </cell>
        </row>
        <row r="10">
          <cell r="A10" t="str">
            <v>3709012T</v>
          </cell>
          <cell r="B10">
            <v>37090</v>
          </cell>
          <cell r="C10" t="str">
            <v>12T</v>
          </cell>
          <cell r="D10" t="str">
            <v>i</v>
          </cell>
          <cell r="E10">
            <v>81899.174349914814</v>
          </cell>
          <cell r="F10">
            <v>64.182306734908209</v>
          </cell>
          <cell r="G10">
            <v>81899.174349914814</v>
          </cell>
          <cell r="H10">
            <v>54.877509219163336</v>
          </cell>
          <cell r="I10">
            <v>64.182306734908209</v>
          </cell>
          <cell r="J10">
            <v>81699.129466582875</v>
          </cell>
          <cell r="K10">
            <v>80915.625032009106</v>
          </cell>
          <cell r="L10">
            <v>147</v>
          </cell>
          <cell r="M10">
            <v>100000</v>
          </cell>
          <cell r="N10" t="str">
            <v/>
          </cell>
          <cell r="O10">
            <v>52.74309366386359</v>
          </cell>
          <cell r="P10">
            <v>204</v>
          </cell>
        </row>
        <row r="11">
          <cell r="A11" t="str">
            <v>3712516T</v>
          </cell>
          <cell r="B11">
            <v>37125</v>
          </cell>
          <cell r="C11" t="str">
            <v>16T</v>
          </cell>
          <cell r="D11" t="str">
            <v>i</v>
          </cell>
          <cell r="E11">
            <v>80926.048266272323</v>
          </cell>
          <cell r="F11">
            <v>52.872138810257205</v>
          </cell>
          <cell r="G11">
            <v>80926.048266272323</v>
          </cell>
          <cell r="H11">
            <v>47.268717822714798</v>
          </cell>
          <cell r="I11">
            <v>52.872138810257205</v>
          </cell>
          <cell r="J11">
            <v>80663.374839154334</v>
          </cell>
          <cell r="K11">
            <v>79637.735984177139</v>
          </cell>
          <cell r="L11">
            <v>182</v>
          </cell>
          <cell r="M11">
            <v>100000</v>
          </cell>
          <cell r="N11" t="str">
            <v/>
          </cell>
          <cell r="O11">
            <v>39.07656368838127</v>
          </cell>
          <cell r="P11">
            <v>239</v>
          </cell>
        </row>
        <row r="12">
          <cell r="A12" t="str">
            <v>3716724T4</v>
          </cell>
          <cell r="B12">
            <v>37167</v>
          </cell>
          <cell r="C12" t="str">
            <v>24T4</v>
          </cell>
          <cell r="D12" t="str">
            <v>s</v>
          </cell>
          <cell r="E12">
            <v>107252.83461249774</v>
          </cell>
          <cell r="F12">
            <v>73.700419364907191</v>
          </cell>
          <cell r="G12">
            <v>107252.83461249774</v>
          </cell>
          <cell r="H12">
            <v>57.008058032570084</v>
          </cell>
          <cell r="I12">
            <v>73.700419364907191</v>
          </cell>
          <cell r="J12">
            <v>106931.75158942926</v>
          </cell>
          <cell r="K12">
            <v>105675.91267775386</v>
          </cell>
          <cell r="L12">
            <v>189.8963369761984</v>
          </cell>
          <cell r="N12">
            <v>42</v>
          </cell>
          <cell r="O12">
            <v>59.197354163045922</v>
          </cell>
          <cell r="P12">
            <v>91</v>
          </cell>
        </row>
        <row r="13">
          <cell r="A13" t="str">
            <v>3723714T</v>
          </cell>
          <cell r="B13">
            <v>37237</v>
          </cell>
          <cell r="C13" t="str">
            <v>14T</v>
          </cell>
          <cell r="D13" t="str">
            <v>i</v>
          </cell>
          <cell r="E13">
            <v>67418.347181193152</v>
          </cell>
          <cell r="F13">
            <v>63.144112218573902</v>
          </cell>
          <cell r="G13">
            <v>67418.347181193152</v>
          </cell>
          <cell r="H13">
            <v>59.998520942507113</v>
          </cell>
          <cell r="I13">
            <v>63.144112218573902</v>
          </cell>
          <cell r="J13">
            <v>67087.318868823524</v>
          </cell>
          <cell r="K13">
            <v>65798.812610008317</v>
          </cell>
          <cell r="L13">
            <v>294</v>
          </cell>
          <cell r="M13">
            <v>100000</v>
          </cell>
          <cell r="N13" t="str">
            <v/>
          </cell>
          <cell r="O13">
            <v>56.038178795249976</v>
          </cell>
          <cell r="P13">
            <v>351</v>
          </cell>
        </row>
        <row r="14">
          <cell r="A14" t="str">
            <v>372792301 A</v>
          </cell>
          <cell r="B14">
            <v>37279</v>
          </cell>
          <cell r="C14" t="str">
            <v>2301 A</v>
          </cell>
          <cell r="D14" t="str">
            <v>i</v>
          </cell>
          <cell r="E14">
            <v>69365.47250945901</v>
          </cell>
          <cell r="F14">
            <v>48.787858462553643</v>
          </cell>
          <cell r="G14">
            <v>69365.47250945901</v>
          </cell>
          <cell r="H14">
            <v>47.975711498024175</v>
          </cell>
          <cell r="I14">
            <v>48.787858462553643</v>
          </cell>
          <cell r="J14">
            <v>68939.061318420383</v>
          </cell>
          <cell r="K14">
            <v>67286.709644779097</v>
          </cell>
          <cell r="L14">
            <v>336</v>
          </cell>
          <cell r="M14">
            <v>100000</v>
          </cell>
          <cell r="N14" t="str">
            <v/>
          </cell>
          <cell r="O14">
            <v>36.118179247950238</v>
          </cell>
          <cell r="P14">
            <v>393</v>
          </cell>
        </row>
        <row r="15">
          <cell r="A15" t="str">
            <v>3727924T4 D</v>
          </cell>
          <cell r="B15">
            <v>37279</v>
          </cell>
          <cell r="C15" t="str">
            <v>24T4 D</v>
          </cell>
          <cell r="D15" t="str">
            <v>d</v>
          </cell>
          <cell r="E15">
            <v>99191.745098062092</v>
          </cell>
          <cell r="F15">
            <v>74.789740109053056</v>
          </cell>
          <cell r="G15">
            <v>99191.745098062092</v>
          </cell>
          <cell r="H15">
            <v>58.621040282940143</v>
          </cell>
          <cell r="I15">
            <v>74.789740109053056</v>
          </cell>
          <cell r="J15">
            <v>98765.585554530422</v>
          </cell>
          <cell r="K15">
            <v>97104.853328612138</v>
          </cell>
          <cell r="L15">
            <v>63</v>
          </cell>
          <cell r="M15">
            <v>100000</v>
          </cell>
          <cell r="O15">
            <v>59.91534868783156</v>
          </cell>
          <cell r="P15">
            <v>91</v>
          </cell>
        </row>
        <row r="16">
          <cell r="A16" t="str">
            <v>3730714T</v>
          </cell>
          <cell r="B16">
            <v>37307</v>
          </cell>
          <cell r="C16" t="str">
            <v>14T</v>
          </cell>
          <cell r="D16" t="str">
            <v>i</v>
          </cell>
          <cell r="E16">
            <v>61194.508618275548</v>
          </cell>
          <cell r="F16">
            <v>63.633983505694466</v>
          </cell>
          <cell r="G16">
            <v>61194.508618275548</v>
          </cell>
          <cell r="H16">
            <v>63.587568154620996</v>
          </cell>
          <cell r="I16">
            <v>63.633983505694466</v>
          </cell>
          <cell r="J16">
            <v>60823.82353887464</v>
          </cell>
          <cell r="K16">
            <v>59384.987346455942</v>
          </cell>
          <cell r="L16">
            <v>364</v>
          </cell>
          <cell r="M16">
            <v>100000</v>
          </cell>
          <cell r="N16" t="str">
            <v/>
          </cell>
          <cell r="O16">
            <v>67.353155130831809</v>
          </cell>
          <cell r="P16">
            <v>408</v>
          </cell>
        </row>
        <row r="17">
          <cell r="A17" t="str">
            <v>3730718T</v>
          </cell>
          <cell r="B17">
            <v>37307</v>
          </cell>
          <cell r="C17" t="str">
            <v>18T</v>
          </cell>
          <cell r="D17" t="str">
            <v>i</v>
          </cell>
          <cell r="E17">
            <v>60624.296873505977</v>
          </cell>
          <cell r="F17">
            <v>65.17731785071274</v>
          </cell>
          <cell r="G17">
            <v>60624.296873505977</v>
          </cell>
          <cell r="H17">
            <v>65.128801769804141</v>
          </cell>
          <cell r="I17">
            <v>65.17731785071274</v>
          </cell>
          <cell r="J17">
            <v>60260.476449173009</v>
          </cell>
          <cell r="K17">
            <v>58847.895022313212</v>
          </cell>
          <cell r="L17">
            <v>364</v>
          </cell>
          <cell r="M17">
            <v>100000</v>
          </cell>
          <cell r="N17" t="str">
            <v/>
          </cell>
          <cell r="O17">
            <v>37.972131334224727</v>
          </cell>
          <cell r="P17">
            <v>421</v>
          </cell>
        </row>
        <row r="18">
          <cell r="A18" t="str">
            <v>373911505 A</v>
          </cell>
          <cell r="B18">
            <v>37391</v>
          </cell>
          <cell r="C18" t="str">
            <v>1505 A</v>
          </cell>
          <cell r="D18" t="str">
            <v>i</v>
          </cell>
          <cell r="E18">
            <v>55946.480460083905</v>
          </cell>
          <cell r="F18">
            <v>60.508350276705428</v>
          </cell>
          <cell r="G18">
            <v>55946.480460083905</v>
          </cell>
          <cell r="H18">
            <v>64.153845031882895</v>
          </cell>
          <cell r="I18">
            <v>60.508350276705428</v>
          </cell>
          <cell r="J18">
            <v>55521.609930832041</v>
          </cell>
          <cell r="K18">
            <v>53879.188029705991</v>
          </cell>
          <cell r="L18">
            <v>448</v>
          </cell>
          <cell r="M18">
            <v>100000</v>
          </cell>
          <cell r="N18" t="str">
            <v/>
          </cell>
          <cell r="O18">
            <v>28.805562821361924</v>
          </cell>
          <cell r="P18">
            <v>505</v>
          </cell>
        </row>
        <row r="19">
          <cell r="A19" t="str">
            <v>3739124T4 D</v>
          </cell>
          <cell r="B19">
            <v>37391</v>
          </cell>
          <cell r="C19" t="str">
            <v>24T4 D</v>
          </cell>
          <cell r="D19" t="str">
            <v>d</v>
          </cell>
          <cell r="E19">
            <v>98612.206256508667</v>
          </cell>
          <cell r="F19">
            <v>81.527236018955534</v>
          </cell>
          <cell r="G19">
            <v>98612.206256508667</v>
          </cell>
          <cell r="H19">
            <v>63.907898846121327</v>
          </cell>
          <cell r="I19">
            <v>81.527236018955534</v>
          </cell>
          <cell r="J19">
            <v>98107.511907318185</v>
          </cell>
          <cell r="K19">
            <v>96145.172630969479</v>
          </cell>
          <cell r="L19">
            <v>84</v>
          </cell>
          <cell r="N19" t="str">
            <v/>
          </cell>
          <cell r="O19">
            <v>64.283079421142034</v>
          </cell>
          <cell r="P19">
            <v>91</v>
          </cell>
        </row>
        <row r="20">
          <cell r="A20" t="str">
            <v>3746136T4 D</v>
          </cell>
          <cell r="B20">
            <v>37461</v>
          </cell>
          <cell r="C20" t="str">
            <v>36T4 D</v>
          </cell>
          <cell r="D20" t="str">
            <v>d</v>
          </cell>
          <cell r="E20">
            <v>99722.882776170227</v>
          </cell>
          <cell r="F20">
            <v>72.623627022748721</v>
          </cell>
          <cell r="G20">
            <v>99722.882776170227</v>
          </cell>
          <cell r="H20">
            <v>57.249331745029913</v>
          </cell>
          <cell r="I20">
            <v>72.623627022748721</v>
          </cell>
          <cell r="J20">
            <v>99130.990866436798</v>
          </cell>
          <cell r="K20">
            <v>96838.137058283697</v>
          </cell>
          <cell r="L20">
            <v>63</v>
          </cell>
          <cell r="N20" t="str">
            <v/>
          </cell>
          <cell r="O20">
            <v>58.484287610592631</v>
          </cell>
          <cell r="P20">
            <v>91</v>
          </cell>
        </row>
        <row r="21">
          <cell r="A21" t="str">
            <v>3748236T4 D</v>
          </cell>
          <cell r="B21">
            <v>37482</v>
          </cell>
          <cell r="C21" t="str">
            <v>36T4 D</v>
          </cell>
          <cell r="D21" t="str">
            <v>d</v>
          </cell>
          <cell r="E21">
            <v>100000.00017660699</v>
          </cell>
          <cell r="F21">
            <v>80.830121508797376</v>
          </cell>
          <cell r="G21">
            <v>100000.00017660699</v>
          </cell>
          <cell r="H21">
            <v>63.466737567580758</v>
          </cell>
          <cell r="I21">
            <v>80.830121508797376</v>
          </cell>
          <cell r="J21">
            <v>99422.136554038923</v>
          </cell>
          <cell r="K21">
            <v>97181.107194609998</v>
          </cell>
          <cell r="L21">
            <v>84</v>
          </cell>
          <cell r="N21" t="str">
            <v/>
          </cell>
          <cell r="O21">
            <v>63.836861125875345</v>
          </cell>
          <cell r="P21">
            <v>91</v>
          </cell>
        </row>
      </sheetData>
      <sheetData sheetId="9" refreshError="1">
        <row r="3">
          <cell r="A3" t="str">
            <v>369711B</v>
          </cell>
          <cell r="B3">
            <v>36971</v>
          </cell>
          <cell r="C3" t="str">
            <v>1B</v>
          </cell>
          <cell r="D3" t="str">
            <v>i</v>
          </cell>
          <cell r="E3">
            <v>93359</v>
          </cell>
          <cell r="F3">
            <v>144.92626788358334</v>
          </cell>
        </row>
        <row r="4">
          <cell r="A4" t="str">
            <v>3697124T4</v>
          </cell>
          <cell r="B4">
            <v>36971</v>
          </cell>
          <cell r="C4" t="str">
            <v>24T4</v>
          </cell>
          <cell r="D4" t="str">
            <v>s</v>
          </cell>
          <cell r="E4">
            <v>113889.73764797411</v>
          </cell>
          <cell r="F4">
            <v>29.92461699860544</v>
          </cell>
        </row>
        <row r="5">
          <cell r="A5" t="str">
            <v>370063B</v>
          </cell>
          <cell r="B5">
            <v>37006</v>
          </cell>
          <cell r="C5" t="str">
            <v>3B</v>
          </cell>
          <cell r="D5" t="str">
            <v>i</v>
          </cell>
          <cell r="E5">
            <v>89289</v>
          </cell>
          <cell r="F5">
            <v>92.778875860355086</v>
          </cell>
        </row>
        <row r="6">
          <cell r="A6" t="str">
            <v>370273B</v>
          </cell>
          <cell r="B6">
            <v>37027</v>
          </cell>
          <cell r="C6" t="str">
            <v>3B</v>
          </cell>
          <cell r="D6" t="str">
            <v>i</v>
          </cell>
          <cell r="E6">
            <v>88422.985324734676</v>
          </cell>
          <cell r="F6">
            <v>70.68173313493962</v>
          </cell>
        </row>
        <row r="7">
          <cell r="A7" t="str">
            <v>3703416T</v>
          </cell>
          <cell r="B7">
            <v>37034</v>
          </cell>
          <cell r="C7" t="str">
            <v>16T</v>
          </cell>
          <cell r="D7" t="str">
            <v>i</v>
          </cell>
          <cell r="E7">
            <v>92185.791275662894</v>
          </cell>
          <cell r="F7">
            <v>38.590147388079288</v>
          </cell>
        </row>
        <row r="8">
          <cell r="A8" t="str">
            <v>3706214T</v>
          </cell>
          <cell r="B8">
            <v>37062</v>
          </cell>
          <cell r="C8" t="str">
            <v>14T</v>
          </cell>
          <cell r="D8" t="str">
            <v>i</v>
          </cell>
          <cell r="E8">
            <v>89977.998959970646</v>
          </cell>
          <cell r="F8">
            <v>38.252909655993484</v>
          </cell>
        </row>
        <row r="9">
          <cell r="A9" t="str">
            <v>370836B</v>
          </cell>
          <cell r="B9">
            <v>37083</v>
          </cell>
          <cell r="C9" t="str">
            <v>6B</v>
          </cell>
          <cell r="D9" t="str">
            <v>i</v>
          </cell>
          <cell r="E9">
            <v>82009.828624675152</v>
          </cell>
          <cell r="F9">
            <v>67.711905076896244</v>
          </cell>
        </row>
        <row r="10">
          <cell r="A10" t="str">
            <v>3709012T</v>
          </cell>
          <cell r="B10">
            <v>37090</v>
          </cell>
          <cell r="C10" t="str">
            <v>12T</v>
          </cell>
          <cell r="D10" t="str">
            <v>i</v>
          </cell>
          <cell r="E10">
            <v>87825.036211425628</v>
          </cell>
          <cell r="F10">
            <v>38.036927626561145</v>
          </cell>
        </row>
        <row r="11">
          <cell r="A11" t="str">
            <v>3712516T</v>
          </cell>
          <cell r="B11">
            <v>37125</v>
          </cell>
          <cell r="C11" t="str">
            <v>16T</v>
          </cell>
          <cell r="D11" t="str">
            <v>i</v>
          </cell>
          <cell r="E11">
            <v>85346.918705003452</v>
          </cell>
          <cell r="F11">
            <v>37.404955596533455</v>
          </cell>
        </row>
        <row r="12">
          <cell r="A12" t="str">
            <v>3716724T4</v>
          </cell>
          <cell r="B12">
            <v>37167</v>
          </cell>
          <cell r="C12" t="str">
            <v>24T4</v>
          </cell>
          <cell r="D12" t="str">
            <v>s</v>
          </cell>
          <cell r="E12">
            <v>123307.11069903806</v>
          </cell>
          <cell r="F12">
            <v>33.258194575201017</v>
          </cell>
        </row>
        <row r="13">
          <cell r="A13" t="str">
            <v>3723714T</v>
          </cell>
          <cell r="B13">
            <v>37237</v>
          </cell>
          <cell r="C13" t="str">
            <v>14T</v>
          </cell>
          <cell r="D13" t="str">
            <v>i</v>
          </cell>
          <cell r="E13">
            <v>77120.974331780715</v>
          </cell>
          <cell r="F13">
            <v>38.062250346037921</v>
          </cell>
        </row>
        <row r="14">
          <cell r="A14" t="str">
            <v>372792301 A</v>
          </cell>
          <cell r="B14">
            <v>37279</v>
          </cell>
          <cell r="C14" t="str">
            <v>2301 A</v>
          </cell>
          <cell r="D14" t="str">
            <v>i</v>
          </cell>
          <cell r="E14">
            <v>75513.522565884123</v>
          </cell>
          <cell r="F14">
            <v>35.675958289363493</v>
          </cell>
        </row>
        <row r="15">
          <cell r="A15" t="str">
            <v>3727924T4 D</v>
          </cell>
          <cell r="B15">
            <v>37279</v>
          </cell>
          <cell r="C15" t="str">
            <v>24T4 D</v>
          </cell>
          <cell r="D15" t="str">
            <v>d</v>
          </cell>
          <cell r="E15">
            <v>102030.2367230316</v>
          </cell>
          <cell r="F15">
            <v>68.388892264361374</v>
          </cell>
        </row>
        <row r="16">
          <cell r="A16" t="str">
            <v>3730714T</v>
          </cell>
          <cell r="B16">
            <v>37307</v>
          </cell>
          <cell r="C16" t="str">
            <v>14T</v>
          </cell>
          <cell r="D16" t="str">
            <v>i</v>
          </cell>
          <cell r="E16">
            <v>60608.706106572085</v>
          </cell>
          <cell r="F16">
            <v>65.219924218373905</v>
          </cell>
        </row>
        <row r="17">
          <cell r="A17" t="str">
            <v>3730718T</v>
          </cell>
          <cell r="B17">
            <v>37307</v>
          </cell>
          <cell r="C17" t="str">
            <v>18T</v>
          </cell>
          <cell r="D17" t="str">
            <v>i</v>
          </cell>
          <cell r="E17">
            <v>75154.755456498577</v>
          </cell>
          <cell r="F17">
            <v>33.163227577994903</v>
          </cell>
        </row>
        <row r="18">
          <cell r="A18" t="str">
            <v>373911505 A</v>
          </cell>
          <cell r="B18">
            <v>37391</v>
          </cell>
          <cell r="C18" t="str">
            <v>1505 A</v>
          </cell>
          <cell r="D18" t="str">
            <v>i</v>
          </cell>
          <cell r="E18">
            <v>74262.039348351056</v>
          </cell>
          <cell r="F18">
            <v>27.435487234231882</v>
          </cell>
        </row>
        <row r="19">
          <cell r="A19" t="str">
            <v>3739124T4 D</v>
          </cell>
          <cell r="B19">
            <v>37391</v>
          </cell>
          <cell r="C19" t="str">
            <v>24T4 D</v>
          </cell>
          <cell r="D19" t="str">
            <v>d</v>
          </cell>
          <cell r="E19">
            <v>96205.134771622907</v>
          </cell>
          <cell r="F19">
            <v>86.402301153153218</v>
          </cell>
        </row>
        <row r="20">
          <cell r="A20" t="str">
            <v>3746136T4 D</v>
          </cell>
          <cell r="B20">
            <v>37461</v>
          </cell>
          <cell r="C20" t="str">
            <v>36T4 D</v>
          </cell>
          <cell r="D20" t="str">
            <v>d</v>
          </cell>
          <cell r="E20">
            <v>102317.19950038788</v>
          </cell>
          <cell r="F20">
            <v>68.388892264361374</v>
          </cell>
        </row>
        <row r="21">
          <cell r="A21" t="str">
            <v>3748236T4 D</v>
          </cell>
          <cell r="B21">
            <v>37482</v>
          </cell>
          <cell r="C21" t="str">
            <v>36T4 D</v>
          </cell>
          <cell r="D21" t="str">
            <v>d</v>
          </cell>
          <cell r="E21">
            <v>101122.00790886609</v>
          </cell>
          <cell r="F21">
            <v>78.923685351421454</v>
          </cell>
        </row>
      </sheetData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Erläuterungen_Definitions"/>
      <sheetName val="Deckblatt_Cover Sheet"/>
      <sheetName val="Inhalt_Content"/>
      <sheetName val="Kommentierung_Comments"/>
      <sheetName val=" Eckdaten_Key Figures"/>
      <sheetName val="GUV UKV_Profit&amp;Loss"/>
      <sheetName val="GUV GKV_Profit&amp;Loss"/>
      <sheetName val="Bilanz_Balance Sheet"/>
      <sheetName val="OI_OB"/>
    </sheetNames>
    <sheetDataSet>
      <sheetData sheetId="0">
        <row r="9">
          <cell r="E9">
            <v>41274</v>
          </cell>
        </row>
        <row r="13">
          <cell r="E13" t="str">
            <v>Actual 2011</v>
          </cell>
        </row>
        <row r="14">
          <cell r="E14" t="str">
            <v>Plan 2012</v>
          </cell>
        </row>
        <row r="18">
          <cell r="D18" t="str">
            <v>STR-SMS SIEMAG METALURJI SERVIS SANAYI VE TICARET LTD.STI.</v>
          </cell>
        </row>
        <row r="22">
          <cell r="D22" t="str">
            <v>TL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Router"/>
      <sheetName val="Ni Hardness"/>
      <sheetName val="tc broadface"/>
      <sheetName val="Strip"/>
      <sheetName val="Electrical List"/>
      <sheetName val="Baffle Plate"/>
      <sheetName val="UT Verification"/>
      <sheetName val="Width Avoidance"/>
      <sheetName val="BF Inspt Report"/>
      <sheetName val="Nickel Rounds"/>
      <sheetName val="studweld"/>
      <sheetName val="CONDITION MAP"/>
      <sheetName val="BOM"/>
      <sheetName val="BOM2"/>
      <sheetName val="BOM3"/>
      <sheetName val="Horizontal Edge Inspt"/>
      <sheetName val="Vertical Edge Inspt"/>
      <sheetName val="extra work"/>
    </sheetNames>
    <sheetDataSet>
      <sheetData sheetId="0"/>
      <sheetData sheetId="1"/>
      <sheetData sheetId="2"/>
      <sheetData sheetId="3"/>
      <sheetData sheetId="4"/>
      <sheetData sheetId="5">
        <row r="32">
          <cell r="B32">
            <v>1</v>
          </cell>
          <cell r="C32">
            <v>3</v>
          </cell>
          <cell r="E32">
            <v>5</v>
          </cell>
          <cell r="F32">
            <v>7</v>
          </cell>
          <cell r="H32">
            <v>9</v>
          </cell>
          <cell r="I32">
            <v>11</v>
          </cell>
          <cell r="K32">
            <v>13</v>
          </cell>
          <cell r="L32">
            <v>15</v>
          </cell>
          <cell r="N32">
            <v>17</v>
          </cell>
          <cell r="O32">
            <v>19</v>
          </cell>
          <cell r="Q32">
            <v>21</v>
          </cell>
          <cell r="R32">
            <v>23</v>
          </cell>
          <cell r="T32">
            <v>25</v>
          </cell>
          <cell r="U32">
            <v>27</v>
          </cell>
          <cell r="W32">
            <v>29</v>
          </cell>
          <cell r="X32">
            <v>31</v>
          </cell>
        </row>
        <row r="33">
          <cell r="B33">
            <v>2</v>
          </cell>
          <cell r="C33">
            <v>4</v>
          </cell>
          <cell r="E33">
            <v>6</v>
          </cell>
          <cell r="F33">
            <v>8</v>
          </cell>
          <cell r="H33">
            <v>10</v>
          </cell>
          <cell r="I33">
            <v>12</v>
          </cell>
          <cell r="K33">
            <v>14</v>
          </cell>
          <cell r="L33">
            <v>16</v>
          </cell>
          <cell r="N33">
            <v>18</v>
          </cell>
          <cell r="O33">
            <v>20</v>
          </cell>
          <cell r="Q33">
            <v>22</v>
          </cell>
          <cell r="R33">
            <v>24</v>
          </cell>
          <cell r="T33">
            <v>26</v>
          </cell>
          <cell r="U33">
            <v>28</v>
          </cell>
          <cell r="W33">
            <v>30</v>
          </cell>
          <cell r="X33">
            <v>32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23"/>
      <sheetName val="8011"/>
      <sheetName val="liq"/>
      <sheetName val="cash pledge"/>
      <sheetName val="25% TESTING"/>
      <sheetName val="PL"/>
      <sheetName val="BS"/>
      <sheetName val="INT ON EQUIVALENT"/>
      <sheetName val="FIXED ASSETS"/>
      <sheetName val="8001"/>
      <sheetName val="8025"/>
      <sheetName val="TRANSACTION DETAILS"/>
      <sheetName val="DAILY DOWNLOAD"/>
      <sheetName val="MONTH END ADJUSTMENTS "/>
      <sheetName val="INT GAP"/>
      <sheetName val="fixed costs"/>
      <sheetName val="pl adjustments"/>
      <sheetName val="PL RAW DATA"/>
      <sheetName val="fx rates"/>
      <sheetName val="SWAPS"/>
      <sheetName val="CUSTOMERS"/>
      <sheetName val="COMISSIONS"/>
      <sheetName val="Sheet 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ORS"/>
      <sheetName val="8097"/>
      <sheetName val="8023"/>
      <sheetName val="8011"/>
      <sheetName val="8033"/>
      <sheetName val="8027"/>
      <sheetName val="FIXED ASSETS"/>
      <sheetName val="ACCRUAL"/>
      <sheetName val="liquidity"/>
      <sheetName val="25% TESTING"/>
      <sheetName val="BS"/>
      <sheetName val="PL"/>
      <sheetName val="INT ON EQUIVALENT"/>
      <sheetName val="8001"/>
      <sheetName val="8025"/>
      <sheetName val="TRANSACTION DETAILS"/>
      <sheetName val="DAILY DOWNLOAD"/>
      <sheetName val="MONTH END ADJUSTMENTS "/>
      <sheetName val="INT GAP"/>
      <sheetName val="fixed costs"/>
      <sheetName val="pl adjustments"/>
      <sheetName val="PL RAW DATA"/>
      <sheetName val="fx rates"/>
      <sheetName val="SWAPS"/>
      <sheetName val="CUSTOMERS"/>
      <sheetName val="COMISSIONS"/>
      <sheetName val="Sheet 1"/>
      <sheetName val="cash pledge"/>
      <sheetName val="80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tvel"/>
      <sheetName val="Data"/>
      <sheetName val="Lineer"/>
      <sheetName val="IRRFON"/>
      <sheetName val="IRR"/>
      <sheetName val="MTM"/>
      <sheetName val="MTM.II"/>
      <sheetName val="TAKAZZ"/>
    </sheetNames>
    <sheetDataSet>
      <sheetData sheetId="0"/>
      <sheetData sheetId="1"/>
      <sheetData sheetId="2" refreshError="1">
        <row r="2">
          <cell r="AG2" t="str">
            <v>KEY</v>
          </cell>
          <cell r="AH2" t="str">
            <v>Vade</v>
          </cell>
          <cell r="AI2" t="str">
            <v>Tanım</v>
          </cell>
          <cell r="AJ2" t="str">
            <v>Fiyat</v>
          </cell>
          <cell r="AK2" t="str">
            <v>Bileşik %</v>
          </cell>
          <cell r="AL2" t="str">
            <v>Basit %</v>
          </cell>
          <cell r="AM2" t="str">
            <v>DURATION</v>
          </cell>
          <cell r="AN2" t="str">
            <v>VKG</v>
          </cell>
        </row>
        <row r="3">
          <cell r="AG3" t="str">
            <v>375173B</v>
          </cell>
          <cell r="AH3">
            <v>37517</v>
          </cell>
          <cell r="AI3" t="str">
            <v>3B</v>
          </cell>
          <cell r="AJ3">
            <v>100000</v>
          </cell>
          <cell r="AK3">
            <v>69.886197954192198</v>
          </cell>
          <cell r="AL3">
            <v>56.656369890338112</v>
          </cell>
          <cell r="AM3">
            <v>0</v>
          </cell>
          <cell r="AN3">
            <v>0</v>
          </cell>
        </row>
        <row r="4">
          <cell r="AG4" t="str">
            <v>375523B</v>
          </cell>
          <cell r="AH4">
            <v>37552</v>
          </cell>
          <cell r="AI4" t="str">
            <v>3B</v>
          </cell>
          <cell r="AJ4">
            <v>95583.461538461532</v>
          </cell>
          <cell r="AK4">
            <v>63.108043516506918</v>
          </cell>
          <cell r="AL4">
            <v>52.033153872348642</v>
          </cell>
          <cell r="AM4">
            <v>35</v>
          </cell>
          <cell r="AN4">
            <v>35</v>
          </cell>
        </row>
        <row r="5">
          <cell r="AG5" t="str">
            <v>375527B</v>
          </cell>
          <cell r="AH5">
            <v>37552</v>
          </cell>
          <cell r="AI5" t="str">
            <v>7B</v>
          </cell>
          <cell r="AJ5">
            <v>95719.21875</v>
          </cell>
          <cell r="AK5">
            <v>68.48823007847416</v>
          </cell>
          <cell r="AL5">
            <v>61.488413751104353</v>
          </cell>
          <cell r="AM5">
            <v>35</v>
          </cell>
          <cell r="AN5">
            <v>35</v>
          </cell>
        </row>
        <row r="6">
          <cell r="AG6" t="str">
            <v>375666B</v>
          </cell>
          <cell r="AH6">
            <v>37566</v>
          </cell>
          <cell r="AI6" t="str">
            <v>6B</v>
          </cell>
          <cell r="AJ6">
            <v>94761.016393442624</v>
          </cell>
          <cell r="AK6">
            <v>54.384588045513624</v>
          </cell>
          <cell r="AL6">
            <v>48.518141541155622</v>
          </cell>
          <cell r="AM6">
            <v>49</v>
          </cell>
          <cell r="AN6">
            <v>49</v>
          </cell>
        </row>
        <row r="7">
          <cell r="AG7" t="str">
            <v>375733B</v>
          </cell>
          <cell r="AH7">
            <v>37573</v>
          </cell>
          <cell r="AI7" t="str">
            <v>3B</v>
          </cell>
          <cell r="AJ7">
            <v>93285.538461538468</v>
          </cell>
          <cell r="AK7">
            <v>58.947992504383429</v>
          </cell>
          <cell r="AL7">
            <v>49.123798784250731</v>
          </cell>
          <cell r="AM7">
            <v>56</v>
          </cell>
          <cell r="AN7">
            <v>56</v>
          </cell>
        </row>
        <row r="8">
          <cell r="AG8" t="str">
            <v>375734B</v>
          </cell>
          <cell r="AH8">
            <v>37573</v>
          </cell>
          <cell r="AI8" t="str">
            <v>4B</v>
          </cell>
          <cell r="AJ8">
            <v>93035.199999999997</v>
          </cell>
          <cell r="AK8">
            <v>62.654752942084983</v>
          </cell>
          <cell r="AL8">
            <v>52.214227382444925</v>
          </cell>
          <cell r="AM8">
            <v>56</v>
          </cell>
          <cell r="AN8">
            <v>56</v>
          </cell>
        </row>
        <row r="9">
          <cell r="AG9" t="str">
            <v>376018B</v>
          </cell>
          <cell r="AH9">
            <v>37601</v>
          </cell>
          <cell r="AI9" t="str">
            <v>8B</v>
          </cell>
          <cell r="AJ9">
            <v>91044.823529411762</v>
          </cell>
          <cell r="AK9">
            <v>56.649289298606263</v>
          </cell>
          <cell r="AL9">
            <v>52.142487235959948</v>
          </cell>
          <cell r="AM9">
            <v>84</v>
          </cell>
          <cell r="AN9">
            <v>84</v>
          </cell>
        </row>
        <row r="10">
          <cell r="AG10" t="str">
            <v>376083B</v>
          </cell>
          <cell r="AH10">
            <v>37608</v>
          </cell>
          <cell r="AI10" t="str">
            <v>3B</v>
          </cell>
          <cell r="AJ10">
            <v>89034</v>
          </cell>
          <cell r="AK10">
            <v>59.342193030634775</v>
          </cell>
          <cell r="AL10">
            <v>49.401920046842214</v>
          </cell>
          <cell r="AM10">
            <v>91</v>
          </cell>
          <cell r="AN10">
            <v>91</v>
          </cell>
        </row>
        <row r="11">
          <cell r="AG11" t="str">
            <v>376297B</v>
          </cell>
          <cell r="AH11">
            <v>37629</v>
          </cell>
          <cell r="AI11" t="str">
            <v>7B</v>
          </cell>
          <cell r="AJ11">
            <v>85350.620689655174</v>
          </cell>
          <cell r="AK11">
            <v>74.169444719603206</v>
          </cell>
          <cell r="AL11">
            <v>65.000109993706218</v>
          </cell>
          <cell r="AM11">
            <v>112</v>
          </cell>
          <cell r="AN11">
            <v>112</v>
          </cell>
        </row>
        <row r="12">
          <cell r="AG12" t="str">
            <v>376435B</v>
          </cell>
          <cell r="AH12">
            <v>37643</v>
          </cell>
          <cell r="AI12" t="str">
            <v>5B</v>
          </cell>
          <cell r="AJ12">
            <v>85003.428571428565</v>
          </cell>
          <cell r="AK12">
            <v>61.210006329252977</v>
          </cell>
          <cell r="AL12">
            <v>52.654960946853301</v>
          </cell>
          <cell r="AM12">
            <v>126</v>
          </cell>
          <cell r="AN12">
            <v>126</v>
          </cell>
        </row>
        <row r="13">
          <cell r="AG13" t="str">
            <v>3765712T</v>
          </cell>
          <cell r="AH13">
            <v>37657</v>
          </cell>
          <cell r="AI13" t="str">
            <v>12T</v>
          </cell>
          <cell r="AJ13">
            <v>84223.846153846156</v>
          </cell>
          <cell r="AK13">
            <v>69.78933082652172</v>
          </cell>
          <cell r="AL13">
            <v>69.734303369141131</v>
          </cell>
          <cell r="AM13">
            <v>140</v>
          </cell>
          <cell r="AN13">
            <v>140</v>
          </cell>
        </row>
        <row r="14">
          <cell r="AG14" t="str">
            <v>376859B</v>
          </cell>
          <cell r="AH14">
            <v>37685</v>
          </cell>
          <cell r="AI14" t="str">
            <v>9B</v>
          </cell>
          <cell r="AJ14">
            <v>82174.064056939504</v>
          </cell>
          <cell r="AK14">
            <v>58.389464372090075</v>
          </cell>
          <cell r="AL14">
            <v>55.182047149678333</v>
          </cell>
          <cell r="AM14">
            <v>168</v>
          </cell>
          <cell r="AN14">
            <v>168</v>
          </cell>
        </row>
        <row r="15">
          <cell r="AG15" t="str">
            <v>3772012T</v>
          </cell>
          <cell r="AH15">
            <v>37720</v>
          </cell>
          <cell r="AI15" t="str">
            <v>12T</v>
          </cell>
          <cell r="AJ15">
            <v>79583.76164383562</v>
          </cell>
          <cell r="AK15">
            <v>58.000347600764712</v>
          </cell>
          <cell r="AL15">
            <v>58.000347600764719</v>
          </cell>
          <cell r="AM15">
            <v>203</v>
          </cell>
          <cell r="AN15">
            <v>203</v>
          </cell>
        </row>
        <row r="16">
          <cell r="AG16" t="str">
            <v>377489B</v>
          </cell>
          <cell r="AH16">
            <v>37748</v>
          </cell>
          <cell r="AI16" t="str">
            <v>9B</v>
          </cell>
          <cell r="AJ16">
            <v>72725.923076923078</v>
          </cell>
          <cell r="AK16">
            <v>68.239499317385622</v>
          </cell>
          <cell r="AL16">
            <v>63.593493780753072</v>
          </cell>
          <cell r="AM16">
            <v>231</v>
          </cell>
          <cell r="AN16">
            <v>231</v>
          </cell>
        </row>
        <row r="17">
          <cell r="AG17" t="str">
            <v>3779024T4</v>
          </cell>
          <cell r="AH17">
            <v>37790</v>
          </cell>
          <cell r="AI17" t="str">
            <v>24T4</v>
          </cell>
          <cell r="AJ17">
            <v>98878.082191780821</v>
          </cell>
          <cell r="AK17">
            <v>69.735920969641299</v>
          </cell>
          <cell r="AL17">
            <v>62.368347976264175</v>
          </cell>
          <cell r="AM17">
            <v>91</v>
          </cell>
          <cell r="AN17">
            <v>273</v>
          </cell>
        </row>
        <row r="18">
          <cell r="AG18" t="str">
            <v>3780410B</v>
          </cell>
          <cell r="AH18">
            <v>37804</v>
          </cell>
          <cell r="AI18" t="str">
            <v>10B</v>
          </cell>
          <cell r="AJ18">
            <v>66585.953488372092</v>
          </cell>
          <cell r="AK18">
            <v>68.741721747121716</v>
          </cell>
          <cell r="AL18">
            <v>65.421540653432871</v>
          </cell>
          <cell r="AM18">
            <v>287</v>
          </cell>
          <cell r="AN18">
            <v>287</v>
          </cell>
        </row>
        <row r="19">
          <cell r="AG19" t="str">
            <v>3800724T4 D</v>
          </cell>
          <cell r="AH19">
            <v>38007</v>
          </cell>
          <cell r="AI19" t="str">
            <v>24T4 D</v>
          </cell>
          <cell r="AJ19">
            <v>109213.53852453944</v>
          </cell>
          <cell r="AK19">
            <v>74.998444778166117</v>
          </cell>
          <cell r="AL19">
            <v>60.052526717149803</v>
          </cell>
          <cell r="AM19">
            <v>35</v>
          </cell>
          <cell r="AN19">
            <v>490</v>
          </cell>
        </row>
        <row r="20">
          <cell r="AG20" t="str">
            <v>3806324T4 D</v>
          </cell>
          <cell r="AH20">
            <v>38063</v>
          </cell>
          <cell r="AI20" t="str">
            <v>24T4 D</v>
          </cell>
          <cell r="AJ20">
            <v>100000.00008943636</v>
          </cell>
          <cell r="AK20">
            <v>71.036764771109119</v>
          </cell>
          <cell r="AL20">
            <v>57.427334754745992</v>
          </cell>
          <cell r="AM20">
            <v>91</v>
          </cell>
          <cell r="AN20">
            <v>546</v>
          </cell>
        </row>
      </sheetData>
      <sheetData sheetId="3"/>
      <sheetData sheetId="4" refreshError="1">
        <row r="2">
          <cell r="AD2" t="str">
            <v>KEY</v>
          </cell>
          <cell r="AE2" t="str">
            <v>Vade</v>
          </cell>
          <cell r="AF2" t="str">
            <v>Tanım</v>
          </cell>
          <cell r="AG2" t="str">
            <v>Fiyat</v>
          </cell>
          <cell r="AH2" t="str">
            <v>Bileşik %</v>
          </cell>
          <cell r="AI2" t="str">
            <v>Basit %</v>
          </cell>
          <cell r="AJ2" t="str">
            <v>DURATION</v>
          </cell>
          <cell r="AK2" t="str">
            <v>VKG</v>
          </cell>
        </row>
        <row r="3">
          <cell r="AD3" t="str">
            <v>375173B</v>
          </cell>
          <cell r="AE3">
            <v>37517</v>
          </cell>
          <cell r="AF3" t="str">
            <v>3B</v>
          </cell>
          <cell r="AG3">
            <v>100000</v>
          </cell>
          <cell r="AH3">
            <v>69.886197954192198</v>
          </cell>
          <cell r="AI3">
            <v>56.656369890338112</v>
          </cell>
          <cell r="AJ3">
            <v>0</v>
          </cell>
          <cell r="AK3">
            <v>0</v>
          </cell>
        </row>
        <row r="4">
          <cell r="AD4" t="str">
            <v>375523B</v>
          </cell>
          <cell r="AE4">
            <v>37552</v>
          </cell>
          <cell r="AF4" t="str">
            <v>3B</v>
          </cell>
          <cell r="AG4">
            <v>95416.976016164335</v>
          </cell>
          <cell r="AH4">
            <v>63.108043516506918</v>
          </cell>
          <cell r="AI4">
            <v>52.033153872348642</v>
          </cell>
          <cell r="AJ4">
            <v>35</v>
          </cell>
          <cell r="AK4">
            <v>35</v>
          </cell>
        </row>
        <row r="5">
          <cell r="AD5" t="str">
            <v>375527B</v>
          </cell>
          <cell r="AE5">
            <v>37552</v>
          </cell>
          <cell r="AF5" t="str">
            <v>7B</v>
          </cell>
          <cell r="AG5">
            <v>95141.655905267864</v>
          </cell>
          <cell r="AH5">
            <v>68.09803573501469</v>
          </cell>
          <cell r="AI5">
            <v>61.16929577922884</v>
          </cell>
          <cell r="AJ5">
            <v>35</v>
          </cell>
          <cell r="AK5">
            <v>35</v>
          </cell>
        </row>
        <row r="6">
          <cell r="AD6" t="str">
            <v>375666B</v>
          </cell>
          <cell r="AE6">
            <v>37566</v>
          </cell>
          <cell r="AF6" t="str">
            <v>6B</v>
          </cell>
          <cell r="AG6">
            <v>94336.675331746272</v>
          </cell>
          <cell r="AH6">
            <v>54.384588045513624</v>
          </cell>
          <cell r="AI6">
            <v>48.518141541155622</v>
          </cell>
          <cell r="AJ6">
            <v>49</v>
          </cell>
          <cell r="AK6">
            <v>49</v>
          </cell>
        </row>
        <row r="7">
          <cell r="AD7" t="str">
            <v>375733B</v>
          </cell>
          <cell r="AE7">
            <v>37573</v>
          </cell>
          <cell r="AF7" t="str">
            <v>3B</v>
          </cell>
          <cell r="AG7">
            <v>93137.05755511309</v>
          </cell>
          <cell r="AH7">
            <v>58.947992504383429</v>
          </cell>
          <cell r="AI7">
            <v>49.123798784250731</v>
          </cell>
          <cell r="AJ7">
            <v>56</v>
          </cell>
          <cell r="AK7">
            <v>56</v>
          </cell>
        </row>
        <row r="8">
          <cell r="AD8" t="str">
            <v>375734B</v>
          </cell>
          <cell r="AE8">
            <v>37573</v>
          </cell>
          <cell r="AF8" t="str">
            <v>4B</v>
          </cell>
          <cell r="AG8">
            <v>92808.225701654286</v>
          </cell>
          <cell r="AH8">
            <v>62.654752942084983</v>
          </cell>
          <cell r="AI8">
            <v>52.214227382444925</v>
          </cell>
          <cell r="AJ8">
            <v>56</v>
          </cell>
          <cell r="AK8">
            <v>56</v>
          </cell>
        </row>
        <row r="9">
          <cell r="AD9" t="str">
            <v>376018B</v>
          </cell>
          <cell r="AE9">
            <v>37601</v>
          </cell>
          <cell r="AF9" t="str">
            <v>8B</v>
          </cell>
          <cell r="AG9">
            <v>90186.131584469811</v>
          </cell>
          <cell r="AH9">
            <v>56.649289298606263</v>
          </cell>
          <cell r="AI9">
            <v>52.142487235959948</v>
          </cell>
          <cell r="AJ9">
            <v>84</v>
          </cell>
          <cell r="AK9">
            <v>84</v>
          </cell>
        </row>
        <row r="10">
          <cell r="AD10" t="str">
            <v>376083B</v>
          </cell>
          <cell r="AE10">
            <v>37608</v>
          </cell>
          <cell r="AF10" t="str">
            <v>3B</v>
          </cell>
          <cell r="AG10">
            <v>89034</v>
          </cell>
          <cell r="AH10">
            <v>59.342193030634775</v>
          </cell>
          <cell r="AI10">
            <v>49.401920046842214</v>
          </cell>
          <cell r="AJ10">
            <v>91</v>
          </cell>
          <cell r="AK10">
            <v>91</v>
          </cell>
        </row>
        <row r="11">
          <cell r="AD11" t="str">
            <v>376297B</v>
          </cell>
          <cell r="AE11">
            <v>37629</v>
          </cell>
          <cell r="AF11" t="str">
            <v>7B</v>
          </cell>
          <cell r="AG11">
            <v>84344.723120109658</v>
          </cell>
          <cell r="AH11">
            <v>74.169444719603206</v>
          </cell>
          <cell r="AI11">
            <v>65.000109993706218</v>
          </cell>
          <cell r="AJ11">
            <v>112</v>
          </cell>
          <cell r="AK11">
            <v>112</v>
          </cell>
        </row>
        <row r="12">
          <cell r="AD12" t="str">
            <v>376435B</v>
          </cell>
          <cell r="AE12">
            <v>37643</v>
          </cell>
          <cell r="AF12" t="str">
            <v>5B</v>
          </cell>
          <cell r="AG12">
            <v>84802.205416047495</v>
          </cell>
          <cell r="AH12">
            <v>61.210006329252977</v>
          </cell>
          <cell r="AI12">
            <v>52.654960946853301</v>
          </cell>
          <cell r="AJ12">
            <v>126</v>
          </cell>
          <cell r="AK12">
            <v>126</v>
          </cell>
        </row>
        <row r="13">
          <cell r="AD13" t="str">
            <v>3765712T</v>
          </cell>
          <cell r="AE13">
            <v>37657</v>
          </cell>
          <cell r="AF13" t="str">
            <v>12T</v>
          </cell>
          <cell r="AG13">
            <v>81623.495678986495</v>
          </cell>
          <cell r="AH13">
            <v>69.78933082652172</v>
          </cell>
          <cell r="AI13">
            <v>69.734303369141131</v>
          </cell>
          <cell r="AJ13">
            <v>140</v>
          </cell>
          <cell r="AK13">
            <v>140</v>
          </cell>
        </row>
        <row r="14">
          <cell r="AD14" t="str">
            <v>376859B</v>
          </cell>
          <cell r="AE14">
            <v>37685</v>
          </cell>
          <cell r="AF14" t="str">
            <v>9B</v>
          </cell>
          <cell r="AG14">
            <v>80922.853229391098</v>
          </cell>
          <cell r="AH14">
            <v>58.389464372090075</v>
          </cell>
          <cell r="AI14">
            <v>55.182047149678333</v>
          </cell>
          <cell r="AJ14">
            <v>168</v>
          </cell>
          <cell r="AK14">
            <v>168</v>
          </cell>
        </row>
        <row r="15">
          <cell r="AD15" t="str">
            <v>3772012T</v>
          </cell>
          <cell r="AE15">
            <v>37720</v>
          </cell>
          <cell r="AF15" t="str">
            <v>12T</v>
          </cell>
          <cell r="AG15">
            <v>77537.79960910065</v>
          </cell>
          <cell r="AH15">
            <v>58.000347600764712</v>
          </cell>
          <cell r="AI15">
            <v>58.000347600764719</v>
          </cell>
          <cell r="AJ15">
            <v>203</v>
          </cell>
          <cell r="AK15">
            <v>203</v>
          </cell>
        </row>
        <row r="16">
          <cell r="AD16" t="str">
            <v>377489B</v>
          </cell>
          <cell r="AE16">
            <v>37748</v>
          </cell>
          <cell r="AF16" t="str">
            <v>9B</v>
          </cell>
          <cell r="AG16">
            <v>71947.457428051057</v>
          </cell>
          <cell r="AH16">
            <v>68.239499317385622</v>
          </cell>
          <cell r="AI16">
            <v>63.593493780753072</v>
          </cell>
          <cell r="AJ16">
            <v>231</v>
          </cell>
          <cell r="AK16">
            <v>231</v>
          </cell>
        </row>
        <row r="17">
          <cell r="AD17" t="str">
            <v>3779024T4</v>
          </cell>
          <cell r="AE17">
            <v>37790</v>
          </cell>
          <cell r="AF17" t="str">
            <v>24T4</v>
          </cell>
          <cell r="AG17">
            <v>98878.082191780821</v>
          </cell>
          <cell r="AH17">
            <v>69.735920969641299</v>
          </cell>
          <cell r="AI17">
            <v>62.368347976264175</v>
          </cell>
          <cell r="AJ17">
            <v>91</v>
          </cell>
          <cell r="AK17">
            <v>273</v>
          </cell>
        </row>
        <row r="18">
          <cell r="AD18" t="str">
            <v>3780410B</v>
          </cell>
          <cell r="AE18">
            <v>37804</v>
          </cell>
          <cell r="AF18" t="str">
            <v>10B</v>
          </cell>
          <cell r="AG18">
            <v>66272.698679365727</v>
          </cell>
          <cell r="AH18">
            <v>68.741721747121716</v>
          </cell>
          <cell r="AI18">
            <v>65.421540653432871</v>
          </cell>
          <cell r="AJ18">
            <v>287</v>
          </cell>
          <cell r="AK18">
            <v>287</v>
          </cell>
        </row>
      </sheetData>
      <sheetData sheetId="5" refreshError="1">
        <row r="2">
          <cell r="AC2" t="str">
            <v>KEY</v>
          </cell>
          <cell r="AD2" t="str">
            <v>Vade</v>
          </cell>
          <cell r="AE2" t="str">
            <v>Tanım</v>
          </cell>
          <cell r="AF2" t="str">
            <v>Fiyat</v>
          </cell>
          <cell r="AG2" t="str">
            <v>Bileşik %</v>
          </cell>
          <cell r="AH2" t="str">
            <v>Basit %</v>
          </cell>
          <cell r="AI2" t="str">
            <v>Duration</v>
          </cell>
        </row>
        <row r="3">
          <cell r="AC3" t="str">
            <v>375523B</v>
          </cell>
          <cell r="AD3">
            <v>37552</v>
          </cell>
          <cell r="AE3" t="str">
            <v>3B</v>
          </cell>
          <cell r="AF3">
            <v>96172</v>
          </cell>
          <cell r="AG3">
            <v>50.237513651194597</v>
          </cell>
          <cell r="AH3">
            <v>41.5095572812995</v>
          </cell>
          <cell r="AI3">
            <v>35</v>
          </cell>
        </row>
        <row r="4">
          <cell r="AC4" t="str">
            <v>375527B</v>
          </cell>
          <cell r="AD4">
            <v>37552</v>
          </cell>
          <cell r="AE4" t="str">
            <v>7B</v>
          </cell>
          <cell r="AF4">
            <v>96169</v>
          </cell>
          <cell r="AG4">
            <v>50.286396131244928</v>
          </cell>
          <cell r="AH4">
            <v>41.543384191222948</v>
          </cell>
          <cell r="AI4">
            <v>35</v>
          </cell>
        </row>
        <row r="5">
          <cell r="AC5" t="str">
            <v>375666B</v>
          </cell>
          <cell r="AD5">
            <v>37566</v>
          </cell>
          <cell r="AE5" t="str">
            <v>6B</v>
          </cell>
          <cell r="AF5">
            <v>94537</v>
          </cell>
          <cell r="AG5">
            <v>51.964299089589929</v>
          </cell>
          <cell r="AH5">
            <v>43.045342575080703</v>
          </cell>
          <cell r="AI5">
            <v>49</v>
          </cell>
        </row>
        <row r="6">
          <cell r="AC6" t="str">
            <v>375733B</v>
          </cell>
          <cell r="AD6">
            <v>37573</v>
          </cell>
          <cell r="AE6" t="str">
            <v>3B</v>
          </cell>
          <cell r="AF6">
            <v>93694</v>
          </cell>
          <cell r="AG6">
            <v>52.889821884325627</v>
          </cell>
          <cell r="AH6">
            <v>43.867918055432789</v>
          </cell>
          <cell r="AI6">
            <v>56</v>
          </cell>
        </row>
        <row r="7">
          <cell r="AC7" t="str">
            <v>375734B</v>
          </cell>
          <cell r="AD7">
            <v>37573</v>
          </cell>
          <cell r="AE7" t="str">
            <v>4B</v>
          </cell>
          <cell r="AF7">
            <v>93705</v>
          </cell>
          <cell r="AG7">
            <v>52.772879302036088</v>
          </cell>
          <cell r="AH7">
            <v>43.786255497877143</v>
          </cell>
          <cell r="AI7">
            <v>56</v>
          </cell>
        </row>
        <row r="8">
          <cell r="AC8" t="str">
            <v>376018B</v>
          </cell>
          <cell r="AD8">
            <v>37601</v>
          </cell>
          <cell r="AE8" t="str">
            <v>8B</v>
          </cell>
          <cell r="AF8">
            <v>90037</v>
          </cell>
          <cell r="AG8">
            <v>57.779849498293046</v>
          </cell>
          <cell r="AH8">
            <v>48.082018662169062</v>
          </cell>
          <cell r="AI8">
            <v>84</v>
          </cell>
        </row>
        <row r="9">
          <cell r="AC9" t="str">
            <v>376297B</v>
          </cell>
          <cell r="AD9">
            <v>37629</v>
          </cell>
          <cell r="AE9" t="str">
            <v>7B</v>
          </cell>
          <cell r="AF9">
            <v>86230</v>
          </cell>
          <cell r="AG9">
            <v>62.063317136956606</v>
          </cell>
          <cell r="AH9">
            <v>52.041570716190911</v>
          </cell>
          <cell r="AI9">
            <v>112</v>
          </cell>
        </row>
        <row r="10">
          <cell r="AC10" t="str">
            <v>376435B</v>
          </cell>
          <cell r="AD10">
            <v>37643</v>
          </cell>
          <cell r="AE10" t="str">
            <v>5B</v>
          </cell>
          <cell r="AF10">
            <v>84513</v>
          </cell>
          <cell r="AG10">
            <v>62.813273393687119</v>
          </cell>
          <cell r="AH10">
            <v>53.0843005462295</v>
          </cell>
          <cell r="AI10">
            <v>126</v>
          </cell>
        </row>
        <row r="11">
          <cell r="AC11" t="str">
            <v>3765712T</v>
          </cell>
          <cell r="AD11">
            <v>37657</v>
          </cell>
          <cell r="AE11" t="str">
            <v>12T</v>
          </cell>
          <cell r="AF11">
            <v>82436</v>
          </cell>
          <cell r="AG11">
            <v>65.460829581197004</v>
          </cell>
          <cell r="AH11">
            <v>55.548373456811504</v>
          </cell>
          <cell r="AI11">
            <v>140</v>
          </cell>
        </row>
        <row r="12">
          <cell r="AC12" t="str">
            <v>376859B</v>
          </cell>
          <cell r="AD12">
            <v>37685</v>
          </cell>
          <cell r="AE12" t="str">
            <v>9B</v>
          </cell>
          <cell r="AF12">
            <v>78362</v>
          </cell>
          <cell r="AG12">
            <v>69.85110716904029</v>
          </cell>
          <cell r="AH12">
            <v>59.992255113933986</v>
          </cell>
          <cell r="AI12">
            <v>168</v>
          </cell>
        </row>
        <row r="13">
          <cell r="AC13" t="str">
            <v>3772012T</v>
          </cell>
          <cell r="AD13">
            <v>37720</v>
          </cell>
          <cell r="AE13" t="str">
            <v>12T</v>
          </cell>
          <cell r="AF13">
            <v>74196</v>
          </cell>
          <cell r="AG13">
            <v>71.025041909441029</v>
          </cell>
          <cell r="AH13">
            <v>62.532150897356949</v>
          </cell>
          <cell r="AI13">
            <v>203</v>
          </cell>
        </row>
        <row r="14">
          <cell r="AC14" t="str">
            <v>377489B</v>
          </cell>
          <cell r="AD14">
            <v>37748</v>
          </cell>
          <cell r="AE14" t="str">
            <v>9B</v>
          </cell>
          <cell r="AF14">
            <v>71025</v>
          </cell>
          <cell r="AG14">
            <v>71.705063246028857</v>
          </cell>
          <cell r="AH14">
            <v>64.460413457245565</v>
          </cell>
          <cell r="AI14">
            <v>231</v>
          </cell>
        </row>
        <row r="15">
          <cell r="AC15" t="str">
            <v>3780410B</v>
          </cell>
          <cell r="AD15">
            <v>37804</v>
          </cell>
          <cell r="AE15" t="str">
            <v>10B</v>
          </cell>
          <cell r="AF15">
            <v>65312</v>
          </cell>
          <cell r="AG15">
            <v>71.904667890861873</v>
          </cell>
          <cell r="AH15">
            <v>67.545628210534204</v>
          </cell>
          <cell r="AI15">
            <v>287</v>
          </cell>
        </row>
        <row r="16">
          <cell r="AC16" t="str">
            <v>3800724T4 D</v>
          </cell>
          <cell r="AD16">
            <v>38007</v>
          </cell>
          <cell r="AE16" t="str">
            <v>24T4 D</v>
          </cell>
          <cell r="AF16">
            <v>110601.56775278115</v>
          </cell>
          <cell r="AG16">
            <v>75.547023956924221</v>
          </cell>
          <cell r="AH16">
            <v>57.819651983720703</v>
          </cell>
          <cell r="AI16">
            <v>370.55965651714121</v>
          </cell>
        </row>
        <row r="17">
          <cell r="AC17" t="str">
            <v>3806324T4 D</v>
          </cell>
          <cell r="AD17">
            <v>38063</v>
          </cell>
          <cell r="AE17" t="str">
            <v>24T4 D</v>
          </cell>
          <cell r="AF17">
            <v>97750.000000164655</v>
          </cell>
          <cell r="AG17">
            <v>74.623907170799868</v>
          </cell>
          <cell r="AH17">
            <v>59.806261825430909</v>
          </cell>
          <cell r="AI17">
            <v>399.33189054328022</v>
          </cell>
        </row>
        <row r="18">
          <cell r="AC18" t="str">
            <v>3811924T4 D</v>
          </cell>
          <cell r="AD18">
            <v>38119</v>
          </cell>
          <cell r="AE18" t="str">
            <v>24T4 D</v>
          </cell>
          <cell r="AF18">
            <v>104615.15420658904</v>
          </cell>
          <cell r="AG18">
            <v>72.380604694683839</v>
          </cell>
          <cell r="AH18">
            <v>56.792816002001636</v>
          </cell>
          <cell r="AI18">
            <v>415.87853990021733</v>
          </cell>
        </row>
        <row r="19">
          <cell r="AC19" t="str">
            <v>3821024T4 D</v>
          </cell>
          <cell r="AD19">
            <v>38210</v>
          </cell>
          <cell r="AE19" t="str">
            <v>24T4 D</v>
          </cell>
          <cell r="AF19">
            <v>101989.00000000611</v>
          </cell>
          <cell r="AG19">
            <v>75.144043894919719</v>
          </cell>
          <cell r="AH19">
            <v>58.523893695092035</v>
          </cell>
          <cell r="AI19">
            <v>278.94886755641903</v>
          </cell>
        </row>
        <row r="20">
          <cell r="AC20" t="str">
            <v/>
          </cell>
        </row>
      </sheetData>
      <sheetData sheetId="6"/>
      <sheetData sheetId="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BD"/>
      <sheetName val="SUMMARY"/>
      <sheetName val="FORWARD-CLİENT"/>
      <sheetName val="Forward-related"/>
      <sheetName val="Swap-Client"/>
      <sheetName val="Swap-Frankfurt"/>
      <sheetName val="Asset swap"/>
      <sheetName val="sp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ASM-YEVMIYE"/>
      <sheetName val="STOK"/>
      <sheetName val="ICMAL"/>
      <sheetName val="DETAY"/>
      <sheetName val="S.KIYMET"/>
      <sheetName val="DENEME"/>
      <sheetName val="SERMAYE"/>
      <sheetName val="AMORTISMAN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1">
          <cell r="C1" t="str">
            <v>AYLAR</v>
          </cell>
          <cell r="D1" t="str">
            <v>KATSAYI</v>
          </cell>
        </row>
        <row r="2">
          <cell r="C2">
            <v>37956</v>
          </cell>
          <cell r="D2">
            <v>1.1384000000000001</v>
          </cell>
        </row>
        <row r="3">
          <cell r="C3">
            <v>37987</v>
          </cell>
          <cell r="D3">
            <v>1.1091899999999999</v>
          </cell>
        </row>
        <row r="4">
          <cell r="C4">
            <v>38018</v>
          </cell>
          <cell r="D4">
            <v>1.0913200000000001</v>
          </cell>
        </row>
        <row r="5">
          <cell r="C5">
            <v>38047</v>
          </cell>
          <cell r="D5">
            <v>1.0688900000000001</v>
          </cell>
        </row>
        <row r="6">
          <cell r="C6">
            <v>38078</v>
          </cell>
          <cell r="D6">
            <v>1.0413000000000001</v>
          </cell>
        </row>
        <row r="7">
          <cell r="C7">
            <v>38108</v>
          </cell>
          <cell r="D7">
            <v>1.04165</v>
          </cell>
        </row>
        <row r="8">
          <cell r="C8">
            <v>38139</v>
          </cell>
          <cell r="D8">
            <v>1.0527500000000001</v>
          </cell>
        </row>
        <row r="9">
          <cell r="C9">
            <v>38169</v>
          </cell>
          <cell r="D9">
            <v>1.06897</v>
          </cell>
        </row>
        <row r="10">
          <cell r="C10">
            <v>38200</v>
          </cell>
          <cell r="D10">
            <v>1.0606199999999999</v>
          </cell>
        </row>
        <row r="11">
          <cell r="C11">
            <v>38231</v>
          </cell>
          <cell r="D11">
            <v>1.0414000000000001</v>
          </cell>
        </row>
        <row r="12">
          <cell r="C12">
            <v>38261</v>
          </cell>
          <cell r="D12">
            <v>1.00885</v>
          </cell>
        </row>
        <row r="13">
          <cell r="C13">
            <v>38292</v>
          </cell>
          <cell r="D13">
            <v>1.00132</v>
          </cell>
        </row>
        <row r="14">
          <cell r="C14">
            <v>38322</v>
          </cell>
          <cell r="D1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hanges"/>
      <sheetName val="Warnings"/>
      <sheetName val="Comp."/>
      <sheetName val="Comp.-Database"/>
      <sheetName val="Input1"/>
      <sheetName val="Input2"/>
      <sheetName val="Project"/>
      <sheetName val="Report"/>
      <sheetName val="Pers"/>
      <sheetName val="Worktime"/>
      <sheetName val="Executive Summary"/>
      <sheetName val="Translation"/>
      <sheetName val="P&amp;L"/>
      <sheetName val="P&amp;L II"/>
      <sheetName val="Estimate"/>
      <sheetName val="Logbook"/>
      <sheetName val="calcu. P&amp;L"/>
      <sheetName val="ProdTot"/>
      <sheetName val="AB-Marge"/>
      <sheetName val="Perscost"/>
      <sheetName val="Exp"/>
      <sheetName val="NonOp"/>
      <sheetName val="Ass"/>
      <sheetName val="LiabEq"/>
      <sheetName val="AssAct"/>
      <sheetName val="Accruals"/>
      <sheetName val="Machines &amp; Spares"/>
      <sheetName val="Receivables"/>
      <sheetName val="Risks"/>
      <sheetName val="Standing Limitations"/>
      <sheetName val="Contingent Liabilities"/>
      <sheetName val="FinPlan"/>
      <sheetName val="Invest I"/>
      <sheetName val="Invest II"/>
      <sheetName val="R&amp;D"/>
    </sheetNames>
    <sheetDataSet>
      <sheetData sheetId="0">
        <row r="4">
          <cell r="H4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HTELİF"/>
      <sheetName val="İTHALAT"/>
      <sheetName val="İTHALAT-DETAY"/>
      <sheetName val="ALIŞLAR"/>
      <sheetName val="YURTİÇİ"/>
      <sheetName val="İHRACAT"/>
      <sheetName val="IHR-DETAY"/>
      <sheetName val="H2 2006 FORECAST"/>
      <sheetName val="H106-H206"/>
      <sheetName val="H1 2006"/>
      <sheetName val="Q2 2006"/>
      <sheetName val="Q106-Q206"/>
      <sheetName val="H205- Q1 06"/>
      <sheetName val="Q1 2006"/>
      <sheetName val="ÖZET"/>
      <sheetName val="2006-GENEL"/>
      <sheetName val="01"/>
      <sheetName val="02"/>
      <sheetName val="03"/>
      <sheetName val="04"/>
      <sheetName val="05"/>
      <sheetName val="06"/>
      <sheetName val="07"/>
      <sheetName val="08"/>
      <sheetName val="A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F3" t="str">
            <v>Ürün</v>
          </cell>
          <cell r="G3" t="str">
            <v>Miktar</v>
          </cell>
          <cell r="L3" t="str">
            <v>Tutar (TL)</v>
          </cell>
        </row>
        <row r="4">
          <cell r="F4" t="str">
            <v>Yİ - ÇOLAKOĞLU-FERROCON-11-M5-T-03</v>
          </cell>
          <cell r="G4">
            <v>6</v>
          </cell>
          <cell r="L4">
            <v>4752.96</v>
          </cell>
        </row>
        <row r="5">
          <cell r="F5" t="str">
            <v>Yİ - ÇOLAKOĞLU-FERROGUN SP</v>
          </cell>
          <cell r="G5">
            <v>6.1</v>
          </cell>
          <cell r="L5">
            <v>2382.23</v>
          </cell>
        </row>
        <row r="6">
          <cell r="F6" t="str">
            <v>Yİ - ÇOLAKOĞLU-MONOBLOK YOLLUK</v>
          </cell>
          <cell r="G6">
            <v>0.45</v>
          </cell>
          <cell r="L6">
            <v>1285.8800000000001</v>
          </cell>
        </row>
        <row r="7">
          <cell r="F7" t="str">
            <v>Yİ - İÇDAŞ-İST-GUNNING MIX</v>
          </cell>
          <cell r="G7">
            <v>21</v>
          </cell>
          <cell r="L7">
            <v>8910.9299999999985</v>
          </cell>
        </row>
        <row r="8">
          <cell r="F8" t="str">
            <v>Yİ - KROMAN-FILLMIX T</v>
          </cell>
          <cell r="G8">
            <v>10.5</v>
          </cell>
          <cell r="L8">
            <v>4941.09</v>
          </cell>
        </row>
        <row r="9">
          <cell r="F9" t="str">
            <v>Yİ - KROMAN-GUNNING MIX 91</v>
          </cell>
          <cell r="G9">
            <v>30</v>
          </cell>
          <cell r="L9">
            <v>11341.800000000001</v>
          </cell>
        </row>
        <row r="10">
          <cell r="F10" t="str">
            <v>Yİ - KARDEMİR-FERROCON SGS 85</v>
          </cell>
          <cell r="G10">
            <v>60</v>
          </cell>
          <cell r="L10">
            <v>28234.799999999999</v>
          </cell>
        </row>
        <row r="11">
          <cell r="F11" t="str">
            <v>Yİ - EKİNCİLER-ROBOGUN SILVERMIX</v>
          </cell>
          <cell r="G11">
            <v>24</v>
          </cell>
          <cell r="L11">
            <v>12059.76</v>
          </cell>
        </row>
        <row r="12">
          <cell r="F12" t="str">
            <v>Yİ - NURSAN-GUNNING MIX 85</v>
          </cell>
          <cell r="G12">
            <v>24</v>
          </cell>
          <cell r="L12">
            <v>8116.32</v>
          </cell>
        </row>
        <row r="13">
          <cell r="F13" t="str">
            <v>Yİ - YAZICI DÇ-FERROCON-32-M6-HT-06</v>
          </cell>
          <cell r="G13">
            <v>10</v>
          </cell>
          <cell r="L13">
            <v>11724.7</v>
          </cell>
        </row>
        <row r="14">
          <cell r="F14" t="str">
            <v>Yİ - YAZICI DÇ-FILLMIX</v>
          </cell>
          <cell r="G14">
            <v>9</v>
          </cell>
          <cell r="L14">
            <v>4594.1400000000003</v>
          </cell>
        </row>
        <row r="15">
          <cell r="F15" t="str">
            <v>Yİ - YAZICI DÇ-ROBOGUN SILVERMIX</v>
          </cell>
          <cell r="G15">
            <v>24</v>
          </cell>
          <cell r="L15">
            <v>12251.04</v>
          </cell>
        </row>
        <row r="16">
          <cell r="F16" t="str">
            <v>Yİ - HABAŞ-GUNNING MIX</v>
          </cell>
          <cell r="G16">
            <v>30</v>
          </cell>
          <cell r="L16">
            <v>9525</v>
          </cell>
        </row>
        <row r="17">
          <cell r="F17" t="str">
            <v>Yİ - KARDEMİR-FERRO RUN</v>
          </cell>
          <cell r="G17">
            <v>45</v>
          </cell>
          <cell r="L17">
            <v>37288.800000000003</v>
          </cell>
        </row>
        <row r="18">
          <cell r="F18" t="str">
            <v>YD - SUEZ STEEL-FERROCON SGS 85</v>
          </cell>
          <cell r="G18">
            <v>10</v>
          </cell>
          <cell r="L18">
            <v>4822.24</v>
          </cell>
        </row>
        <row r="19">
          <cell r="F19" t="str">
            <v>YD - SUEZ STEEL-FILLMIX</v>
          </cell>
          <cell r="G19">
            <v>15</v>
          </cell>
          <cell r="L19">
            <v>6814.05</v>
          </cell>
        </row>
        <row r="20">
          <cell r="F20" t="str">
            <v>Yİ - KROMAN-GUNNING MIX 91</v>
          </cell>
          <cell r="G20">
            <v>24</v>
          </cell>
          <cell r="L20">
            <v>9099.1200000000008</v>
          </cell>
        </row>
        <row r="21">
          <cell r="F21" t="str">
            <v>Yİ - KROMAN-FERROCON-10-M6-H-01</v>
          </cell>
          <cell r="G21">
            <v>5</v>
          </cell>
          <cell r="L21">
            <v>7518.6</v>
          </cell>
        </row>
        <row r="22">
          <cell r="F22" t="str">
            <v>Yİ - METALUM TÜP-DEGAZER TABLET</v>
          </cell>
          <cell r="G22">
            <v>0.15</v>
          </cell>
          <cell r="L22">
            <v>707.87</v>
          </cell>
        </row>
        <row r="23">
          <cell r="F23" t="str">
            <v>Yİ - HABAŞ-GUNNING MIX</v>
          </cell>
          <cell r="G23">
            <v>30</v>
          </cell>
          <cell r="L23">
            <v>9552</v>
          </cell>
        </row>
        <row r="24">
          <cell r="F24" t="str">
            <v>Yİ - İSDEMİR-FERROGUN 85 L</v>
          </cell>
          <cell r="G24">
            <v>24.7</v>
          </cell>
          <cell r="L24">
            <v>9496.66</v>
          </cell>
        </row>
        <row r="25">
          <cell r="F25" t="str">
            <v>Yİ - İSDEMİR-FERROGUN 85 L</v>
          </cell>
          <cell r="G25">
            <v>26.4</v>
          </cell>
          <cell r="L25">
            <v>11581.15</v>
          </cell>
        </row>
        <row r="26">
          <cell r="F26" t="str">
            <v>Yİ - YAZICI DÇ-FERRO DC-HR</v>
          </cell>
          <cell r="G26">
            <v>8</v>
          </cell>
          <cell r="L26">
            <v>8702.4</v>
          </cell>
        </row>
        <row r="27">
          <cell r="F27" t="str">
            <v>Yİ - DİLER-FERROCAST 75</v>
          </cell>
          <cell r="G27">
            <v>12</v>
          </cell>
          <cell r="L27">
            <v>8312.0400000000009</v>
          </cell>
        </row>
        <row r="28">
          <cell r="F28" t="str">
            <v>Yİ - EREĞLİ DÇ-FERROCLAY 23</v>
          </cell>
          <cell r="G28">
            <v>101.035</v>
          </cell>
          <cell r="L28">
            <v>90317.21</v>
          </cell>
        </row>
        <row r="29">
          <cell r="F29" t="str">
            <v>Yİ - İSDEMİR-FERROGUN 85 L</v>
          </cell>
          <cell r="G29">
            <v>25.8</v>
          </cell>
          <cell r="L29">
            <v>11457.01</v>
          </cell>
        </row>
        <row r="30">
          <cell r="F30" t="str">
            <v>Yİ - ÇOLAKOĞLU-FERROCON-11-M5-T-03</v>
          </cell>
          <cell r="G30">
            <v>5</v>
          </cell>
          <cell r="L30">
            <v>3977.8</v>
          </cell>
        </row>
        <row r="31">
          <cell r="F31" t="str">
            <v>Yİ - ÇOLAKOĞLU-FERROGUN SP</v>
          </cell>
          <cell r="G31">
            <v>11.15</v>
          </cell>
          <cell r="L31">
            <v>4373.03</v>
          </cell>
        </row>
        <row r="32">
          <cell r="F32" t="str">
            <v>YD - MITTAL STEELL-DAMS CASTER M4</v>
          </cell>
          <cell r="G32">
            <v>120</v>
          </cell>
          <cell r="L32">
            <v>14861.77</v>
          </cell>
        </row>
        <row r="33">
          <cell r="F33" t="str">
            <v>YD - MITTAL STEELL-FERROCLAY 25</v>
          </cell>
          <cell r="G33">
            <v>20</v>
          </cell>
          <cell r="L33">
            <v>19605.400000000001</v>
          </cell>
        </row>
        <row r="34">
          <cell r="F34" t="str">
            <v>YD - MITTAL STEELL-FERRORUN</v>
          </cell>
          <cell r="G34">
            <v>5</v>
          </cell>
        </row>
        <row r="35">
          <cell r="F35" t="str">
            <v>YD - MALAYAWATA-FERROGUN SP</v>
          </cell>
          <cell r="G35">
            <v>42</v>
          </cell>
          <cell r="L35">
            <v>22372.560000000001</v>
          </cell>
        </row>
        <row r="36">
          <cell r="F36" t="str">
            <v>YD - MALAYAWATA-FERRO DC-HR</v>
          </cell>
          <cell r="G36">
            <v>20</v>
          </cell>
          <cell r="L36">
            <v>20537.46</v>
          </cell>
        </row>
        <row r="37">
          <cell r="F37" t="str">
            <v>YD - AGC-INDUSTRIES-FERROGUN 95 C</v>
          </cell>
          <cell r="G37">
            <v>3</v>
          </cell>
        </row>
        <row r="38">
          <cell r="F38" t="str">
            <v>YD - AGC-INDUSTRIES-FERROCON SGS 85</v>
          </cell>
          <cell r="G38">
            <v>5</v>
          </cell>
        </row>
        <row r="39">
          <cell r="F39" t="str">
            <v>YD - AGC-INDUSTRIES-FERROGUN 85 L</v>
          </cell>
          <cell r="G39">
            <v>5</v>
          </cell>
          <cell r="L39">
            <v>2663.4</v>
          </cell>
        </row>
        <row r="40">
          <cell r="F40" t="str">
            <v>YD - AGC-INDUSTRIES-FERROCON SGS 80</v>
          </cell>
          <cell r="G40">
            <v>10</v>
          </cell>
          <cell r="L40">
            <v>4860.71</v>
          </cell>
        </row>
        <row r="41">
          <cell r="F41" t="str">
            <v>Yİ - ASSAN-INSULATION CEMENT</v>
          </cell>
          <cell r="G41">
            <v>0.5</v>
          </cell>
          <cell r="L41">
            <v>1153.44</v>
          </cell>
        </row>
        <row r="42">
          <cell r="F42" t="str">
            <v>Yİ - İÇDAŞ-BİGA-FERROFRIT 75 D</v>
          </cell>
          <cell r="G42">
            <v>21</v>
          </cell>
          <cell r="L42">
            <v>13793.22</v>
          </cell>
        </row>
        <row r="43">
          <cell r="F43" t="str">
            <v>Yİ - EREĞLİ DÇ-TANDİŞ SETİ-DAM-SD34</v>
          </cell>
          <cell r="G43">
            <v>185</v>
          </cell>
          <cell r="L43">
            <v>10156.5</v>
          </cell>
        </row>
        <row r="44">
          <cell r="F44" t="str">
            <v>Yİ - EREĞLİ DÇ-CURUF PERDESİ-SD34</v>
          </cell>
          <cell r="G44">
            <v>96</v>
          </cell>
          <cell r="L44">
            <v>11316.88</v>
          </cell>
        </row>
        <row r="45">
          <cell r="F45" t="str">
            <v>Yİ - İÇDAŞ-BİGA-FERROFRIT 75 D</v>
          </cell>
          <cell r="G45">
            <v>21</v>
          </cell>
          <cell r="L45">
            <v>13903.470000000001</v>
          </cell>
        </row>
        <row r="46">
          <cell r="F46" t="str">
            <v>Yİ - KAPTAN-FERROFRIT 80 HR</v>
          </cell>
          <cell r="G46">
            <v>22.5</v>
          </cell>
          <cell r="L46">
            <v>12898.13</v>
          </cell>
        </row>
        <row r="47">
          <cell r="F47" t="str">
            <v>Yİ - DİLER-FERROCON-12-M6-H-05-T</v>
          </cell>
          <cell r="G47">
            <v>5</v>
          </cell>
          <cell r="L47">
            <v>8356.6</v>
          </cell>
        </row>
        <row r="48">
          <cell r="F48" t="str">
            <v>Yİ - DİLER-FCM 60 MGO YAPIŞTIRMA HARCI</v>
          </cell>
          <cell r="G48">
            <v>1</v>
          </cell>
          <cell r="L48">
            <v>678.22</v>
          </cell>
        </row>
        <row r="49">
          <cell r="F49" t="str">
            <v>Yİ - DİLER-FERROFRIT 75 D</v>
          </cell>
          <cell r="G49">
            <v>15</v>
          </cell>
          <cell r="L49">
            <v>10415.4</v>
          </cell>
        </row>
        <row r="50">
          <cell r="F50" t="str">
            <v>Yİ - DİLER-GUNNING MIX 93</v>
          </cell>
          <cell r="G50">
            <v>9</v>
          </cell>
          <cell r="L50">
            <v>3926.16</v>
          </cell>
        </row>
        <row r="51">
          <cell r="F51" t="str">
            <v>Yİ - DİLER-ROBOGUN SILVERMIX A15</v>
          </cell>
          <cell r="G51">
            <v>6</v>
          </cell>
          <cell r="L51">
            <v>3150.6</v>
          </cell>
        </row>
        <row r="52">
          <cell r="F52" t="str">
            <v>YD - INDUSTEEL-WEIR CAST ON SHAPES-MGO</v>
          </cell>
          <cell r="G52">
            <v>120</v>
          </cell>
          <cell r="L52">
            <v>11186.81</v>
          </cell>
        </row>
        <row r="53">
          <cell r="F53" t="str">
            <v>Yİ - HABAŞ-FERROCON-20-M6-T-01</v>
          </cell>
          <cell r="G53">
            <v>12</v>
          </cell>
          <cell r="L53">
            <v>12927.48</v>
          </cell>
        </row>
        <row r="54">
          <cell r="F54" t="str">
            <v>Yİ - İÇDAŞ-BİGA-FERROCON SGS 85</v>
          </cell>
          <cell r="G54">
            <v>20</v>
          </cell>
          <cell r="L54">
            <v>8240</v>
          </cell>
        </row>
        <row r="55">
          <cell r="F55" t="str">
            <v>Yİ - ÇOLAKOĞLU-FERROCON-11-M5-T-03</v>
          </cell>
          <cell r="G55">
            <v>8</v>
          </cell>
          <cell r="L55">
            <v>6418.72</v>
          </cell>
        </row>
        <row r="56">
          <cell r="F56" t="str">
            <v>Yİ - ÇOLAKOĞLU-MONOBLOK YOLLUK</v>
          </cell>
          <cell r="G56">
            <v>0.4</v>
          </cell>
          <cell r="L56">
            <v>1157.69</v>
          </cell>
        </row>
        <row r="57">
          <cell r="F57" t="str">
            <v>Yİ - ÇOLAKOĞLU-MONOBLOK YOLLUK</v>
          </cell>
          <cell r="G57">
            <v>0.65</v>
          </cell>
          <cell r="L57">
            <v>1881.24</v>
          </cell>
        </row>
        <row r="58">
          <cell r="F58" t="str">
            <v>Yİ - ÇOLAKOĞLU-FCM 20 MGO DÖVME HARCI</v>
          </cell>
          <cell r="G58">
            <v>0.5</v>
          </cell>
          <cell r="L58">
            <v>329.62</v>
          </cell>
        </row>
        <row r="59">
          <cell r="F59" t="str">
            <v>Yİ - İSDEMİR-FERROGUN 85 L</v>
          </cell>
          <cell r="G59">
            <v>26.55</v>
          </cell>
          <cell r="L59">
            <v>11792.18</v>
          </cell>
        </row>
        <row r="60">
          <cell r="F60" t="str">
            <v>Yİ - KROMAN-GUNNING MIX 91</v>
          </cell>
          <cell r="G60">
            <v>24</v>
          </cell>
          <cell r="L60">
            <v>9186.7199999999993</v>
          </cell>
        </row>
        <row r="61">
          <cell r="F61" t="str">
            <v>Yİ - ÇOLAKOĞLU-FERROGUN SP</v>
          </cell>
          <cell r="G61">
            <v>15.85</v>
          </cell>
          <cell r="L61">
            <v>6267.09</v>
          </cell>
        </row>
        <row r="62">
          <cell r="F62" t="str">
            <v>Yİ - DİLER-GUNNING MIX 93</v>
          </cell>
          <cell r="G62">
            <v>3</v>
          </cell>
          <cell r="L62">
            <v>1308.24</v>
          </cell>
        </row>
        <row r="63">
          <cell r="F63" t="str">
            <v>Yİ - DİLER-ROBOGUN SILVERMIX A15</v>
          </cell>
          <cell r="G63">
            <v>12</v>
          </cell>
          <cell r="L63">
            <v>6298.92</v>
          </cell>
        </row>
        <row r="64">
          <cell r="F64" t="str">
            <v>Yİ - ÇOLAKOĞLU-FERROCON-11-M5-T-03</v>
          </cell>
          <cell r="G64">
            <v>9</v>
          </cell>
          <cell r="L64">
            <v>7218.36</v>
          </cell>
        </row>
        <row r="65">
          <cell r="F65" t="str">
            <v>Yİ - ÇOLAKOĞLU-FERROGUN SP</v>
          </cell>
          <cell r="G65">
            <v>9.85</v>
          </cell>
          <cell r="L65">
            <v>3894.69</v>
          </cell>
        </row>
        <row r="66">
          <cell r="F66" t="str">
            <v>Yİ - DİLER-GUNNING MIX 93</v>
          </cell>
          <cell r="G66">
            <v>15</v>
          </cell>
          <cell r="L66">
            <v>6541.2</v>
          </cell>
        </row>
        <row r="67">
          <cell r="F67" t="str">
            <v>Yİ - DİLER-FERROFRIT 75 D</v>
          </cell>
          <cell r="G67">
            <v>15</v>
          </cell>
          <cell r="L67">
            <v>10417.35</v>
          </cell>
        </row>
        <row r="68">
          <cell r="F68" t="str">
            <v>Yİ - DİLER-GUNNING MIX 93</v>
          </cell>
          <cell r="G68">
            <v>12</v>
          </cell>
          <cell r="L68">
            <v>5232.96</v>
          </cell>
        </row>
        <row r="69">
          <cell r="F69" t="str">
            <v>Yİ - DİLER-ROBOGUN SILVERMIX A15</v>
          </cell>
          <cell r="G69">
            <v>6</v>
          </cell>
          <cell r="L69">
            <v>3149.46</v>
          </cell>
        </row>
        <row r="70">
          <cell r="F70" t="str">
            <v>Yİ - DİLER-GUNNING MIX 93</v>
          </cell>
          <cell r="G70">
            <v>15</v>
          </cell>
          <cell r="L70">
            <v>6541.2</v>
          </cell>
        </row>
        <row r="71">
          <cell r="F71" t="str">
            <v>Yİ - DİLER-FERROCON-12-M6-H-05-T</v>
          </cell>
          <cell r="G71">
            <v>5</v>
          </cell>
          <cell r="L71">
            <v>8358.15</v>
          </cell>
        </row>
        <row r="72">
          <cell r="F72" t="str">
            <v>Yİ - ÇOLAKOĞLU-FERROGUN SP</v>
          </cell>
          <cell r="G72">
            <v>16.05</v>
          </cell>
          <cell r="L72">
            <v>6346.17</v>
          </cell>
        </row>
        <row r="73">
          <cell r="F73" t="str">
            <v>Yİ - ÇOLAKOĞLU-FERROCON-11-M5-T-03</v>
          </cell>
          <cell r="G73">
            <v>8</v>
          </cell>
          <cell r="L73">
            <v>6416.32</v>
          </cell>
        </row>
        <row r="74">
          <cell r="F74" t="str">
            <v>Yİ - ÇOLAKOĞLU-MONOBLOK YOLLUK</v>
          </cell>
          <cell r="G74">
            <v>0.6</v>
          </cell>
          <cell r="L74">
            <v>1735.88</v>
          </cell>
        </row>
        <row r="75">
          <cell r="F75" t="str">
            <v>Yİ - ÇOLAKOĞLU-FERROGUN SP</v>
          </cell>
          <cell r="G75">
            <v>16.149999999999999</v>
          </cell>
          <cell r="L75">
            <v>6385.71</v>
          </cell>
        </row>
        <row r="76">
          <cell r="F76" t="str">
            <v>Yİ - DİLER-GUNNING MIX 93</v>
          </cell>
          <cell r="G76">
            <v>15</v>
          </cell>
          <cell r="L76">
            <v>6541.2</v>
          </cell>
        </row>
        <row r="77">
          <cell r="F77" t="str">
            <v>Yİ - İÇDAŞ-İST-FERROCON SGS 85</v>
          </cell>
          <cell r="G77">
            <v>20</v>
          </cell>
          <cell r="L77">
            <v>8237</v>
          </cell>
        </row>
        <row r="78">
          <cell r="F78" t="str">
            <v>Yİ - İÇDAŞ-İST-GUNNING MIX</v>
          </cell>
          <cell r="G78">
            <v>21</v>
          </cell>
          <cell r="L78">
            <v>9022.02</v>
          </cell>
        </row>
        <row r="79">
          <cell r="F79" t="str">
            <v>Yİ - ÇOLAKOĞLU-FERROGUN SP</v>
          </cell>
          <cell r="G79">
            <v>16.2</v>
          </cell>
          <cell r="L79">
            <v>6405.48</v>
          </cell>
        </row>
        <row r="80">
          <cell r="F80" t="str">
            <v>Yİ - ÇOLAKOĞLU-MONOBLOK YOLLUK</v>
          </cell>
          <cell r="G80">
            <v>0.5</v>
          </cell>
          <cell r="L80">
            <v>1446.57</v>
          </cell>
        </row>
        <row r="81">
          <cell r="F81" t="str">
            <v>Yİ - ÇOLAKOĞLU-FERROCON-11-M5-T-03</v>
          </cell>
          <cell r="G81">
            <v>6</v>
          </cell>
          <cell r="L81">
            <v>4812.24</v>
          </cell>
        </row>
        <row r="82">
          <cell r="F82" t="str">
            <v>Yİ - ÇOLAKOĞLU-FCM 20 MGO DÖVME HARCI</v>
          </cell>
          <cell r="G82">
            <v>0.6</v>
          </cell>
          <cell r="L82">
            <v>395.39</v>
          </cell>
        </row>
        <row r="83">
          <cell r="F83" t="str">
            <v>YD - UNITED-FERROCON MODIFIED TUNDISH BOARDS</v>
          </cell>
          <cell r="G83">
            <v>276</v>
          </cell>
          <cell r="L83">
            <v>43950.239999999998</v>
          </cell>
        </row>
        <row r="84">
          <cell r="F84" t="str">
            <v>YD - UNITED-FCM 10 SİLİKA DÖVME HARCI</v>
          </cell>
          <cell r="G84">
            <v>9</v>
          </cell>
          <cell r="L84">
            <v>3523.19</v>
          </cell>
        </row>
        <row r="85">
          <cell r="F85" t="str">
            <v>Yİ - EGE ÇELİK-FCM 20 MGO DÖVME HARCI</v>
          </cell>
          <cell r="G85">
            <v>1</v>
          </cell>
          <cell r="L85">
            <v>495.84</v>
          </cell>
        </row>
        <row r="86">
          <cell r="F86" t="str">
            <v>Yİ - EGE ÇELİK-TANCON-24-M-01</v>
          </cell>
          <cell r="G86">
            <v>170</v>
          </cell>
          <cell r="L86">
            <v>540.6</v>
          </cell>
        </row>
        <row r="87">
          <cell r="F87" t="str">
            <v>Yİ - EGE ÇELİK-FERROCON SGS 80</v>
          </cell>
          <cell r="G87">
            <v>50</v>
          </cell>
          <cell r="L87">
            <v>20592.5</v>
          </cell>
        </row>
        <row r="88">
          <cell r="F88" t="str">
            <v>Yİ - YEŞİLYURT-GUNNING MIX 85</v>
          </cell>
          <cell r="G88">
            <v>25.5</v>
          </cell>
          <cell r="L88">
            <v>10007.99</v>
          </cell>
        </row>
        <row r="89">
          <cell r="F89" t="str">
            <v>Yİ - İSDEMİR-FERRO RUN</v>
          </cell>
          <cell r="G89">
            <v>40</v>
          </cell>
          <cell r="L89">
            <v>31957.200000000001</v>
          </cell>
        </row>
        <row r="90">
          <cell r="F90" t="str">
            <v>Yİ - İSDEMİR-FERRO RUN</v>
          </cell>
          <cell r="G90">
            <v>20</v>
          </cell>
          <cell r="L90">
            <v>16057.8</v>
          </cell>
        </row>
        <row r="91">
          <cell r="F91" t="str">
            <v>Yİ - ASİL ÇELİK-ROBOGUN SILVERMIX</v>
          </cell>
          <cell r="G91">
            <v>25.5</v>
          </cell>
          <cell r="L91">
            <v>10111.52</v>
          </cell>
        </row>
        <row r="92">
          <cell r="F92" t="str">
            <v>YD - EGYPTIAN AMERICAN-WELL BLOCK (AL203 PRECAST)</v>
          </cell>
          <cell r="G92">
            <v>240</v>
          </cell>
          <cell r="L92">
            <v>9637.7999999999993</v>
          </cell>
        </row>
        <row r="93">
          <cell r="F93" t="str">
            <v>YD - EGYPTIAN AMERICAN-DELTABOX</v>
          </cell>
          <cell r="G93">
            <v>6</v>
          </cell>
          <cell r="L93">
            <v>8192.1299999999992</v>
          </cell>
        </row>
        <row r="94">
          <cell r="F94" t="str">
            <v>Yİ - NURSAN-GUNNING MIX 85</v>
          </cell>
          <cell r="G94">
            <v>25.5</v>
          </cell>
          <cell r="L94">
            <v>8749.56</v>
          </cell>
        </row>
        <row r="95">
          <cell r="F95" t="str">
            <v>Yİ - YEŞİLYURT-FERROCON-41-S5-0-05</v>
          </cell>
          <cell r="G95">
            <v>30</v>
          </cell>
          <cell r="L95">
            <v>8497.2000000000007</v>
          </cell>
        </row>
        <row r="96">
          <cell r="F96" t="str">
            <v>Yİ - YEŞİLYURT-FCM 10 SİLİKA DÖVME HARCI</v>
          </cell>
          <cell r="G96">
            <v>1.2</v>
          </cell>
          <cell r="L96">
            <v>621.5</v>
          </cell>
        </row>
        <row r="97">
          <cell r="F97" t="str">
            <v>Yİ - YEŞİLYURT-FCM 50 SİLİKA YAPIŞTIRMA HARCI</v>
          </cell>
          <cell r="G97">
            <v>0.45500000000000002</v>
          </cell>
          <cell r="L97">
            <v>276.16000000000003</v>
          </cell>
        </row>
        <row r="98">
          <cell r="F98" t="str">
            <v>Yİ - İZMİR DÇ-GUNNING MIX 93</v>
          </cell>
          <cell r="G98">
            <v>21</v>
          </cell>
          <cell r="L98">
            <v>7987.35</v>
          </cell>
        </row>
        <row r="99">
          <cell r="F99" t="str">
            <v>Yİ - ÇOLAKOĞLU-FERROGUN SP</v>
          </cell>
          <cell r="G99">
            <v>16.25</v>
          </cell>
          <cell r="L99">
            <v>6438.74</v>
          </cell>
        </row>
        <row r="100">
          <cell r="F100" t="str">
            <v>Yİ - EREĞLİ DÇ-FERRO RUN</v>
          </cell>
          <cell r="G100">
            <v>51.36</v>
          </cell>
          <cell r="L100">
            <v>43373.01</v>
          </cell>
        </row>
        <row r="101">
          <cell r="F101" t="str">
            <v>Yİ - EREĞLİ DÇ-FERROCAST NR</v>
          </cell>
          <cell r="G101">
            <v>32.18</v>
          </cell>
          <cell r="L101">
            <v>20256.02</v>
          </cell>
        </row>
        <row r="102">
          <cell r="F102" t="str">
            <v>Yİ - EREĞLİ DÇ-CURUF KANALI DÖVME HARCI</v>
          </cell>
          <cell r="G102">
            <v>9.1349999999999998</v>
          </cell>
          <cell r="L102">
            <v>5514.25</v>
          </cell>
        </row>
        <row r="103">
          <cell r="F103" t="str">
            <v>YD - AGC-MATOV-FERROCON TUNDISH BOARDS MGO 75</v>
          </cell>
          <cell r="G103">
            <v>26</v>
          </cell>
          <cell r="L103">
            <v>17417.22</v>
          </cell>
        </row>
        <row r="104">
          <cell r="F104" t="str">
            <v>YD - AGC-INDUSTRIES-FERROGUN SP</v>
          </cell>
          <cell r="G104">
            <v>60</v>
          </cell>
          <cell r="L104">
            <v>43134.12</v>
          </cell>
        </row>
        <row r="105">
          <cell r="F105" t="str">
            <v>Yİ - ÇOLAKOĞLU-FERROGUN SP</v>
          </cell>
          <cell r="G105">
            <v>16.100000000000001</v>
          </cell>
          <cell r="L105">
            <v>6361.92</v>
          </cell>
        </row>
        <row r="106">
          <cell r="F106" t="str">
            <v>Yİ - YAZICI DÇ-FERROFRIT 77 D</v>
          </cell>
          <cell r="G106">
            <v>18</v>
          </cell>
          <cell r="L106">
            <v>13073.4</v>
          </cell>
        </row>
        <row r="107">
          <cell r="F107" t="str">
            <v>Yİ - ÇOLAKOĞLU-FERROCON-11-M5-T-03</v>
          </cell>
          <cell r="G107">
            <v>10</v>
          </cell>
          <cell r="L107">
            <v>8054.9</v>
          </cell>
        </row>
        <row r="108">
          <cell r="F108" t="str">
            <v>Yİ - ÇOLAKOĞLU-FERROGUN SP</v>
          </cell>
          <cell r="G108">
            <v>14</v>
          </cell>
          <cell r="L108">
            <v>5559.26</v>
          </cell>
        </row>
        <row r="109">
          <cell r="F109" t="str">
            <v>Yİ - ÇOLAKOĞLU-MONOBLOK YOLLUK</v>
          </cell>
          <cell r="G109">
            <v>0.4</v>
          </cell>
          <cell r="L109">
            <v>1162.22</v>
          </cell>
        </row>
        <row r="110">
          <cell r="F110" t="str">
            <v>YD - AGC-INDUSTRIES-FERROCON SGS 85</v>
          </cell>
          <cell r="G110">
            <v>120</v>
          </cell>
          <cell r="L110">
            <v>70218.720000000001</v>
          </cell>
        </row>
        <row r="111">
          <cell r="F111" t="str">
            <v>YD - ALEXANDRIA-FERROCAST 85 AL</v>
          </cell>
          <cell r="G111">
            <v>10</v>
          </cell>
          <cell r="L111">
            <v>7314.45</v>
          </cell>
        </row>
        <row r="112">
          <cell r="F112" t="str">
            <v>Yİ - DİLER-GUNNING MIX 93</v>
          </cell>
          <cell r="G112">
            <v>15</v>
          </cell>
          <cell r="L112">
            <v>6569.1</v>
          </cell>
        </row>
        <row r="113">
          <cell r="F113" t="str">
            <v>YD - MAGOTTEAUX-KİRA - ALİVA MACHINE AL-246,5</v>
          </cell>
          <cell r="G113">
            <v>1</v>
          </cell>
          <cell r="L113">
            <v>722.97</v>
          </cell>
        </row>
        <row r="114">
          <cell r="F114" t="str">
            <v>Yİ - DİLER-GUNNING MIX 93</v>
          </cell>
          <cell r="G114">
            <v>15</v>
          </cell>
          <cell r="L114">
            <v>6537.9</v>
          </cell>
        </row>
        <row r="115">
          <cell r="F115" t="str">
            <v>Yİ - DİLER-FERROFRIT 75 D</v>
          </cell>
          <cell r="G115">
            <v>15</v>
          </cell>
          <cell r="L115">
            <v>10412.25</v>
          </cell>
        </row>
        <row r="116">
          <cell r="F116" t="str">
            <v>Yİ - EREGE-FERROCON-23-M6-H-02</v>
          </cell>
          <cell r="G116">
            <v>6</v>
          </cell>
          <cell r="L116">
            <v>5133.4799999999996</v>
          </cell>
        </row>
        <row r="117">
          <cell r="F117" t="str">
            <v>Yİ - EREGE-GUNNING MIX 93</v>
          </cell>
          <cell r="G117">
            <v>12</v>
          </cell>
          <cell r="L117">
            <v>4746</v>
          </cell>
        </row>
        <row r="118">
          <cell r="F118" t="str">
            <v>Yİ - NURSAN-FERROCON TANDİŞ PLAKASI T1</v>
          </cell>
          <cell r="G118">
            <v>20</v>
          </cell>
          <cell r="L118">
            <v>17434.400000000001</v>
          </cell>
        </row>
        <row r="119">
          <cell r="F119" t="str">
            <v>Yİ - NURSAN-FILLMIX T 1</v>
          </cell>
          <cell r="G119">
            <v>9</v>
          </cell>
          <cell r="L119">
            <v>3922.74</v>
          </cell>
        </row>
        <row r="120">
          <cell r="F120" t="str">
            <v>Yİ - KROMAN-FERROCON-10-M6-H-01</v>
          </cell>
          <cell r="G120">
            <v>5</v>
          </cell>
          <cell r="L120">
            <v>7587.2</v>
          </cell>
        </row>
        <row r="121">
          <cell r="F121" t="str">
            <v>Yİ - KROMAN-FILLMIX T</v>
          </cell>
          <cell r="G121">
            <v>10.5</v>
          </cell>
          <cell r="L121">
            <v>5000.3100000000004</v>
          </cell>
        </row>
        <row r="122">
          <cell r="F122" t="str">
            <v>Yİ - KROMAN-GUNNING MIX 91</v>
          </cell>
          <cell r="G122">
            <v>24</v>
          </cell>
          <cell r="L122">
            <v>9182.16</v>
          </cell>
        </row>
        <row r="123">
          <cell r="F123" t="str">
            <v>Yİ - İÇDAŞ-BİGA-ROBOGUN SILVERMIX</v>
          </cell>
          <cell r="G123">
            <v>24</v>
          </cell>
          <cell r="L123">
            <v>11041.92</v>
          </cell>
        </row>
        <row r="124">
          <cell r="F124" t="str">
            <v>Yİ - İÇDAŞ-BİGA-FERROFRIT 75 D</v>
          </cell>
          <cell r="G124">
            <v>21</v>
          </cell>
          <cell r="L124">
            <v>13899.269999999999</v>
          </cell>
        </row>
        <row r="125">
          <cell r="F125" t="str">
            <v>Yİ - EREĞLİ DÇ-FERROCON SGS 85</v>
          </cell>
          <cell r="G125">
            <v>151.64500000000001</v>
          </cell>
          <cell r="L125">
            <v>57258.12</v>
          </cell>
        </row>
        <row r="126">
          <cell r="F126" t="str">
            <v>Yİ - ÇOLAKOĞLU-FERROCON-11-M5-T-03</v>
          </cell>
          <cell r="G126">
            <v>6</v>
          </cell>
          <cell r="L126">
            <v>4808.04</v>
          </cell>
        </row>
        <row r="127">
          <cell r="F127" t="str">
            <v>Yİ - ÇOLAKOĞLU-FERROGUN SP</v>
          </cell>
          <cell r="G127">
            <v>3.8</v>
          </cell>
          <cell r="L127">
            <v>1501.19</v>
          </cell>
        </row>
        <row r="128">
          <cell r="F128" t="str">
            <v>Yİ - ÇOLAKOĞLU-MONOBLOK YOLLUK</v>
          </cell>
          <cell r="G128">
            <v>0.5</v>
          </cell>
          <cell r="L128">
            <v>1445.31</v>
          </cell>
        </row>
        <row r="129">
          <cell r="F129" t="str">
            <v>Yİ - ÇOLAKOĞLU-FERROGUN SP</v>
          </cell>
          <cell r="G129">
            <v>15.9</v>
          </cell>
          <cell r="L129">
            <v>6281.3</v>
          </cell>
        </row>
        <row r="130">
          <cell r="F130" t="str">
            <v>Yİ - KROMAN-GUNNING MIX 91</v>
          </cell>
          <cell r="G130">
            <v>16.5</v>
          </cell>
          <cell r="L130">
            <v>6309.93</v>
          </cell>
        </row>
        <row r="131">
          <cell r="F131" t="str">
            <v>Yİ - ASİL ÇELİK-FERROCON SGS 75</v>
          </cell>
          <cell r="G131">
            <v>20</v>
          </cell>
          <cell r="L131">
            <v>7906.6</v>
          </cell>
        </row>
        <row r="132">
          <cell r="F132" t="str">
            <v>Yİ - ASİL ÇELİK-TANDİŞ KANADI</v>
          </cell>
          <cell r="G132">
            <v>100</v>
          </cell>
          <cell r="L132">
            <v>532</v>
          </cell>
        </row>
        <row r="133">
          <cell r="F133" t="str">
            <v>Yİ - İÇDAŞ-İST-GUNNING MIX</v>
          </cell>
          <cell r="G133">
            <v>21</v>
          </cell>
          <cell r="L133">
            <v>9013.41</v>
          </cell>
        </row>
        <row r="134">
          <cell r="F134" t="str">
            <v>Yİ - YAZICI DÇ-ROBOGUN SILVERMIX</v>
          </cell>
          <cell r="G134">
            <v>24</v>
          </cell>
          <cell r="L134">
            <v>12392.4</v>
          </cell>
        </row>
        <row r="135">
          <cell r="F135" t="str">
            <v>Yİ - YAZICI DÇ-FERROFRIT 80 HR</v>
          </cell>
          <cell r="G135">
            <v>12</v>
          </cell>
          <cell r="L135">
            <v>7358.04</v>
          </cell>
        </row>
        <row r="136">
          <cell r="F136" t="str">
            <v>Yİ - YAZICI DÇ-ROBOGUN SILVERMIX</v>
          </cell>
          <cell r="G136">
            <v>12</v>
          </cell>
          <cell r="L136">
            <v>6196.2</v>
          </cell>
        </row>
        <row r="137">
          <cell r="F137" t="str">
            <v>Yİ - İSDEMİR-FERROCLAY 704</v>
          </cell>
          <cell r="G137">
            <v>24</v>
          </cell>
          <cell r="L137">
            <v>19711.650000000001</v>
          </cell>
        </row>
        <row r="138">
          <cell r="F138" t="str">
            <v>Yİ - İÇDAŞ-BİGA-FERROFRIT 75 D</v>
          </cell>
          <cell r="G138">
            <v>21</v>
          </cell>
          <cell r="L138">
            <v>13892.97</v>
          </cell>
        </row>
        <row r="139">
          <cell r="F139" t="str">
            <v>Yİ - ÇOLAKOĞLU-FERROGUN SP</v>
          </cell>
          <cell r="G139">
            <v>16.05</v>
          </cell>
          <cell r="L139">
            <v>6340.55</v>
          </cell>
        </row>
        <row r="140">
          <cell r="F140" t="str">
            <v>Yİ - DİLER-GUNNING MIX 93</v>
          </cell>
          <cell r="G140">
            <v>9</v>
          </cell>
          <cell r="L140">
            <v>3921.03</v>
          </cell>
        </row>
        <row r="141">
          <cell r="F141" t="str">
            <v>Yİ - DİLER-ROBOGUN SILVERMIX A15</v>
          </cell>
          <cell r="G141">
            <v>6</v>
          </cell>
          <cell r="L141">
            <v>3146.52</v>
          </cell>
        </row>
        <row r="142">
          <cell r="F142" t="str">
            <v>Yİ - EGE ÇELİK-FCM 20 MGO DÖVME HARCI</v>
          </cell>
          <cell r="G142">
            <v>4</v>
          </cell>
          <cell r="L142">
            <v>1981.52</v>
          </cell>
        </row>
        <row r="143">
          <cell r="F143" t="str">
            <v>Yİ - EGE ÇELİK-TANCON-24-M-01</v>
          </cell>
          <cell r="G143">
            <v>390</v>
          </cell>
          <cell r="L143">
            <v>1240.2</v>
          </cell>
        </row>
        <row r="144">
          <cell r="F144" t="str">
            <v>Yİ - EGE ÇELİK-FERROCON SGS 80</v>
          </cell>
          <cell r="G144">
            <v>20</v>
          </cell>
          <cell r="L144">
            <v>8229.4</v>
          </cell>
        </row>
        <row r="145">
          <cell r="F145" t="str">
            <v>Yİ - EGE ÇELİK-ROBOGUN SILVERMIX</v>
          </cell>
          <cell r="G145">
            <v>24</v>
          </cell>
          <cell r="L145">
            <v>11617.92</v>
          </cell>
        </row>
        <row r="146">
          <cell r="F146" t="str">
            <v>Yİ - YAZICI DÇ-GUNNING MIX 93</v>
          </cell>
          <cell r="G146">
            <v>24</v>
          </cell>
          <cell r="L146">
            <v>10352.16</v>
          </cell>
        </row>
        <row r="147">
          <cell r="F147" t="str">
            <v>Yİ - İÇDAŞ-İST-GUNNING MIX</v>
          </cell>
          <cell r="G147">
            <v>21</v>
          </cell>
          <cell r="L147">
            <v>9092.3700000000008</v>
          </cell>
        </row>
        <row r="148">
          <cell r="F148" t="str">
            <v>Yİ - İÇDAŞ-BİGA-FERROFRIT 75 D</v>
          </cell>
          <cell r="G148">
            <v>21</v>
          </cell>
          <cell r="L148">
            <v>14014.35</v>
          </cell>
        </row>
        <row r="149">
          <cell r="F149" t="str">
            <v>Yİ - ASİL ÇELİK-ROBOGUN SILVERMIX</v>
          </cell>
          <cell r="G149">
            <v>25.5</v>
          </cell>
          <cell r="L149">
            <v>10169.15</v>
          </cell>
        </row>
        <row r="150">
          <cell r="F150" t="str">
            <v>Yİ - İZMİR DÇ-GUNNING MIX 93</v>
          </cell>
          <cell r="G150">
            <v>21.25</v>
          </cell>
          <cell r="L150">
            <v>8128.34</v>
          </cell>
        </row>
        <row r="151">
          <cell r="F151" t="str">
            <v>Yİ - ÇOLAKOĞLU-FERROCON-11-M5-T-03</v>
          </cell>
          <cell r="G151">
            <v>5</v>
          </cell>
          <cell r="L151">
            <v>4041.65</v>
          </cell>
        </row>
        <row r="152">
          <cell r="F152" t="str">
            <v>Yİ - ÇOLAKOĞLU-FCM 20 MGO DÖVME HARCI</v>
          </cell>
          <cell r="G152">
            <v>0.5</v>
          </cell>
          <cell r="L152">
            <v>332.08</v>
          </cell>
        </row>
        <row r="153">
          <cell r="F153" t="str">
            <v>Yİ - ÇOLAKOĞLU-MONOBLOK YOLLUK</v>
          </cell>
          <cell r="G153">
            <v>0.35</v>
          </cell>
          <cell r="L153">
            <v>1020.54</v>
          </cell>
        </row>
        <row r="154">
          <cell r="F154" t="str">
            <v>Yİ - ÇOLAKOĞLU-FERROGUN SP</v>
          </cell>
          <cell r="G154">
            <v>16.25</v>
          </cell>
          <cell r="L154">
            <v>6475.63</v>
          </cell>
        </row>
        <row r="155">
          <cell r="F155" t="str">
            <v>Yİ - EREĞLİ DÇ-FERROCLAY 23</v>
          </cell>
          <cell r="G155">
            <v>25.684999999999999</v>
          </cell>
          <cell r="L155">
            <v>23289.87</v>
          </cell>
        </row>
        <row r="156">
          <cell r="F156" t="str">
            <v>Yİ - İSDEMİR-FERROGUN 85 L</v>
          </cell>
          <cell r="G156">
            <v>25.65</v>
          </cell>
          <cell r="L156">
            <v>11432.72</v>
          </cell>
        </row>
        <row r="157">
          <cell r="F157" t="str">
            <v>Yİ - DİLER-GUNNING MIX 93</v>
          </cell>
          <cell r="G157">
            <v>15</v>
          </cell>
          <cell r="L157">
            <v>6581.25</v>
          </cell>
        </row>
        <row r="158">
          <cell r="F158" t="str">
            <v>Yİ - NURSAN-FILLMIX 85 L</v>
          </cell>
          <cell r="G158">
            <v>9</v>
          </cell>
          <cell r="L158">
            <v>4080.42</v>
          </cell>
        </row>
        <row r="159">
          <cell r="F159" t="str">
            <v>Yİ - NURSAN-GUNNING MIX 85</v>
          </cell>
          <cell r="G159">
            <v>16.5</v>
          </cell>
          <cell r="L159">
            <v>5684.25</v>
          </cell>
        </row>
        <row r="160">
          <cell r="F160" t="str">
            <v>Yİ - YAZICI DÇ-FERROFRIT 77 D</v>
          </cell>
          <cell r="G160">
            <v>24</v>
          </cell>
          <cell r="L160">
            <v>17550</v>
          </cell>
        </row>
        <row r="161">
          <cell r="F161" t="str">
            <v>Yİ - YAZICI DÇ-FERROCON-32-M6-HT-06</v>
          </cell>
          <cell r="G161">
            <v>10</v>
          </cell>
          <cell r="L161">
            <v>11943.8</v>
          </cell>
        </row>
        <row r="162">
          <cell r="F162" t="str">
            <v>Yİ - YAZICI DÇ-ROBOGUN SILVERMIX</v>
          </cell>
          <cell r="G162">
            <v>9</v>
          </cell>
          <cell r="L162">
            <v>4680</v>
          </cell>
        </row>
        <row r="163">
          <cell r="F163" t="str">
            <v>Yİ - DİLER-GUNNING MIX 93</v>
          </cell>
          <cell r="G163">
            <v>7.5</v>
          </cell>
          <cell r="L163">
            <v>3291.45</v>
          </cell>
        </row>
        <row r="164">
          <cell r="F164" t="str">
            <v>Yİ - DİLER-ROBOGUN SILVERMIX A15</v>
          </cell>
          <cell r="G164">
            <v>7.5</v>
          </cell>
          <cell r="L164">
            <v>3961.95</v>
          </cell>
        </row>
        <row r="165">
          <cell r="F165" t="str">
            <v>Yİ - DİLER-FERROCAST 75</v>
          </cell>
          <cell r="G165">
            <v>3</v>
          </cell>
          <cell r="L165">
            <v>2111.4</v>
          </cell>
        </row>
        <row r="166">
          <cell r="F166" t="str">
            <v>Yİ - İZMİR DÇ-GUNNING MIX 93</v>
          </cell>
          <cell r="G166">
            <v>21.25</v>
          </cell>
          <cell r="L166">
            <v>8116.86</v>
          </cell>
        </row>
        <row r="167">
          <cell r="F167" t="str">
            <v>Yİ - ÇOLAKOĞLU-FERROGUN SP</v>
          </cell>
          <cell r="G167">
            <v>16.149999999999999</v>
          </cell>
          <cell r="L167">
            <v>6426.57</v>
          </cell>
        </row>
        <row r="168">
          <cell r="F168" t="str">
            <v>Yİ - ÇOLAKOĞLU-FERROCON-11-M5-T-03</v>
          </cell>
          <cell r="G168">
            <v>7</v>
          </cell>
          <cell r="L168">
            <v>5650.26</v>
          </cell>
        </row>
        <row r="169">
          <cell r="F169" t="str">
            <v>Yİ - ÇOLAKOĞLU-FERROGUN SP</v>
          </cell>
          <cell r="G169">
            <v>4.2</v>
          </cell>
          <cell r="L169">
            <v>1671.31</v>
          </cell>
        </row>
        <row r="170">
          <cell r="F170" t="str">
            <v>Yİ - ÇOLAKOĞLU-MONOBLOK YOLLUK</v>
          </cell>
          <cell r="G170">
            <v>0.6</v>
          </cell>
          <cell r="L170">
            <v>1747.01</v>
          </cell>
        </row>
        <row r="171">
          <cell r="F171" t="str">
            <v>Yİ - EREĞLİ DÇ-FERROCLAY 23</v>
          </cell>
          <cell r="G171">
            <v>103.485</v>
          </cell>
          <cell r="L171">
            <v>93592.87</v>
          </cell>
        </row>
        <row r="172">
          <cell r="F172" t="str">
            <v>Yİ - EREĞLİ DÇ-FERROCAST NR</v>
          </cell>
          <cell r="G172">
            <v>8.02</v>
          </cell>
          <cell r="L172">
            <v>5049.2299999999996</v>
          </cell>
        </row>
        <row r="173">
          <cell r="F173" t="str">
            <v>Yİ - HABAŞ-FERROCON-20-M6-T-01</v>
          </cell>
          <cell r="G173">
            <v>12</v>
          </cell>
          <cell r="L173">
            <v>12968.52</v>
          </cell>
        </row>
        <row r="174">
          <cell r="F174" t="str">
            <v>YD - CARSID SA-FERROCLAY 58 R</v>
          </cell>
          <cell r="G174">
            <v>7</v>
          </cell>
        </row>
        <row r="175">
          <cell r="F175" t="str">
            <v>Yİ - İZMİR DÇ-FERROCON-21-M7-H-05</v>
          </cell>
          <cell r="G175">
            <v>13</v>
          </cell>
          <cell r="L175">
            <v>20227.61</v>
          </cell>
        </row>
        <row r="176">
          <cell r="F176" t="str">
            <v>Yİ - KROMAN-GUNNING MIX 91</v>
          </cell>
          <cell r="G176">
            <v>24</v>
          </cell>
          <cell r="L176">
            <v>9219.1200000000008</v>
          </cell>
        </row>
        <row r="177">
          <cell r="F177" t="str">
            <v>Yİ - İSDEMİR-FERROGUN 85 L</v>
          </cell>
          <cell r="G177">
            <v>26.05</v>
          </cell>
          <cell r="L177">
            <v>11578.7</v>
          </cell>
        </row>
        <row r="178">
          <cell r="F178" t="str">
            <v>Yİ - ÇOLAKOĞLU-FERROCON-11-M5-T-03</v>
          </cell>
          <cell r="G178">
            <v>6</v>
          </cell>
          <cell r="L178">
            <v>4815.84</v>
          </cell>
        </row>
        <row r="179">
          <cell r="F179" t="str">
            <v>Yİ - ÇOLAKOĞLU-FERROGUN SP</v>
          </cell>
          <cell r="G179">
            <v>6.3</v>
          </cell>
          <cell r="L179">
            <v>2492.85</v>
          </cell>
        </row>
        <row r="180">
          <cell r="F180" t="str">
            <v>Yİ - ÇOLAKOĞLU-MONOBLOK YOLLUK</v>
          </cell>
          <cell r="G180">
            <v>0.45</v>
          </cell>
          <cell r="L180">
            <v>1302.8900000000001</v>
          </cell>
        </row>
        <row r="181">
          <cell r="F181" t="str">
            <v>Yİ - DİLER-FERROCON-12-M6-H-05-T</v>
          </cell>
          <cell r="G181">
            <v>5</v>
          </cell>
          <cell r="L181">
            <v>8364.35</v>
          </cell>
        </row>
        <row r="182">
          <cell r="F182" t="str">
            <v>Yİ - EREĞLİ DÇ-FERROCON SGS 85</v>
          </cell>
          <cell r="G182">
            <v>72.86</v>
          </cell>
          <cell r="L182">
            <v>27556.38</v>
          </cell>
        </row>
        <row r="183">
          <cell r="F183" t="str">
            <v>Yİ - İSDEMİR-FERROGUN 85 L</v>
          </cell>
          <cell r="G183">
            <v>26.55</v>
          </cell>
          <cell r="L183">
            <v>11800.94</v>
          </cell>
        </row>
        <row r="184">
          <cell r="F184" t="str">
            <v>Yİ - ÇOLAKOĞLU-FERROCON-11-M5-T-03</v>
          </cell>
          <cell r="G184">
            <v>6</v>
          </cell>
          <cell r="L184">
            <v>4815.84</v>
          </cell>
        </row>
        <row r="185">
          <cell r="F185" t="str">
            <v>Yİ - ÇOLAKOĞLU-FERROGUN SP</v>
          </cell>
          <cell r="G185">
            <v>6</v>
          </cell>
          <cell r="L185">
            <v>2374.14</v>
          </cell>
        </row>
        <row r="186">
          <cell r="F186" t="str">
            <v>Yİ - ÇOLAKOĞLU-FCM 20 MGO DÖVME HARCI</v>
          </cell>
          <cell r="G186">
            <v>0.6</v>
          </cell>
          <cell r="L186">
            <v>395.69</v>
          </cell>
        </row>
        <row r="187">
          <cell r="F187" t="str">
            <v>Yİ - DİLER-GUNNING MIX 93</v>
          </cell>
          <cell r="G187">
            <v>15</v>
          </cell>
          <cell r="L187">
            <v>6546</v>
          </cell>
        </row>
        <row r="188">
          <cell r="F188" t="str">
            <v>Yİ - EREĞLİ DÇ-FERROCON SGS 85</v>
          </cell>
          <cell r="G188">
            <v>78.430000000000007</v>
          </cell>
          <cell r="L188">
            <v>29454.39</v>
          </cell>
        </row>
        <row r="189">
          <cell r="F189" t="str">
            <v>Yİ - İÇDAŞ-BİGA-ROBOGUN SILVERMIX</v>
          </cell>
          <cell r="G189">
            <v>24</v>
          </cell>
          <cell r="L189">
            <v>11055.6</v>
          </cell>
        </row>
        <row r="190">
          <cell r="F190" t="str">
            <v>Yİ - İÇDAŞ-BİGA-FERROFRIT 75 D</v>
          </cell>
          <cell r="G190">
            <v>21</v>
          </cell>
          <cell r="L190">
            <v>13916.49</v>
          </cell>
        </row>
        <row r="191">
          <cell r="F191" t="str">
            <v>Yİ - İÇDAŞ-BİGA-FCM 60 MGO YAPIŞTIRMA HARCI</v>
          </cell>
          <cell r="G191">
            <v>0.35</v>
          </cell>
        </row>
        <row r="192">
          <cell r="F192" t="str">
            <v>Yİ - AZİM OTOMOTİV-FOSFORAL TABLET</v>
          </cell>
          <cell r="G192">
            <v>0.2</v>
          </cell>
          <cell r="L192">
            <v>738.25</v>
          </cell>
        </row>
        <row r="193">
          <cell r="F193" t="str">
            <v>Yİ - AZİM OTOMOTİV-DEGAZER TABLET</v>
          </cell>
          <cell r="G193">
            <v>0.2</v>
          </cell>
          <cell r="L193">
            <v>985.41</v>
          </cell>
        </row>
        <row r="194">
          <cell r="F194" t="str">
            <v>Yİ - İÇDAŞ-BİGA-ROBOGUN SILVERMIX</v>
          </cell>
          <cell r="G194">
            <v>24</v>
          </cell>
          <cell r="L194">
            <v>10977.599999999999</v>
          </cell>
        </row>
        <row r="195">
          <cell r="F195" t="str">
            <v>Yİ - EREĞLİ DÇ-FERROCON SGS 85</v>
          </cell>
          <cell r="G195">
            <v>51.085000000000001</v>
          </cell>
          <cell r="L195">
            <v>19184.97</v>
          </cell>
        </row>
        <row r="196">
          <cell r="F196" t="str">
            <v>Yİ - ASİL ÇELİK-ROBOGUN SILVERMIX</v>
          </cell>
          <cell r="L196">
            <v>4910.79</v>
          </cell>
        </row>
        <row r="197">
          <cell r="F197" t="str">
            <v>Yİ - EGE ÇELİK-FCM 20 MGO DÖVME HARCI</v>
          </cell>
          <cell r="G197">
            <v>2</v>
          </cell>
          <cell r="L197">
            <v>985.4</v>
          </cell>
        </row>
        <row r="198">
          <cell r="F198" t="str">
            <v>Yİ - EGE ÇELİK-FERROCON SGS 80</v>
          </cell>
          <cell r="G198">
            <v>25</v>
          </cell>
          <cell r="L198">
            <v>10231.25</v>
          </cell>
        </row>
        <row r="199">
          <cell r="F199" t="str">
            <v>Yİ - EGE ÇELİK-ROBOGUN SILVERMIX</v>
          </cell>
          <cell r="G199">
            <v>25.5</v>
          </cell>
          <cell r="L199">
            <v>12277.49</v>
          </cell>
        </row>
        <row r="200">
          <cell r="F200" t="str">
            <v>Yİ - EREĞLİ DÇ-FERROCON SGS 85</v>
          </cell>
          <cell r="G200">
            <v>48.1</v>
          </cell>
          <cell r="L200">
            <v>18054.82</v>
          </cell>
        </row>
        <row r="201">
          <cell r="F201" t="str">
            <v>YD - AL EZZ FLAT-FERROCON SGS 88</v>
          </cell>
          <cell r="G201">
            <v>200</v>
          </cell>
          <cell r="L201">
            <v>91073.1</v>
          </cell>
        </row>
        <row r="202">
          <cell r="F202" t="str">
            <v>YD - ALEXANDRIA-INTERMEDIATE WALL-SMPII</v>
          </cell>
          <cell r="G202">
            <v>80</v>
          </cell>
          <cell r="L202">
            <v>17950.64</v>
          </cell>
        </row>
        <row r="203">
          <cell r="F203" t="str">
            <v>YD - INDUSTEEL-WEIR CAST ON SHAPES-MGO</v>
          </cell>
          <cell r="G203">
            <v>120</v>
          </cell>
          <cell r="L203">
            <v>11110.94</v>
          </cell>
        </row>
        <row r="204">
          <cell r="F204" t="str">
            <v>Yİ - ÇOLAKOĞLU-FERROGUN SP</v>
          </cell>
          <cell r="G204">
            <v>16.05</v>
          </cell>
          <cell r="L204">
            <v>6310.54</v>
          </cell>
        </row>
        <row r="205">
          <cell r="F205" t="str">
            <v>Yİ - DİLER-GUNNING MIX 93</v>
          </cell>
          <cell r="G205">
            <v>10.5</v>
          </cell>
          <cell r="L205">
            <v>4553.01</v>
          </cell>
        </row>
        <row r="206">
          <cell r="F206" t="str">
            <v>Yİ - DİLER-ROBOGUN SILVERMIX</v>
          </cell>
          <cell r="G206">
            <v>4.5</v>
          </cell>
          <cell r="L206">
            <v>2348.7800000000002</v>
          </cell>
        </row>
        <row r="207">
          <cell r="F207" t="str">
            <v>Yİ - EKİNCİLER-FERROCON-30-M6-H-02</v>
          </cell>
          <cell r="G207">
            <v>5</v>
          </cell>
          <cell r="L207">
            <v>6424</v>
          </cell>
        </row>
        <row r="208">
          <cell r="F208" t="str">
            <v>Yİ - YAZICI DÇ-ROBOGUN SILVERMIX</v>
          </cell>
          <cell r="G208">
            <v>18</v>
          </cell>
          <cell r="L208">
            <v>9250.56</v>
          </cell>
        </row>
        <row r="209">
          <cell r="F209" t="str">
            <v>Yİ - İZMİR DÇ-FERROCON-21-M7-H-05</v>
          </cell>
          <cell r="G209">
            <v>2</v>
          </cell>
          <cell r="L209">
            <v>3083.52</v>
          </cell>
        </row>
        <row r="210">
          <cell r="F210" t="str">
            <v>Yİ - İZMİR DÇ-GUNNING MIX 93</v>
          </cell>
          <cell r="G210">
            <v>21</v>
          </cell>
          <cell r="L210">
            <v>7925.61</v>
          </cell>
        </row>
        <row r="211">
          <cell r="F211" t="str">
            <v>Yİ - İZMİR DÇ-FCM 20 MGO DÖVME HARCI</v>
          </cell>
          <cell r="G211">
            <v>1.5</v>
          </cell>
          <cell r="L211">
            <v>1035.8699999999999</v>
          </cell>
        </row>
        <row r="212">
          <cell r="F212" t="str">
            <v>YD - AL EZZ FLAT-INTERMEDIATE WALL (PRECAST) MGO</v>
          </cell>
          <cell r="G212">
            <v>100</v>
          </cell>
          <cell r="L212">
            <v>46245.5</v>
          </cell>
        </row>
        <row r="213">
          <cell r="F213" t="str">
            <v>Yİ - EREGE-FERROCON-23-M6-H-02</v>
          </cell>
          <cell r="G213">
            <v>6</v>
          </cell>
          <cell r="L213">
            <v>5101.0200000000004</v>
          </cell>
        </row>
        <row r="214">
          <cell r="F214" t="str">
            <v>Yİ - EREGE-GUNNING MIX 93</v>
          </cell>
          <cell r="G214">
            <v>12</v>
          </cell>
          <cell r="L214">
            <v>4716</v>
          </cell>
        </row>
        <row r="215">
          <cell r="F215" t="str">
            <v>Yİ - KROMAN-GUNNING MIX 91</v>
          </cell>
          <cell r="G215">
            <v>24</v>
          </cell>
          <cell r="L215">
            <v>9124.08</v>
          </cell>
        </row>
        <row r="216">
          <cell r="F216" t="str">
            <v>Yİ - ÇOLAKOĞLU-FERROCON-11-M5-T-03</v>
          </cell>
          <cell r="G216">
            <v>7</v>
          </cell>
          <cell r="L216">
            <v>5576.2</v>
          </cell>
        </row>
        <row r="217">
          <cell r="F217" t="str">
            <v>Yİ - ÇOLAKOĞLU-MONOBLOK YOLLUK</v>
          </cell>
          <cell r="G217">
            <v>0.55000000000000004</v>
          </cell>
          <cell r="L217">
            <v>1580.44</v>
          </cell>
        </row>
        <row r="218">
          <cell r="F218" t="str">
            <v>Yİ - DİLER-GUNNING MIX 93</v>
          </cell>
          <cell r="G218">
            <v>15</v>
          </cell>
          <cell r="L218">
            <v>6496.65</v>
          </cell>
        </row>
        <row r="219">
          <cell r="F219" t="str">
            <v>Yİ - EREĞLİ DÇ-FERROCLAY 23</v>
          </cell>
          <cell r="G219">
            <v>21.445</v>
          </cell>
          <cell r="L219">
            <v>19166.47</v>
          </cell>
        </row>
        <row r="220">
          <cell r="F220" t="str">
            <v>Yİ - ÇOLAKOĞLU-FERROGUN SP</v>
          </cell>
          <cell r="G220">
            <v>16.2</v>
          </cell>
          <cell r="L220">
            <v>6352.34</v>
          </cell>
        </row>
        <row r="221">
          <cell r="F221" t="str">
            <v>Yİ - AZİM OTOMOTİV-FOSFORAL TABLET</v>
          </cell>
          <cell r="G221">
            <v>0.2</v>
          </cell>
          <cell r="L221">
            <v>736.78</v>
          </cell>
        </row>
        <row r="222">
          <cell r="F222" t="str">
            <v>Yİ - YEŞİLYURT-FERROCON-41-S5-0-05</v>
          </cell>
          <cell r="G222">
            <v>30</v>
          </cell>
          <cell r="L222">
            <v>8409</v>
          </cell>
        </row>
        <row r="223">
          <cell r="F223" t="str">
            <v>Yİ - YEŞİLYURT-FCM 10 SİLİKA DÖVME HARCI</v>
          </cell>
          <cell r="G223">
            <v>1.2</v>
          </cell>
          <cell r="L223">
            <v>615.04999999999995</v>
          </cell>
        </row>
        <row r="224">
          <cell r="F224" t="str">
            <v>Yİ - YEŞİLYURT-FCM 50 SİLİKA YAPIŞTIRMA HARCI</v>
          </cell>
          <cell r="G224">
            <v>0.45500000000000002</v>
          </cell>
          <cell r="L224">
            <v>273.29000000000002</v>
          </cell>
        </row>
        <row r="225">
          <cell r="F225" t="str">
            <v>Yİ - DİLER-FERROCON-12-M6-H-05-T</v>
          </cell>
          <cell r="G225">
            <v>2</v>
          </cell>
          <cell r="L225">
            <v>3312</v>
          </cell>
        </row>
        <row r="226">
          <cell r="F226" t="str">
            <v>Yİ - DİLER-FERROFRIT 75 D</v>
          </cell>
          <cell r="G226">
            <v>12</v>
          </cell>
          <cell r="L226">
            <v>8256</v>
          </cell>
        </row>
        <row r="227">
          <cell r="F227" t="str">
            <v>Yİ - DİLER-FCM 60 MGO YAPIŞTIRMA HARCI</v>
          </cell>
          <cell r="G227">
            <v>1</v>
          </cell>
          <cell r="L227">
            <v>672</v>
          </cell>
        </row>
        <row r="228">
          <cell r="F228" t="str">
            <v>Yİ - ÇOLAKOĞLU-FERROCON-11-M5-T-03</v>
          </cell>
          <cell r="G228">
            <v>4</v>
          </cell>
          <cell r="L228">
            <v>3178.24</v>
          </cell>
        </row>
        <row r="229">
          <cell r="F229" t="str">
            <v>Yİ - ÇOLAKOĞLU-FERROGUN SP</v>
          </cell>
          <cell r="G229">
            <v>8</v>
          </cell>
          <cell r="L229">
            <v>3133.68</v>
          </cell>
        </row>
        <row r="230">
          <cell r="F230" t="str">
            <v>Yİ - ÇOLAKOĞLU-MONOBLOK YOLLUK</v>
          </cell>
          <cell r="G230">
            <v>0.55000000000000004</v>
          </cell>
          <cell r="L230">
            <v>1576.38</v>
          </cell>
        </row>
        <row r="231">
          <cell r="F231" t="str">
            <v>Yİ - YAZICI DÇ-FILLMIX</v>
          </cell>
          <cell r="G231">
            <v>9</v>
          </cell>
          <cell r="L231">
            <v>4608</v>
          </cell>
        </row>
        <row r="232">
          <cell r="F232" t="str">
            <v>Yİ - YAZICI DÇ-ROBOGUN SILVERMIX</v>
          </cell>
          <cell r="G232">
            <v>15</v>
          </cell>
          <cell r="L232">
            <v>7680</v>
          </cell>
        </row>
        <row r="233">
          <cell r="F233" t="str">
            <v>Yİ - YAZICI DÇ-FCM 60 MGO YAPIŞTIRMA HARCI</v>
          </cell>
          <cell r="G233">
            <v>1</v>
          </cell>
          <cell r="L233">
            <v>656</v>
          </cell>
        </row>
        <row r="234">
          <cell r="F234" t="str">
            <v>Yİ - HABAŞ-GUNNING MIX</v>
          </cell>
          <cell r="G234">
            <v>51</v>
          </cell>
          <cell r="L234">
            <v>16241.46</v>
          </cell>
        </row>
        <row r="235">
          <cell r="F235" t="str">
            <v>Yİ - İÇDAŞ-İST-GUNNING MIX</v>
          </cell>
          <cell r="G235">
            <v>21</v>
          </cell>
          <cell r="L235">
            <v>8937.6</v>
          </cell>
        </row>
        <row r="236">
          <cell r="F236" t="str">
            <v>Yİ - ASİL ÇELİK-FERROCON SGS 75</v>
          </cell>
          <cell r="G236">
            <v>20</v>
          </cell>
          <cell r="L236">
            <v>7840</v>
          </cell>
        </row>
        <row r="237">
          <cell r="F237" t="str">
            <v>Yİ - ASİL ÇELİK-ROBOGUN SILVERMIX</v>
          </cell>
          <cell r="G237">
            <v>25.5</v>
          </cell>
          <cell r="L237">
            <v>9996</v>
          </cell>
        </row>
        <row r="238">
          <cell r="F238" t="str">
            <v>Yİ - YEŞİLYURT-GUNNING MIX 85</v>
          </cell>
          <cell r="G238">
            <v>25.5</v>
          </cell>
          <cell r="L238">
            <v>9914.4</v>
          </cell>
        </row>
        <row r="239">
          <cell r="F239" t="str">
            <v>Yİ - KARDEMİR-FERROCON SGS 85</v>
          </cell>
          <cell r="G239">
            <v>50</v>
          </cell>
          <cell r="L239">
            <v>23600</v>
          </cell>
        </row>
        <row r="240">
          <cell r="F240" t="str">
            <v>YD - AGC-MATOV-FERROCON TUNDISH BOARDS MGO 75</v>
          </cell>
          <cell r="G240">
            <v>26</v>
          </cell>
          <cell r="L240">
            <v>17114.02</v>
          </cell>
        </row>
        <row r="241">
          <cell r="F241" t="str">
            <v>Yİ - DİLER-GUNNING MIX 93</v>
          </cell>
          <cell r="G241">
            <v>15</v>
          </cell>
          <cell r="L241">
            <v>6480</v>
          </cell>
        </row>
        <row r="242">
          <cell r="F242" t="str">
            <v>Yİ - KROMAN-FERROFRIT 80 HR</v>
          </cell>
          <cell r="G242">
            <v>15</v>
          </cell>
          <cell r="L242">
            <v>8880</v>
          </cell>
        </row>
        <row r="243">
          <cell r="F243" t="str">
            <v>Yİ - KROMAN-FERROCON-10-M6-H-01</v>
          </cell>
          <cell r="G243">
            <v>5</v>
          </cell>
          <cell r="L243">
            <v>7520</v>
          </cell>
        </row>
        <row r="244">
          <cell r="F244" t="str">
            <v>Yİ - ÇOLAKOĞLU-FERROCON-11-M5-T-03</v>
          </cell>
          <cell r="G244">
            <v>7</v>
          </cell>
          <cell r="L244">
            <v>5561.92</v>
          </cell>
        </row>
        <row r="245">
          <cell r="F245" t="str">
            <v>Yİ - ÇOLAKOĞLU-FERROGUN SP</v>
          </cell>
          <cell r="G245">
            <v>3.95</v>
          </cell>
          <cell r="L245">
            <v>1547.25</v>
          </cell>
        </row>
        <row r="246">
          <cell r="F246" t="str">
            <v>Yİ - ÇOLAKOĞLU-MONOBLOK YOLLUK</v>
          </cell>
          <cell r="G246">
            <v>0.7</v>
          </cell>
          <cell r="L246">
            <v>2006.3</v>
          </cell>
        </row>
        <row r="247">
          <cell r="F247" t="str">
            <v>Yİ - EREĞLİ DÇ-CURUF PERDESİ-SD34</v>
          </cell>
          <cell r="G247">
            <v>235</v>
          </cell>
          <cell r="L247">
            <v>27339.9</v>
          </cell>
        </row>
        <row r="248">
          <cell r="F248" t="str">
            <v>Yİ - EREĞLİ DÇ-TANDİŞ SETİ-DAM-SD34</v>
          </cell>
          <cell r="G248">
            <v>55</v>
          </cell>
          <cell r="L248">
            <v>2980.45</v>
          </cell>
        </row>
        <row r="249">
          <cell r="F249" t="str">
            <v>Yİ - EREĞLİ DÇ-FERROCON SGS 85</v>
          </cell>
          <cell r="G249">
            <v>5.83</v>
          </cell>
          <cell r="L249">
            <v>2174.1799999999998</v>
          </cell>
        </row>
        <row r="250">
          <cell r="F250" t="str">
            <v>Yİ - DİLER-FERROCON-12-M6-H-05-T</v>
          </cell>
          <cell r="G250">
            <v>3</v>
          </cell>
          <cell r="L250">
            <v>4948.4399999999996</v>
          </cell>
        </row>
        <row r="251">
          <cell r="F251" t="str">
            <v>Yİ - DİLER-GUNNING MIX 93</v>
          </cell>
          <cell r="G251">
            <v>6</v>
          </cell>
          <cell r="L251">
            <v>2581.8000000000002</v>
          </cell>
        </row>
        <row r="252">
          <cell r="F252" t="str">
            <v>Yİ - KROMAN-GUNNING MIX 91</v>
          </cell>
          <cell r="G252">
            <v>24</v>
          </cell>
          <cell r="L252">
            <v>9065.0400000000009</v>
          </cell>
        </row>
        <row r="253">
          <cell r="F253" t="str">
            <v>Yİ - İÇDAŞ-BİGA-FERROFRIT 75 D</v>
          </cell>
          <cell r="G253">
            <v>42</v>
          </cell>
          <cell r="L253">
            <v>27443.22</v>
          </cell>
        </row>
        <row r="254">
          <cell r="F254" t="str">
            <v>Yİ - YAZICI DÇ-FERROCAST 75 LC</v>
          </cell>
          <cell r="G254">
            <v>10</v>
          </cell>
          <cell r="L254">
            <v>7968.5</v>
          </cell>
        </row>
        <row r="255">
          <cell r="F255" t="str">
            <v>Yİ - YAZICI DÇ-ROBOGUN SILVERMIX</v>
          </cell>
          <cell r="G255">
            <v>15</v>
          </cell>
          <cell r="L255">
            <v>7649.7</v>
          </cell>
        </row>
        <row r="256">
          <cell r="F256" t="str">
            <v>Yİ - ÇOLAKOĞLU-FERROCON-11-M5-T-03</v>
          </cell>
          <cell r="G256">
            <v>4</v>
          </cell>
          <cell r="L256">
            <v>3165.64</v>
          </cell>
        </row>
        <row r="257">
          <cell r="F257" t="str">
            <v>Yİ - ÇOLAKOĞLU-FERROGUN SP</v>
          </cell>
          <cell r="G257">
            <v>8.1</v>
          </cell>
          <cell r="L257">
            <v>3160.3</v>
          </cell>
        </row>
        <row r="258">
          <cell r="F258" t="str">
            <v>Yİ - ÇOLAKOĞLU-FCM 20 MGO DÖVME HARCI</v>
          </cell>
          <cell r="G258">
            <v>0.55000000000000004</v>
          </cell>
          <cell r="L258">
            <v>357.64</v>
          </cell>
        </row>
        <row r="259">
          <cell r="F259" t="str">
            <v>Yİ - DİLER-GUNNING MIX 93</v>
          </cell>
          <cell r="G259">
            <v>15</v>
          </cell>
          <cell r="L259">
            <v>6454.05</v>
          </cell>
        </row>
        <row r="260">
          <cell r="F260" t="str">
            <v>Yİ - SÖRPA AŞ.-FERROCON TUNDISH BOARDS</v>
          </cell>
          <cell r="G260">
            <v>645</v>
          </cell>
          <cell r="L260">
            <v>48013.8</v>
          </cell>
        </row>
        <row r="261">
          <cell r="F261" t="str">
            <v>Yİ - SÖRPA AŞ.-TANCON S</v>
          </cell>
          <cell r="G261">
            <v>1500</v>
          </cell>
          <cell r="L261">
            <v>4980</v>
          </cell>
        </row>
        <row r="262">
          <cell r="F262" t="str">
            <v>Yİ - SÖRPA AŞ.-IMPACT PLATE</v>
          </cell>
          <cell r="G262">
            <v>450</v>
          </cell>
          <cell r="L262">
            <v>8374.5</v>
          </cell>
        </row>
        <row r="263">
          <cell r="F263" t="str">
            <v>Yİ - EREĞLİ DÇ-FERROCAST NR</v>
          </cell>
          <cell r="G263">
            <v>15.29</v>
          </cell>
          <cell r="L263">
            <v>9502.74</v>
          </cell>
        </row>
        <row r="264">
          <cell r="F264" t="str">
            <v>Yİ - EREĞLİ DÇ-FERRO RUN</v>
          </cell>
          <cell r="G264">
            <v>32.04</v>
          </cell>
          <cell r="L264">
            <v>27065.47</v>
          </cell>
        </row>
        <row r="265">
          <cell r="F265" t="str">
            <v>Yİ - İSDEMİR-FERROCLAY 704</v>
          </cell>
          <cell r="G265">
            <v>28</v>
          </cell>
          <cell r="L265">
            <v>22713.32</v>
          </cell>
        </row>
        <row r="266">
          <cell r="F266" t="str">
            <v>Yİ - ÇOLAKOĞLU-FERROCON-11-M5-T-03</v>
          </cell>
          <cell r="G266">
            <v>6</v>
          </cell>
          <cell r="L266">
            <v>4758.66</v>
          </cell>
        </row>
        <row r="267">
          <cell r="F267" t="str">
            <v>Yİ - İÇDAŞ-İST-GUNNING MIX</v>
          </cell>
          <cell r="G267">
            <v>21</v>
          </cell>
          <cell r="L267">
            <v>8921.4299999999985</v>
          </cell>
        </row>
        <row r="268">
          <cell r="F268" t="str">
            <v>Yİ - ASİL ÇELİK-FERROCON SGS 75</v>
          </cell>
          <cell r="G268">
            <v>11.5</v>
          </cell>
          <cell r="L268">
            <v>4499.84</v>
          </cell>
        </row>
        <row r="269">
          <cell r="F269" t="str">
            <v>Yİ - ASİL ÇELİK-TANDİŞ KANADI</v>
          </cell>
          <cell r="G269">
            <v>100</v>
          </cell>
          <cell r="L269">
            <v>527</v>
          </cell>
        </row>
        <row r="270">
          <cell r="F270" t="str">
            <v>Yİ - KROMAN-FILLMIX T</v>
          </cell>
          <cell r="G270">
            <v>10.5</v>
          </cell>
          <cell r="L270">
            <v>4946.97</v>
          </cell>
        </row>
        <row r="271">
          <cell r="F271" t="str">
            <v>YD - EGYPTIAN AMERICAN-FERROCON SGS 85</v>
          </cell>
          <cell r="G271">
            <v>180</v>
          </cell>
          <cell r="L271">
            <v>84079.16</v>
          </cell>
        </row>
        <row r="272">
          <cell r="F272" t="str">
            <v>YD - EGYPTIAN AMERICAN-FERROCAST 802 AL</v>
          </cell>
          <cell r="G272">
            <v>20</v>
          </cell>
          <cell r="L272">
            <v>13259.8</v>
          </cell>
        </row>
        <row r="273">
          <cell r="F273" t="str">
            <v>YD - EGYPTIAN AMERICAN-FERROCAST 75 AL</v>
          </cell>
          <cell r="G273">
            <v>4</v>
          </cell>
          <cell r="L273">
            <v>2953.32</v>
          </cell>
        </row>
        <row r="274">
          <cell r="F274" t="str">
            <v>YD - EGYPTIAN AMERICAN-FCM 60 SEALING MORTAR</v>
          </cell>
          <cell r="G274">
            <v>4</v>
          </cell>
          <cell r="L274">
            <v>2591.69</v>
          </cell>
        </row>
        <row r="275">
          <cell r="F275" t="str">
            <v>YD - EGYPTIAN AMERICAN-TRUMPET (MGO PRECAST)</v>
          </cell>
          <cell r="G275">
            <v>240</v>
          </cell>
          <cell r="L275">
            <v>1012.57</v>
          </cell>
        </row>
        <row r="276">
          <cell r="F276" t="str">
            <v>YD - INDUSTEEL-WEIR CAST ON SHAPES-MGO</v>
          </cell>
          <cell r="G276">
            <v>45</v>
          </cell>
          <cell r="L276">
            <v>4127.72</v>
          </cell>
        </row>
        <row r="277">
          <cell r="F277" t="str">
            <v>Yİ - ÇOLAKOĞLU-FERROCON-11-M5-T-03</v>
          </cell>
          <cell r="G277">
            <v>4</v>
          </cell>
          <cell r="L277">
            <v>3165.84</v>
          </cell>
        </row>
        <row r="278">
          <cell r="F278" t="str">
            <v>Yİ - ÇOLAKOĞLU-FERROGUN SP</v>
          </cell>
          <cell r="G278">
            <v>8.1</v>
          </cell>
          <cell r="L278">
            <v>3160.46</v>
          </cell>
        </row>
        <row r="279">
          <cell r="F279" t="str">
            <v>Yİ - ÇOLAKOĞLU-MONOBLOK YOLLUK</v>
          </cell>
          <cell r="G279">
            <v>0.65</v>
          </cell>
          <cell r="L279">
            <v>1855.74</v>
          </cell>
        </row>
        <row r="280">
          <cell r="F280" t="str">
            <v>Yİ - İÇDAŞ-BİGA-FERROCON SGS 85</v>
          </cell>
          <cell r="G280">
            <v>20</v>
          </cell>
          <cell r="L280">
            <v>8127.8</v>
          </cell>
        </row>
        <row r="281">
          <cell r="F281" t="str">
            <v>Yİ - DİLER-GUNNING MIX 93</v>
          </cell>
          <cell r="G281">
            <v>16.5</v>
          </cell>
          <cell r="L281">
            <v>7079.49</v>
          </cell>
        </row>
        <row r="282">
          <cell r="F282" t="str">
            <v>Yİ - ÇEBİTAŞ-FILLMIX</v>
          </cell>
          <cell r="G282">
            <v>6</v>
          </cell>
          <cell r="L282">
            <v>3337.14</v>
          </cell>
        </row>
        <row r="283">
          <cell r="F283" t="str">
            <v>Yİ - İÇDAŞ-BİGA-FERROCON SGS 85</v>
          </cell>
          <cell r="G283">
            <v>20</v>
          </cell>
          <cell r="L283">
            <v>8104.4000000000005</v>
          </cell>
        </row>
        <row r="284">
          <cell r="F284" t="str">
            <v>Yİ - ÇOLAKOĞLU-FERROCON-11-M5-T-03</v>
          </cell>
          <cell r="G284">
            <v>8</v>
          </cell>
          <cell r="L284">
            <v>6313.36</v>
          </cell>
        </row>
        <row r="285">
          <cell r="F285" t="str">
            <v>Yİ - ÇOLAKOĞLU-FERROGUN SP</v>
          </cell>
          <cell r="G285">
            <v>4.0999999999999996</v>
          </cell>
          <cell r="L285">
            <v>1595.11</v>
          </cell>
        </row>
        <row r="286">
          <cell r="F286" t="str">
            <v>Yİ - ÇOLAKOĞLU-FERROGUN SP</v>
          </cell>
          <cell r="G286">
            <v>16</v>
          </cell>
          <cell r="L286">
            <v>6224.8</v>
          </cell>
        </row>
        <row r="287">
          <cell r="F287" t="str">
            <v>Yİ - EGE ÇELİK-FCM 20 MGO DÖVME HARCI</v>
          </cell>
          <cell r="G287">
            <v>2</v>
          </cell>
          <cell r="L287">
            <v>975.7</v>
          </cell>
        </row>
        <row r="288">
          <cell r="F288" t="str">
            <v>Yİ - EGE ÇELİK-TANCON-24-M-01</v>
          </cell>
          <cell r="G288">
            <v>120</v>
          </cell>
          <cell r="L288">
            <v>375.6</v>
          </cell>
        </row>
        <row r="289">
          <cell r="F289" t="str">
            <v>Yİ - EGE ÇELİK-FERROCON SGS 80</v>
          </cell>
          <cell r="G289">
            <v>22.5</v>
          </cell>
          <cell r="L289">
            <v>9117.4500000000007</v>
          </cell>
        </row>
        <row r="290">
          <cell r="F290" t="str">
            <v>Yİ - EGE ÇELİK-ROBOGUN SILVERMIX</v>
          </cell>
          <cell r="G290">
            <v>25.5</v>
          </cell>
          <cell r="L290">
            <v>12156.62</v>
          </cell>
        </row>
        <row r="291">
          <cell r="F291" t="str">
            <v>Yİ - KARDEMİR-FERROCON SGS 85</v>
          </cell>
          <cell r="G291">
            <v>25</v>
          </cell>
          <cell r="L291">
            <v>11719.5</v>
          </cell>
        </row>
        <row r="292">
          <cell r="F292" t="str">
            <v>Yİ - YAZICI DÇ-FERROFRIT 77 D</v>
          </cell>
          <cell r="G292">
            <v>12</v>
          </cell>
          <cell r="L292">
            <v>8581.2000000000007</v>
          </cell>
        </row>
        <row r="293">
          <cell r="F293" t="str">
            <v>Yİ - YAZICI DÇ-FERROFRIT 80 HR</v>
          </cell>
          <cell r="G293">
            <v>15</v>
          </cell>
          <cell r="L293">
            <v>9057.9</v>
          </cell>
        </row>
        <row r="294">
          <cell r="F294" t="str">
            <v>Yİ - ÇEBİTAŞ-FERROFRIT 80 HR</v>
          </cell>
          <cell r="G294">
            <v>21</v>
          </cell>
          <cell r="L294">
            <v>13014.75</v>
          </cell>
        </row>
        <row r="295">
          <cell r="F295" t="str">
            <v>Yİ - KROMAN-GUNNING MIX 91</v>
          </cell>
          <cell r="G295">
            <v>24</v>
          </cell>
          <cell r="L295">
            <v>9038.8799999999992</v>
          </cell>
        </row>
        <row r="296">
          <cell r="F296" t="str">
            <v>Yİ - DİLER-FERROFRIT 75 D</v>
          </cell>
          <cell r="G296">
            <v>9</v>
          </cell>
          <cell r="L296">
            <v>6122.7</v>
          </cell>
        </row>
        <row r="297">
          <cell r="F297" t="str">
            <v>Yİ - DİLER-GUNNING MIX 93</v>
          </cell>
          <cell r="G297">
            <v>6</v>
          </cell>
          <cell r="L297">
            <v>2563.02</v>
          </cell>
        </row>
        <row r="298">
          <cell r="F298" t="str">
            <v>YD - SUEZ STEEL-FERROCON SGS 85</v>
          </cell>
          <cell r="G298">
            <v>125</v>
          </cell>
          <cell r="L298">
            <v>59345.48</v>
          </cell>
        </row>
        <row r="299">
          <cell r="F299" t="str">
            <v>YD - SUEZ STEEL-DELTABOX</v>
          </cell>
          <cell r="G299">
            <v>16</v>
          </cell>
          <cell r="L299">
            <v>9357.67</v>
          </cell>
        </row>
        <row r="300">
          <cell r="F300" t="str">
            <v>YD - AGC-MATOV-FERROCON SGS 85</v>
          </cell>
          <cell r="G300">
            <v>20</v>
          </cell>
          <cell r="L300">
            <v>9282.4699999999993</v>
          </cell>
        </row>
        <row r="301">
          <cell r="F301" t="str">
            <v>YD - MEGASTEEL-FERRO DC-HR</v>
          </cell>
          <cell r="G301">
            <v>40</v>
          </cell>
          <cell r="L301">
            <v>41535.120000000003</v>
          </cell>
        </row>
        <row r="302">
          <cell r="F302" t="str">
            <v>Yİ - KROMAN-FERROCON-10-M6-H-01</v>
          </cell>
          <cell r="G302">
            <v>6</v>
          </cell>
          <cell r="L302">
            <v>8923.02</v>
          </cell>
        </row>
        <row r="303">
          <cell r="F303" t="str">
            <v>Yİ - İÇDAŞ-BİGA-ROBOGUN SILVERMIX</v>
          </cell>
          <cell r="G303">
            <v>24</v>
          </cell>
          <cell r="L303">
            <v>10821.6</v>
          </cell>
        </row>
        <row r="304">
          <cell r="F304" t="str">
            <v>Yİ - EREĞLİ DÇ-TANDİŞ SETİ-DAM-SD34</v>
          </cell>
          <cell r="G304">
            <v>33</v>
          </cell>
          <cell r="L304">
            <v>1773.75</v>
          </cell>
        </row>
        <row r="305">
          <cell r="F305" t="str">
            <v>Yİ - EREĞLİ DÇ-FERROCON SGS 85</v>
          </cell>
          <cell r="G305">
            <v>23.96</v>
          </cell>
          <cell r="L305">
            <v>8863.52</v>
          </cell>
        </row>
        <row r="306">
          <cell r="F306" t="str">
            <v>Yİ - ÇOLAKOĞLU-FERROGUN SP</v>
          </cell>
          <cell r="G306">
            <v>20.05</v>
          </cell>
          <cell r="L306">
            <v>7759.9650000000001</v>
          </cell>
        </row>
        <row r="307">
          <cell r="F307" t="str">
            <v>Yİ - ÇOLAKOĞLU-MONOBLOK YOLLUK</v>
          </cell>
          <cell r="G307">
            <v>0.5</v>
          </cell>
          <cell r="L307">
            <v>1415.97</v>
          </cell>
        </row>
        <row r="308">
          <cell r="F308" t="str">
            <v>Yİ - ÇOLAKOĞLU-FCM 20 MGO DÖVME HARCI</v>
          </cell>
          <cell r="G308">
            <v>0.55000000000000004</v>
          </cell>
          <cell r="L308">
            <v>354.78</v>
          </cell>
        </row>
        <row r="309">
          <cell r="F309" t="str">
            <v>YD - AGC-INDUSTRIES-FERROCON SGS 85</v>
          </cell>
          <cell r="G309">
            <v>120</v>
          </cell>
          <cell r="L309">
            <v>70340.160000000003</v>
          </cell>
        </row>
        <row r="310">
          <cell r="F310" t="str">
            <v>Yİ - DİLER-GUNNING MIX 93</v>
          </cell>
          <cell r="G310">
            <v>15</v>
          </cell>
          <cell r="L310">
            <v>6402.6</v>
          </cell>
        </row>
        <row r="311">
          <cell r="F311" t="str">
            <v>Yİ - ÇEBİTAŞ-FERROGUN SP</v>
          </cell>
          <cell r="G311">
            <v>21</v>
          </cell>
          <cell r="L311">
            <v>9129.75</v>
          </cell>
        </row>
        <row r="312">
          <cell r="F312" t="str">
            <v>Yİ - ASİL ÇELİK-FERROCON SGS 75</v>
          </cell>
          <cell r="G312">
            <v>20</v>
          </cell>
          <cell r="L312">
            <v>7746.4</v>
          </cell>
        </row>
        <row r="313">
          <cell r="F313" t="str">
            <v>Yİ - ÇOLAKOĞLU-FERROCON-11-M5-T-03</v>
          </cell>
          <cell r="G313">
            <v>8</v>
          </cell>
          <cell r="L313">
            <v>6334.48</v>
          </cell>
        </row>
        <row r="314">
          <cell r="F314" t="str">
            <v>Yİ - ÇOLAKOĞLU-FERROGUN SP</v>
          </cell>
          <cell r="G314">
            <v>3.8</v>
          </cell>
          <cell r="L314">
            <v>1483.33</v>
          </cell>
        </row>
        <row r="315">
          <cell r="F315" t="str">
            <v>Yİ - YAZICI DÇ-FERROFLOW LS 101</v>
          </cell>
          <cell r="G315">
            <v>5</v>
          </cell>
        </row>
        <row r="316">
          <cell r="F316" t="str">
            <v>YD - MALAYAWATA-FERRO DC-HR</v>
          </cell>
          <cell r="G316">
            <v>20</v>
          </cell>
          <cell r="L316">
            <v>20095.27</v>
          </cell>
        </row>
        <row r="317">
          <cell r="F317" t="str">
            <v>YD - EGYPTIAN AMERICAN-FERROFRIT 75 D</v>
          </cell>
          <cell r="G317">
            <v>51</v>
          </cell>
          <cell r="L317">
            <v>33279.85</v>
          </cell>
        </row>
        <row r="318">
          <cell r="F318" t="str">
            <v>Yİ - HABAŞ-GUNNING MIX</v>
          </cell>
          <cell r="G318">
            <v>25.5</v>
          </cell>
          <cell r="L318">
            <v>8092.68</v>
          </cell>
        </row>
        <row r="319">
          <cell r="F319" t="str">
            <v>Yİ - EREĞLİ DÇ-CURUF KANALI DÖVME HARCI (405 EUR)</v>
          </cell>
          <cell r="G319">
            <v>5.125</v>
          </cell>
          <cell r="L319">
            <v>3279.49</v>
          </cell>
        </row>
        <row r="320">
          <cell r="F320" t="str">
            <v>Yİ - EREĞLİ DÇ-CURUF KANALI DÖVME HARCI</v>
          </cell>
          <cell r="G320">
            <v>8.0500000000000007</v>
          </cell>
          <cell r="L320">
            <v>4756.91</v>
          </cell>
        </row>
        <row r="321">
          <cell r="F321" t="str">
            <v>Yİ - EREĞLİ DÇ-FERRO RUN</v>
          </cell>
          <cell r="G321">
            <v>46.41</v>
          </cell>
          <cell r="L321">
            <v>39101.35</v>
          </cell>
        </row>
        <row r="322">
          <cell r="F322" t="str">
            <v>Yİ - ÇOLAKOĞLU-FERROCON-11-M5-T-03</v>
          </cell>
          <cell r="G322">
            <v>2</v>
          </cell>
          <cell r="L322">
            <v>1569.26</v>
          </cell>
        </row>
        <row r="323">
          <cell r="F323" t="str">
            <v>Yİ - ÇOLAKOĞLU-FERROGUN SP</v>
          </cell>
          <cell r="G323">
            <v>10.5</v>
          </cell>
          <cell r="L323">
            <v>4061.51</v>
          </cell>
        </row>
        <row r="324">
          <cell r="F324" t="str">
            <v>Yİ - ÇOLAKOĞLU-MONOBLOK YOLLUK</v>
          </cell>
          <cell r="G324">
            <v>0.65</v>
          </cell>
          <cell r="L324">
            <v>1839.71</v>
          </cell>
        </row>
        <row r="325">
          <cell r="F325" t="str">
            <v>Yİ - ASSAN-INSULATION CEMENT</v>
          </cell>
          <cell r="G325">
            <v>0.32</v>
          </cell>
          <cell r="L325">
            <v>728.06</v>
          </cell>
        </row>
        <row r="326">
          <cell r="F326" t="str">
            <v>Yİ - DİLER-GUNNING MIX 93</v>
          </cell>
          <cell r="G326">
            <v>15</v>
          </cell>
          <cell r="L326">
            <v>6399</v>
          </cell>
        </row>
        <row r="327">
          <cell r="F327" t="str">
            <v>Yİ - EREGE-FERROCON-23-M6-H-02</v>
          </cell>
          <cell r="G327">
            <v>6</v>
          </cell>
          <cell r="L327">
            <v>5024.3999999999996</v>
          </cell>
        </row>
        <row r="328">
          <cell r="F328" t="str">
            <v>Yİ - EREGE-GUNNING MIX 93</v>
          </cell>
          <cell r="G328">
            <v>12</v>
          </cell>
          <cell r="L328">
            <v>4645.2</v>
          </cell>
        </row>
        <row r="329">
          <cell r="F329" t="str">
            <v>Yİ - KARDEMİR-FERROCON SGS 85</v>
          </cell>
          <cell r="G329">
            <v>25</v>
          </cell>
          <cell r="L329">
            <v>11652.5</v>
          </cell>
        </row>
        <row r="330">
          <cell r="F330" t="str">
            <v>Yİ - İÇDAŞ-BİGA-GUNNING MIX</v>
          </cell>
          <cell r="G330">
            <v>21</v>
          </cell>
          <cell r="L330">
            <v>8825.880000000001</v>
          </cell>
        </row>
        <row r="331">
          <cell r="F331" t="str">
            <v>Yİ - İÇDAŞ-İST-GUNNING MIX</v>
          </cell>
          <cell r="G331">
            <v>21</v>
          </cell>
          <cell r="L331">
            <v>8825.880000000001</v>
          </cell>
        </row>
        <row r="332">
          <cell r="F332" t="str">
            <v>Yİ - EREĞLİ DÇ-FERROGUN-L-90</v>
          </cell>
          <cell r="G332">
            <v>9.7750000000000004</v>
          </cell>
          <cell r="L332">
            <v>4004.62</v>
          </cell>
        </row>
        <row r="333">
          <cell r="F333" t="str">
            <v>Yİ - EREĞLİ DÇ-TANDİŞ SETİ-DAM-SD34</v>
          </cell>
          <cell r="G333">
            <v>154</v>
          </cell>
          <cell r="L333">
            <v>8249.7800000000007</v>
          </cell>
        </row>
        <row r="334">
          <cell r="F334" t="str">
            <v>Yİ - ÇOLAKOĞLU-FERROCON-11-M5-T-03</v>
          </cell>
          <cell r="G334">
            <v>4</v>
          </cell>
          <cell r="L334">
            <v>3129.92</v>
          </cell>
        </row>
        <row r="335">
          <cell r="F335" t="str">
            <v>Yİ - ÇOLAKOĞLU-FERROGUN SP</v>
          </cell>
          <cell r="G335">
            <v>11.3</v>
          </cell>
          <cell r="L335">
            <v>4358.9799999999996</v>
          </cell>
        </row>
        <row r="336">
          <cell r="F336" t="str">
            <v>Yİ - ÇEBİTAŞ-FERROCON-22-M6-H-07</v>
          </cell>
          <cell r="G336">
            <v>20</v>
          </cell>
          <cell r="L336">
            <v>20169</v>
          </cell>
        </row>
        <row r="337">
          <cell r="F337" t="str">
            <v>Yİ - YAZICI DÇ-FERRO DC-HR</v>
          </cell>
          <cell r="G337">
            <v>10</v>
          </cell>
          <cell r="L337">
            <v>10714.8</v>
          </cell>
        </row>
        <row r="338">
          <cell r="F338" t="str">
            <v>Yİ - YAZICI DÇ-ROBOGUN SILVERMIX</v>
          </cell>
          <cell r="G338">
            <v>24</v>
          </cell>
          <cell r="L338">
            <v>12101.28</v>
          </cell>
        </row>
        <row r="339">
          <cell r="F339" t="str">
            <v>Yİ - YAZICI DÇ-GUNNING MIX 93</v>
          </cell>
          <cell r="G339">
            <v>24</v>
          </cell>
          <cell r="L339">
            <v>10021.44</v>
          </cell>
        </row>
        <row r="340">
          <cell r="F340" t="str">
            <v>Yİ - HABAŞ-FERROCON-20-M6-T-01</v>
          </cell>
          <cell r="G340">
            <v>12</v>
          </cell>
          <cell r="L340">
            <v>12607.56</v>
          </cell>
        </row>
        <row r="341">
          <cell r="F341" t="str">
            <v>Yİ - HABAŞ-GUNNING MIX</v>
          </cell>
          <cell r="G341">
            <v>25.5</v>
          </cell>
          <cell r="L341">
            <v>7997.31</v>
          </cell>
        </row>
        <row r="342">
          <cell r="F342" t="str">
            <v>Yİ - ASİL ÇELİK-ROBOGUN SILVERMIX</v>
          </cell>
          <cell r="G342">
            <v>15</v>
          </cell>
          <cell r="L342">
            <v>5790.75</v>
          </cell>
        </row>
        <row r="343">
          <cell r="F343" t="str">
            <v>Yİ - ASİL ÇELİK-FILLMIX T</v>
          </cell>
          <cell r="G343">
            <v>1.5</v>
          </cell>
          <cell r="L343">
            <v>720.89</v>
          </cell>
        </row>
        <row r="344">
          <cell r="F344" t="str">
            <v>Yİ - EREĞLİ DÇ-FERROCON SGS 85</v>
          </cell>
          <cell r="G344">
            <v>102.63</v>
          </cell>
          <cell r="L344">
            <v>37840.71</v>
          </cell>
        </row>
        <row r="345">
          <cell r="F345" t="str">
            <v>Yİ - DİLER-GUNNING MIX 93</v>
          </cell>
          <cell r="G345">
            <v>15</v>
          </cell>
          <cell r="L345">
            <v>6381.6</v>
          </cell>
        </row>
        <row r="346">
          <cell r="F346" t="str">
            <v>YD - MITTAL STEELL-FERROCLAY 55 R</v>
          </cell>
          <cell r="G346">
            <v>48</v>
          </cell>
          <cell r="L346">
            <v>57415.39</v>
          </cell>
        </row>
        <row r="347">
          <cell r="F347" t="str">
            <v>Yİ - ÇOLAKOĞLU-FERROCON-11-M5-T-03</v>
          </cell>
          <cell r="G347">
            <v>3</v>
          </cell>
          <cell r="L347">
            <v>2347.44</v>
          </cell>
        </row>
        <row r="348">
          <cell r="F348" t="str">
            <v>Yİ - ÇOLAKOĞLU-FERROGUN SP</v>
          </cell>
          <cell r="G348">
            <v>14.5</v>
          </cell>
          <cell r="L348">
            <v>5593.38</v>
          </cell>
        </row>
        <row r="349">
          <cell r="F349" t="str">
            <v>Yİ - ÇOLAKOĞLU-FERROGUN SP</v>
          </cell>
          <cell r="G349">
            <v>15.8</v>
          </cell>
          <cell r="L349">
            <v>6094.85</v>
          </cell>
        </row>
        <row r="350">
          <cell r="F350" t="str">
            <v>Yİ - EGE ÇELİK-FCM 20 MGO DÖVME HARCI</v>
          </cell>
          <cell r="G350">
            <v>1</v>
          </cell>
          <cell r="L350">
            <v>483.74</v>
          </cell>
        </row>
        <row r="351">
          <cell r="F351" t="str">
            <v>Yİ - EGE ÇELİK-TANCON-24-M-01</v>
          </cell>
          <cell r="G351">
            <v>150</v>
          </cell>
          <cell r="L351">
            <v>465</v>
          </cell>
        </row>
        <row r="352">
          <cell r="F352" t="str">
            <v>Yİ - EGE ÇELİK-FERROCON SGS 80</v>
          </cell>
          <cell r="G352">
            <v>22.5</v>
          </cell>
          <cell r="L352">
            <v>9040.5</v>
          </cell>
        </row>
        <row r="353">
          <cell r="F353" t="str">
            <v>Yİ - İÇDAŞ-BİGA-ROBOGUN SILVERMIX</v>
          </cell>
          <cell r="G353">
            <v>24</v>
          </cell>
          <cell r="L353">
            <v>10777.68</v>
          </cell>
        </row>
        <row r="354">
          <cell r="F354" t="str">
            <v>Yİ - İÇDAŞ-BİGA-FERROFRIT 75 D</v>
          </cell>
          <cell r="G354">
            <v>21</v>
          </cell>
          <cell r="L354">
            <v>13566.630000000001</v>
          </cell>
        </row>
        <row r="355">
          <cell r="F355" t="str">
            <v>Yİ - EREĞLİ DÇ-FERROCON SGS 85</v>
          </cell>
          <cell r="G355">
            <v>24.38</v>
          </cell>
          <cell r="L355">
            <v>8963.06</v>
          </cell>
        </row>
        <row r="356">
          <cell r="F356" t="str">
            <v>Yİ - EREĞLİ DÇ-FERROCON SGS 85</v>
          </cell>
          <cell r="G356">
            <v>24.18</v>
          </cell>
          <cell r="L356">
            <v>8882.0400000000009</v>
          </cell>
        </row>
        <row r="357">
          <cell r="F357" t="str">
            <v>Yİ - DİLER-GUNNING MIX 93</v>
          </cell>
          <cell r="G357">
            <v>9</v>
          </cell>
          <cell r="L357">
            <v>3817.8</v>
          </cell>
        </row>
        <row r="358">
          <cell r="F358" t="str">
            <v>Yİ - DİLER-ROBOGUN SILVERMIX A15</v>
          </cell>
          <cell r="G358">
            <v>6</v>
          </cell>
          <cell r="L358">
            <v>3063.66</v>
          </cell>
        </row>
        <row r="359">
          <cell r="F359" t="str">
            <v>Yİ - DİLER-FERROFRIT 75 D</v>
          </cell>
          <cell r="G359">
            <v>12.5</v>
          </cell>
          <cell r="L359">
            <v>8444.6299999999992</v>
          </cell>
        </row>
        <row r="360">
          <cell r="F360" t="str">
            <v>Yİ - DİLER-ROBOGUN SILVERMIX A15</v>
          </cell>
          <cell r="G360">
            <v>3</v>
          </cell>
          <cell r="L360">
            <v>1531.83</v>
          </cell>
        </row>
        <row r="361">
          <cell r="F361" t="str">
            <v>Yİ - ÇOLAKOĞLU-FERROCON-11-M5-T-03</v>
          </cell>
          <cell r="G361">
            <v>6</v>
          </cell>
          <cell r="L361">
            <v>4681.4399999999996</v>
          </cell>
        </row>
        <row r="362">
          <cell r="F362" t="str">
            <v>Yİ - ÇOLAKOĞLU-FCM 20 MGO DÖVME HARCI</v>
          </cell>
          <cell r="G362">
            <v>0.6</v>
          </cell>
          <cell r="L362">
            <v>384.65</v>
          </cell>
        </row>
        <row r="363">
          <cell r="F363" t="str">
            <v>Yİ - ÇOLAKOĞLU-MONOBLOK YOLLUK</v>
          </cell>
          <cell r="G363">
            <v>0.6</v>
          </cell>
          <cell r="L363">
            <v>1688.69</v>
          </cell>
        </row>
        <row r="364">
          <cell r="F364" t="str">
            <v>Yİ - İSDEMİR-FERRO RUN</v>
          </cell>
          <cell r="G364">
            <v>25</v>
          </cell>
          <cell r="L364">
            <v>20252.25</v>
          </cell>
        </row>
        <row r="365">
          <cell r="F365" t="str">
            <v>Yİ - ÇOLAKOĞLU-FERROGUN SP</v>
          </cell>
          <cell r="G365">
            <v>16.25</v>
          </cell>
          <cell r="L365">
            <v>6245.36</v>
          </cell>
        </row>
        <row r="366">
          <cell r="F366" t="str">
            <v>Yİ - KROMAN-GUNNING MIX 91</v>
          </cell>
          <cell r="G366">
            <v>24</v>
          </cell>
          <cell r="L366">
            <v>8928.9599999999991</v>
          </cell>
        </row>
        <row r="367">
          <cell r="F367" t="str">
            <v>Yİ - NURSAN-GUNNING MIX 85</v>
          </cell>
          <cell r="G367">
            <v>27</v>
          </cell>
          <cell r="L367">
            <v>8985.6</v>
          </cell>
        </row>
        <row r="368">
          <cell r="F368" t="str">
            <v>Yİ - EREĞLİ DÇ-FERROCON SGS 85</v>
          </cell>
          <cell r="G368">
            <v>48.5</v>
          </cell>
          <cell r="L368">
            <v>17931.419999999998</v>
          </cell>
        </row>
        <row r="369">
          <cell r="F369" t="str">
            <v>Yİ - ÇOLAKOĞLU-FERROGUN SP</v>
          </cell>
          <cell r="G369">
            <v>10.1</v>
          </cell>
          <cell r="L369">
            <v>3912.24</v>
          </cell>
        </row>
        <row r="370">
          <cell r="F370" t="str">
            <v>Yİ - ÇOLAKOĞLU-FERROCON-11-M5-T-03</v>
          </cell>
          <cell r="G370">
            <v>5</v>
          </cell>
          <cell r="L370">
            <v>3928.65</v>
          </cell>
        </row>
        <row r="371">
          <cell r="F371" t="str">
            <v>Yİ - DİLER-FERROCON-12-M6-H-05-T</v>
          </cell>
          <cell r="G371">
            <v>5</v>
          </cell>
          <cell r="L371">
            <v>8187.9</v>
          </cell>
        </row>
        <row r="372">
          <cell r="F372" t="str">
            <v>Yİ - NURSAN-FERROCON TANDİŞ PLAKASI T3</v>
          </cell>
          <cell r="G372">
            <v>20</v>
          </cell>
          <cell r="L372">
            <v>17087.8</v>
          </cell>
        </row>
        <row r="373">
          <cell r="F373" t="str">
            <v>Yİ - NURSAN-FCM 60 MGO YAPIŞTIRMA HARCI</v>
          </cell>
          <cell r="G373">
            <v>1</v>
          </cell>
          <cell r="L373">
            <v>541.11</v>
          </cell>
        </row>
        <row r="374">
          <cell r="F374" t="str">
            <v>Yİ - İÇDAŞ-BİGA-GUNNING MIX</v>
          </cell>
          <cell r="G374">
            <v>21</v>
          </cell>
          <cell r="L374">
            <v>8838.27</v>
          </cell>
        </row>
        <row r="375">
          <cell r="F375" t="str">
            <v>Yİ - EREĞLİ DÇ-FERRO RUN</v>
          </cell>
          <cell r="G375">
            <v>5.14</v>
          </cell>
          <cell r="L375">
            <v>4291.54</v>
          </cell>
        </row>
        <row r="376">
          <cell r="F376" t="str">
            <v>Yİ - EREĞLİ DÇ-FERROCON SGS 85</v>
          </cell>
          <cell r="G376">
            <v>72.72</v>
          </cell>
          <cell r="L376">
            <v>26799.5</v>
          </cell>
        </row>
        <row r="377">
          <cell r="F377" t="str">
            <v>Yİ - EREĞLİ DÇ-FERROCLAY 23</v>
          </cell>
          <cell r="G377">
            <v>155.41</v>
          </cell>
          <cell r="L377">
            <v>136572.75</v>
          </cell>
        </row>
        <row r="378">
          <cell r="F378" t="str">
            <v>YD - MAGOTTEAUX-FERROGUN SP</v>
          </cell>
          <cell r="G378">
            <v>24</v>
          </cell>
          <cell r="L378">
            <v>13201.44</v>
          </cell>
        </row>
        <row r="379">
          <cell r="F379" t="str">
            <v>YD - MAGOTTEAUX-KİRA - ALİVA MACHINE AL-246,5</v>
          </cell>
          <cell r="G379">
            <v>1</v>
          </cell>
          <cell r="L379">
            <v>705.29</v>
          </cell>
        </row>
        <row r="380">
          <cell r="F380" t="str">
            <v>Yİ - ÇOLAKOĞLU-FERROGUN SP</v>
          </cell>
          <cell r="G380">
            <v>16.149999999999999</v>
          </cell>
          <cell r="L380">
            <v>6226.79</v>
          </cell>
        </row>
        <row r="381">
          <cell r="F381" t="str">
            <v>Yİ - DİLER-GUNNING MIX 93</v>
          </cell>
          <cell r="G381">
            <v>7.5</v>
          </cell>
          <cell r="L381">
            <v>3189.15</v>
          </cell>
        </row>
        <row r="382">
          <cell r="F382" t="str">
            <v>Yİ - DİLER-ROBOGUN SILVERMIX A15</v>
          </cell>
          <cell r="G382">
            <v>7.5</v>
          </cell>
          <cell r="L382">
            <v>3838.8</v>
          </cell>
        </row>
        <row r="383">
          <cell r="F383" t="str">
            <v>Yİ - TEKNİK ALUMİNYUM-INSULATION CEMENT</v>
          </cell>
          <cell r="G383">
            <v>0.4</v>
          </cell>
          <cell r="L383">
            <v>1014.24</v>
          </cell>
        </row>
        <row r="384">
          <cell r="F384" t="str">
            <v>Yİ - İÇDAŞ-BİGA-FERROFRIT 75 D</v>
          </cell>
          <cell r="G384">
            <v>21</v>
          </cell>
          <cell r="L384">
            <v>13559.91</v>
          </cell>
        </row>
        <row r="385">
          <cell r="F385" t="str">
            <v>Yİ - ÇOLAKOĞLU-FERROGUN SP</v>
          </cell>
          <cell r="G385">
            <v>16.2</v>
          </cell>
          <cell r="L385">
            <v>6233.27</v>
          </cell>
        </row>
        <row r="386">
          <cell r="F386" t="str">
            <v>Yİ - ÇOLAKOĞLU-FERROCON-11-M5-T-03</v>
          </cell>
          <cell r="G386">
            <v>9</v>
          </cell>
          <cell r="L386">
            <v>7024.41</v>
          </cell>
        </row>
        <row r="387">
          <cell r="F387" t="str">
            <v>Yİ - ÇOLAKOĞLU-MONOBLOK YOLLUK</v>
          </cell>
          <cell r="G387">
            <v>0.6</v>
          </cell>
          <cell r="L387">
            <v>1689.23</v>
          </cell>
        </row>
        <row r="388">
          <cell r="F388" t="str">
            <v>Yİ - ASİL ÇELİK-ROBOGUN SILVERMIX</v>
          </cell>
          <cell r="G388">
            <v>6</v>
          </cell>
          <cell r="L388">
            <v>2310.2399999999998</v>
          </cell>
        </row>
        <row r="389">
          <cell r="F389" t="str">
            <v>Yİ - ASİL ÇELİK-FILLMIX T</v>
          </cell>
          <cell r="G389">
            <v>10.5</v>
          </cell>
          <cell r="L389">
            <v>6023.12</v>
          </cell>
        </row>
        <row r="390">
          <cell r="F390" t="str">
            <v>Yİ - İÇDAŞ-İST-GUNNING MIX</v>
          </cell>
          <cell r="G390">
            <v>21</v>
          </cell>
          <cell r="L390">
            <v>8778.8399999999983</v>
          </cell>
        </row>
        <row r="391">
          <cell r="F391" t="str">
            <v>Yİ - İSDEMİR-FERROGUN 85 L</v>
          </cell>
          <cell r="G391">
            <v>51.7</v>
          </cell>
          <cell r="L391">
            <v>22344.22</v>
          </cell>
        </row>
        <row r="392">
          <cell r="F392" t="str">
            <v>Yİ - İSDEMİR-FERROCLAY 704</v>
          </cell>
          <cell r="G392">
            <v>24</v>
          </cell>
          <cell r="L392">
            <v>19198.560000000001</v>
          </cell>
        </row>
        <row r="393">
          <cell r="F393" t="str">
            <v>Yİ - DİLER-GUNNING MIX 93</v>
          </cell>
          <cell r="G393">
            <v>10.5</v>
          </cell>
          <cell r="L393">
            <v>4455.47</v>
          </cell>
        </row>
        <row r="394">
          <cell r="F394" t="str">
            <v>Yİ - DİLER-ROBOGUN SILVERMIX A15</v>
          </cell>
          <cell r="G394">
            <v>4.5</v>
          </cell>
          <cell r="L394">
            <v>2298.4699999999998</v>
          </cell>
        </row>
        <row r="395">
          <cell r="F395" t="str">
            <v>Yİ - ÇOLAKOĞLU-FERROGUN SP</v>
          </cell>
          <cell r="G395">
            <v>20.100000000000001</v>
          </cell>
          <cell r="L395">
            <v>7733.88</v>
          </cell>
        </row>
        <row r="396">
          <cell r="F396" t="str">
            <v>Yİ - ÇOLAKOĞLU-FERROCON-11-M5-T-03</v>
          </cell>
          <cell r="G396">
            <v>7</v>
          </cell>
          <cell r="L396">
            <v>5463.43</v>
          </cell>
        </row>
        <row r="397">
          <cell r="F397" t="str">
            <v>Yİ - ÇOLAKOĞLU-FCM 20 MGO DÖVME HARCI</v>
          </cell>
          <cell r="G397">
            <v>0.55000000000000004</v>
          </cell>
          <cell r="L397">
            <v>352.7</v>
          </cell>
        </row>
        <row r="398">
          <cell r="F398" t="str">
            <v>YD - SUEZ STEEL-DELTABOX</v>
          </cell>
          <cell r="G398">
            <v>16</v>
          </cell>
          <cell r="L398">
            <v>9411.2000000000007</v>
          </cell>
        </row>
        <row r="399">
          <cell r="F399" t="str">
            <v>YD - UNITED-GUNNING MIX 89</v>
          </cell>
          <cell r="G399">
            <v>70.5</v>
          </cell>
          <cell r="L399">
            <v>29120.69</v>
          </cell>
        </row>
        <row r="400">
          <cell r="F400" t="str">
            <v>YD - UNITED-FERROCON MODIFIED TUNDISH BOARDS</v>
          </cell>
          <cell r="G400">
            <v>246</v>
          </cell>
          <cell r="L400">
            <v>38709.58</v>
          </cell>
        </row>
        <row r="401">
          <cell r="F401" t="str">
            <v>YD - UNITED-FCM 10 SİLİKA DÖVME HARCI</v>
          </cell>
          <cell r="G401">
            <v>12</v>
          </cell>
          <cell r="L401">
            <v>4642</v>
          </cell>
        </row>
        <row r="402">
          <cell r="F402" t="str">
            <v>YD - UNITED-FCM 50 SİLİKA YAPIŞTIRMA HARCI</v>
          </cell>
          <cell r="G402">
            <v>6.6150000000000002</v>
          </cell>
          <cell r="L402">
            <v>2645.65</v>
          </cell>
        </row>
        <row r="403">
          <cell r="F403" t="str">
            <v>YD - AL EZZ STEEL REBARS-FERROCON SGS 88</v>
          </cell>
          <cell r="G403">
            <v>60</v>
          </cell>
          <cell r="L403">
            <v>27537.3</v>
          </cell>
        </row>
        <row r="404">
          <cell r="F404" t="str">
            <v>Yİ - DİLER-GUNNING MIX 93</v>
          </cell>
          <cell r="G404">
            <v>9</v>
          </cell>
          <cell r="L404">
            <v>3818.97</v>
          </cell>
        </row>
        <row r="405">
          <cell r="F405" t="str">
            <v>Yİ - DİLER-ROBOGUN SILVERMIX A15</v>
          </cell>
          <cell r="G405">
            <v>6</v>
          </cell>
          <cell r="L405">
            <v>3064.62</v>
          </cell>
        </row>
        <row r="406">
          <cell r="F406" t="str">
            <v>Yİ - DİLER-GUNNING MIX 93</v>
          </cell>
          <cell r="G406">
            <v>10.5</v>
          </cell>
          <cell r="L406">
            <v>4455.47</v>
          </cell>
        </row>
        <row r="407">
          <cell r="F407" t="str">
            <v>Yİ - DİLER-ROBOGUN SILVERMIX A15</v>
          </cell>
          <cell r="G407">
            <v>4.5</v>
          </cell>
          <cell r="L407">
            <v>2298.4699999999998</v>
          </cell>
        </row>
        <row r="408">
          <cell r="F408" t="str">
            <v>Yİ - KROMAN-GUNNING MIX 91</v>
          </cell>
          <cell r="G408">
            <v>24</v>
          </cell>
          <cell r="L408">
            <v>8939.2800000000007</v>
          </cell>
        </row>
        <row r="409">
          <cell r="F409" t="str">
            <v>Yİ - İÇDAŞ-BİGA-FERROFRIT 75 D</v>
          </cell>
          <cell r="G409">
            <v>21</v>
          </cell>
          <cell r="L409">
            <v>13531.349999999999</v>
          </cell>
        </row>
        <row r="410">
          <cell r="F410" t="str">
            <v>Yİ - DİLER-FERROCON-12-M6-H-05-T</v>
          </cell>
          <cell r="G410">
            <v>5</v>
          </cell>
          <cell r="L410">
            <v>8081.3</v>
          </cell>
        </row>
        <row r="411">
          <cell r="F411" t="str">
            <v>Yİ - DİLER-FERROCAST 75</v>
          </cell>
          <cell r="G411">
            <v>2</v>
          </cell>
          <cell r="L411">
            <v>1352.34</v>
          </cell>
        </row>
        <row r="412">
          <cell r="F412" t="str">
            <v>Yİ - DİLER-FCM 60 MGO YAPIŞTIRMA HARCI</v>
          </cell>
          <cell r="G412">
            <v>0.5</v>
          </cell>
          <cell r="L412">
            <v>327.94</v>
          </cell>
        </row>
        <row r="413">
          <cell r="F413" t="str">
            <v>Yİ - DİLER-GUNNING MIX 93</v>
          </cell>
          <cell r="G413">
            <v>7.5</v>
          </cell>
          <cell r="L413">
            <v>3162.23</v>
          </cell>
        </row>
        <row r="414">
          <cell r="F414" t="str">
            <v>Yİ - YAZICI DÇ-FERROFRIT 80 HR</v>
          </cell>
          <cell r="G414">
            <v>13</v>
          </cell>
          <cell r="L414">
            <v>7714.33</v>
          </cell>
        </row>
        <row r="415">
          <cell r="F415" t="str">
            <v>Yİ - YAZICI DÇ-FILLMIX</v>
          </cell>
          <cell r="G415">
            <v>9</v>
          </cell>
          <cell r="L415">
            <v>4497.3900000000003</v>
          </cell>
        </row>
        <row r="416">
          <cell r="F416" t="str">
            <v>Yİ - İZMİR DÇ-FERROCON-21-M7-H-05</v>
          </cell>
          <cell r="G416">
            <v>12</v>
          </cell>
          <cell r="L416">
            <v>17989.68</v>
          </cell>
        </row>
        <row r="417">
          <cell r="F417" t="str">
            <v>Yİ - İZMİR DÇ-FCM 20 MGO DÖVME HARCI</v>
          </cell>
          <cell r="G417">
            <v>1.5</v>
          </cell>
          <cell r="L417">
            <v>1007.24</v>
          </cell>
        </row>
        <row r="418">
          <cell r="F418" t="str">
            <v>Yİ - İZMİR DÇ-FCM 60 MGO YAPIŞTIRMA HARCI</v>
          </cell>
          <cell r="G418">
            <v>1</v>
          </cell>
          <cell r="L418">
            <v>702.72</v>
          </cell>
        </row>
        <row r="419">
          <cell r="F419" t="str">
            <v>Yİ - ASİL ÇELİK-ROBOGUN SILVERMIX</v>
          </cell>
          <cell r="L419">
            <v>4357.05</v>
          </cell>
        </row>
        <row r="420">
          <cell r="F420" t="str">
            <v>Yİ - EGE ÇELİK-TANCON-24-M-01</v>
          </cell>
          <cell r="G420">
            <v>170</v>
          </cell>
          <cell r="L420">
            <v>523.6</v>
          </cell>
        </row>
        <row r="421">
          <cell r="F421" t="str">
            <v>Yİ - EGE ÇELİK-FERROCON SGS 80</v>
          </cell>
          <cell r="G421">
            <v>25</v>
          </cell>
          <cell r="L421">
            <v>9955.25</v>
          </cell>
        </row>
        <row r="422">
          <cell r="F422" t="str">
            <v>Yİ - EGE ÇELİK-ROBOGUN SILVERMIX</v>
          </cell>
          <cell r="G422">
            <v>25.5</v>
          </cell>
          <cell r="L422">
            <v>11946.24</v>
          </cell>
        </row>
        <row r="423">
          <cell r="F423" t="str">
            <v>YD - MITTAL STEELL-DAMS CASTER M4</v>
          </cell>
          <cell r="G423">
            <v>120</v>
          </cell>
          <cell r="L423">
            <v>14574.96</v>
          </cell>
        </row>
        <row r="424">
          <cell r="F424" t="str">
            <v>Yİ - ÇOLAKOĞLU-FERROCON-11-M5-T-03</v>
          </cell>
          <cell r="G424">
            <v>8</v>
          </cell>
          <cell r="L424">
            <v>6191.6</v>
          </cell>
        </row>
        <row r="425">
          <cell r="F425" t="str">
            <v>Yİ - ÇOLAKOĞLU-FERROGUN SP</v>
          </cell>
          <cell r="G425">
            <v>15.85</v>
          </cell>
          <cell r="L425">
            <v>6047.57</v>
          </cell>
        </row>
        <row r="426">
          <cell r="F426" t="str">
            <v>Yİ - ÇOLAKOĞLU-MONOBLOK YOLLUK</v>
          </cell>
          <cell r="G426">
            <v>0.45</v>
          </cell>
          <cell r="L426">
            <v>1256.31</v>
          </cell>
        </row>
        <row r="427">
          <cell r="F427" t="str">
            <v>Yİ - KROMAN-GUNNING MIX 91</v>
          </cell>
          <cell r="G427">
            <v>24</v>
          </cell>
          <cell r="L427">
            <v>8864.64</v>
          </cell>
        </row>
        <row r="428">
          <cell r="F428" t="str">
            <v>YD - MITTAL STEELL-FERROCLAY 55 R</v>
          </cell>
          <cell r="G428">
            <v>26</v>
          </cell>
          <cell r="L428">
            <v>31054.26</v>
          </cell>
        </row>
        <row r="429">
          <cell r="F429" t="str">
            <v>Yİ - DİLER-GUNNING MIX 93</v>
          </cell>
          <cell r="G429">
            <v>10.5</v>
          </cell>
          <cell r="L429">
            <v>4447.59</v>
          </cell>
        </row>
        <row r="430">
          <cell r="F430" t="str">
            <v>Yİ - DİLER-ROBOGUN SILVERMIX A15</v>
          </cell>
          <cell r="G430">
            <v>4.5</v>
          </cell>
          <cell r="L430">
            <v>2294.37</v>
          </cell>
        </row>
        <row r="431">
          <cell r="F431" t="str">
            <v>Yİ - KROMAN-FILLMIX T</v>
          </cell>
          <cell r="G431">
            <v>10.5</v>
          </cell>
          <cell r="L431">
            <v>4859.3999999999996</v>
          </cell>
        </row>
        <row r="432">
          <cell r="F432" t="str">
            <v>Yİ - YAZICI DÇ-ROBOGUN SILVERMIX</v>
          </cell>
          <cell r="G432">
            <v>24</v>
          </cell>
          <cell r="L432">
            <v>12048.48</v>
          </cell>
        </row>
        <row r="433">
          <cell r="F433" t="str">
            <v>Yİ - YAZICI DÇ-GUNNING MIX 93</v>
          </cell>
          <cell r="G433">
            <v>24</v>
          </cell>
          <cell r="L433">
            <v>9977.52</v>
          </cell>
        </row>
        <row r="434">
          <cell r="F434" t="str">
            <v>Yİ - KARDEMİR-FERROCON SGS 85</v>
          </cell>
          <cell r="G434">
            <v>25</v>
          </cell>
          <cell r="L434">
            <v>11570</v>
          </cell>
        </row>
        <row r="435">
          <cell r="F435" t="str">
            <v>Yİ - ÇOLAKOĞLU-FERROGUN SP</v>
          </cell>
          <cell r="G435">
            <v>16.100000000000001</v>
          </cell>
          <cell r="L435">
            <v>6137</v>
          </cell>
        </row>
        <row r="436">
          <cell r="F436" t="str">
            <v>Yİ - DİLER-GUNNING MIX 93</v>
          </cell>
          <cell r="G436">
            <v>7.5</v>
          </cell>
          <cell r="L436">
            <v>3152.93</v>
          </cell>
        </row>
        <row r="437">
          <cell r="F437" t="str">
            <v>Yİ - DİLER-ROBOGUN SILVERMIX A15</v>
          </cell>
          <cell r="G437">
            <v>7.5</v>
          </cell>
          <cell r="L437">
            <v>3795.23</v>
          </cell>
        </row>
        <row r="438">
          <cell r="F438" t="str">
            <v>Yİ - AZİM OTOMOTİV-FOSFORAL TABLET</v>
          </cell>
          <cell r="G438">
            <v>0.2</v>
          </cell>
          <cell r="L438">
            <v>716.22</v>
          </cell>
        </row>
        <row r="439">
          <cell r="F439" t="str">
            <v>Yİ - AZİM OTOMOTİV-DEGAZER TABLET</v>
          </cell>
          <cell r="G439">
            <v>0.22500000000000001</v>
          </cell>
          <cell r="L439">
            <v>1075.5</v>
          </cell>
        </row>
        <row r="440">
          <cell r="F440" t="str">
            <v>Yİ - EREGE-GUNNING MIX 93</v>
          </cell>
          <cell r="G440">
            <v>12</v>
          </cell>
          <cell r="L440">
            <v>4577.6400000000003</v>
          </cell>
        </row>
        <row r="441">
          <cell r="F441" t="str">
            <v>Yİ - EREGE-FERROCON-23-M6-H-02</v>
          </cell>
          <cell r="G441">
            <v>6</v>
          </cell>
          <cell r="L441">
            <v>4951.26</v>
          </cell>
        </row>
        <row r="442">
          <cell r="F442" t="str">
            <v>Yİ - EREGE-FCM 60 MGO YAPIŞTIRMA HARCI</v>
          </cell>
          <cell r="G442">
            <v>1</v>
          </cell>
          <cell r="L442">
            <v>747.36</v>
          </cell>
        </row>
        <row r="443">
          <cell r="F443" t="str">
            <v>Yİ - EREĞLİ DÇ-FERROGUN-L-90</v>
          </cell>
          <cell r="G443">
            <v>10.29</v>
          </cell>
          <cell r="L443">
            <v>4189.99</v>
          </cell>
        </row>
        <row r="444">
          <cell r="F444" t="str">
            <v>Yİ - EREĞLİ DÇ-TANDİŞ SETİ-DAM-SD34</v>
          </cell>
          <cell r="G444">
            <v>198</v>
          </cell>
          <cell r="L444">
            <v>10543.5</v>
          </cell>
        </row>
        <row r="445">
          <cell r="F445" t="str">
            <v>Yİ - ÇOLAKOĞLU-FERROCON-11-M5-T-03</v>
          </cell>
          <cell r="G445">
            <v>3</v>
          </cell>
          <cell r="L445">
            <v>2333.2199999999998</v>
          </cell>
        </row>
        <row r="446">
          <cell r="F446" t="str">
            <v>Yİ - ÇOLAKOĞLU-FERROGUN SP</v>
          </cell>
          <cell r="G446">
            <v>10.15</v>
          </cell>
          <cell r="L446">
            <v>3891.71</v>
          </cell>
        </row>
        <row r="447">
          <cell r="F447" t="str">
            <v>Yİ - ÇOLAKOĞLU-MONOBLOK YOLLUK</v>
          </cell>
          <cell r="G447">
            <v>0.6</v>
          </cell>
          <cell r="L447">
            <v>1683.29</v>
          </cell>
        </row>
        <row r="448">
          <cell r="F448" t="str">
            <v>Yİ - DİLER-FERROCON-12-M6-H-05-T</v>
          </cell>
          <cell r="G448">
            <v>5</v>
          </cell>
          <cell r="L448">
            <v>8104.55</v>
          </cell>
        </row>
        <row r="449">
          <cell r="F449" t="str">
            <v>Yİ - DİLER-GUNNING MIX 93</v>
          </cell>
          <cell r="G449">
            <v>9</v>
          </cell>
          <cell r="L449">
            <v>3805.65</v>
          </cell>
        </row>
        <row r="450">
          <cell r="F450" t="str">
            <v>Yİ - ASİL ÇELİK-ROBOGUN SILVERMIX</v>
          </cell>
          <cell r="G450">
            <v>25.5</v>
          </cell>
          <cell r="L450">
            <v>9784.1</v>
          </cell>
        </row>
        <row r="451">
          <cell r="F451" t="str">
            <v>Yİ - ASİL ÇELİK-FERROCON SGS 75</v>
          </cell>
          <cell r="G451">
            <v>20</v>
          </cell>
          <cell r="L451">
            <v>7673.8</v>
          </cell>
        </row>
        <row r="452">
          <cell r="F452" t="str">
            <v>Yİ - EKİNCİLER-ROBOGUN SILVERMIX</v>
          </cell>
          <cell r="G452">
            <v>25.5</v>
          </cell>
          <cell r="L452">
            <v>12579.66</v>
          </cell>
        </row>
        <row r="453">
          <cell r="F453" t="str">
            <v>Yİ - EREĞLİ DÇ-CURUF PERDESİ-SD34</v>
          </cell>
          <cell r="G453">
            <v>176</v>
          </cell>
          <cell r="L453">
            <v>20122.080000000002</v>
          </cell>
        </row>
        <row r="454">
          <cell r="F454" t="str">
            <v>Yİ - İSDEMİR-FERROCLAY 704</v>
          </cell>
          <cell r="G454">
            <v>24</v>
          </cell>
          <cell r="L454">
            <v>19076.400000000001</v>
          </cell>
        </row>
        <row r="455">
          <cell r="F455" t="str">
            <v>Yİ - ÇOLAKOĞLU-FERROGUN SP</v>
          </cell>
          <cell r="G455">
            <v>8</v>
          </cell>
          <cell r="L455">
            <v>3067.36</v>
          </cell>
        </row>
        <row r="456">
          <cell r="F456" t="str">
            <v>Yİ - ÇOLAKOĞLU-FERROCON-11-M5-T-03</v>
          </cell>
          <cell r="G456">
            <v>5</v>
          </cell>
          <cell r="L456">
            <v>3888.7</v>
          </cell>
        </row>
        <row r="457">
          <cell r="F457" t="str">
            <v>Yİ - ÇOLAKOĞLU-MONOBLOK YOLLUK</v>
          </cell>
          <cell r="G457">
            <v>0.55000000000000004</v>
          </cell>
          <cell r="L457">
            <v>1543.01</v>
          </cell>
        </row>
        <row r="458">
          <cell r="F458" t="str">
            <v>YD - AGC-INDUSTRIES-FERROCON SGS 88</v>
          </cell>
          <cell r="G458">
            <v>42.5</v>
          </cell>
          <cell r="L458">
            <v>24321.22</v>
          </cell>
        </row>
        <row r="459">
          <cell r="F459" t="str">
            <v>YD - AGC-MATOV-FERROCON TUNDISH BOARDS MGO 75</v>
          </cell>
          <cell r="G459">
            <v>26</v>
          </cell>
          <cell r="L459">
            <v>16894.98</v>
          </cell>
        </row>
        <row r="460">
          <cell r="F460" t="str">
            <v>Yİ - EGE ÇELİK-FCM 20 MGO DÖVME HARCI</v>
          </cell>
          <cell r="G460">
            <v>1</v>
          </cell>
          <cell r="L460">
            <v>480.79</v>
          </cell>
        </row>
        <row r="461">
          <cell r="F461" t="str">
            <v>Yİ - EGE ÇELİK-FERROCON SGS 80</v>
          </cell>
          <cell r="G461">
            <v>25</v>
          </cell>
          <cell r="L461">
            <v>9984</v>
          </cell>
        </row>
        <row r="462">
          <cell r="F462" t="str">
            <v>Yİ - İZMİR DÇ-FERROCON-21-M7-H-05</v>
          </cell>
          <cell r="G462">
            <v>3</v>
          </cell>
          <cell r="L462">
            <v>4510.38</v>
          </cell>
        </row>
        <row r="463">
          <cell r="F463" t="str">
            <v>Yİ - HABAŞ-GUNNING MIX</v>
          </cell>
          <cell r="G463">
            <v>51</v>
          </cell>
          <cell r="L463">
            <v>15897.72</v>
          </cell>
        </row>
        <row r="464">
          <cell r="F464" t="str">
            <v>Yİ - ÇEBİTAŞ-FERROCON-22-M6-H-07</v>
          </cell>
          <cell r="G464">
            <v>20</v>
          </cell>
          <cell r="L464">
            <v>20046</v>
          </cell>
        </row>
        <row r="465">
          <cell r="F465" t="str">
            <v>Yİ - İÇDAŞ-İST-GUNNING MIX</v>
          </cell>
          <cell r="G465">
            <v>21</v>
          </cell>
          <cell r="L465">
            <v>8748.18</v>
          </cell>
        </row>
        <row r="466">
          <cell r="F466" t="str">
            <v>Yİ - ÇOLAKOĞLU-FERROGUN SP</v>
          </cell>
          <cell r="G466">
            <v>16.2</v>
          </cell>
          <cell r="L466">
            <v>6240.08</v>
          </cell>
        </row>
        <row r="467">
          <cell r="F467" t="str">
            <v>Yİ - ÇOLAKOĞLU-FCM 20 MGO DÖVME HARCI</v>
          </cell>
          <cell r="G467">
            <v>0.55000000000000004</v>
          </cell>
          <cell r="L467">
            <v>353.09</v>
          </cell>
        </row>
        <row r="468">
          <cell r="F468" t="str">
            <v>YD - MALAYAWATA-FERROGUN SP</v>
          </cell>
          <cell r="G468">
            <v>42</v>
          </cell>
          <cell r="L468">
            <v>22218</v>
          </cell>
        </row>
        <row r="469">
          <cell r="F469" t="str">
            <v>YD - MALAYAWATA-FERRO DC-HR</v>
          </cell>
          <cell r="G469">
            <v>20</v>
          </cell>
          <cell r="L469">
            <v>20146.39</v>
          </cell>
        </row>
        <row r="470">
          <cell r="F470" t="str">
            <v>YD - AGC-INDUSTRIES-FERROCON SGS 85</v>
          </cell>
          <cell r="G470">
            <v>120</v>
          </cell>
          <cell r="L470">
            <v>69828</v>
          </cell>
        </row>
        <row r="471">
          <cell r="F471" t="str">
            <v>Yİ - KROMAN-GUNNING MIX 91</v>
          </cell>
          <cell r="G471">
            <v>24</v>
          </cell>
          <cell r="L471">
            <v>8949.6</v>
          </cell>
        </row>
        <row r="472">
          <cell r="F472" t="str">
            <v>YD - AL EZZ FLAT-FERROCON SGS 88</v>
          </cell>
          <cell r="G472">
            <v>75</v>
          </cell>
          <cell r="L472">
            <v>34219.69</v>
          </cell>
        </row>
        <row r="473">
          <cell r="F473" t="str">
            <v>Yİ - EREĞLİ DÇ-FILLMIX - 85 P</v>
          </cell>
          <cell r="G473">
            <v>14.895</v>
          </cell>
          <cell r="L473">
            <v>5395.42</v>
          </cell>
        </row>
        <row r="474">
          <cell r="F474" t="str">
            <v>Yİ - EREĞLİ DÇ-TANDİŞ ÇARPMA BÖLGESİ HAVUZU</v>
          </cell>
          <cell r="G474">
            <v>30</v>
          </cell>
          <cell r="L474">
            <v>4491.3</v>
          </cell>
        </row>
        <row r="475">
          <cell r="F475" t="str">
            <v>Yİ - EREĞLİ DÇ-FERRO RUN</v>
          </cell>
          <cell r="G475">
            <v>3.84</v>
          </cell>
          <cell r="L475">
            <v>3265.92</v>
          </cell>
        </row>
        <row r="476">
          <cell r="F476" t="str">
            <v>Yİ - ÇOLAKOĞLU-FERROGUN SP</v>
          </cell>
          <cell r="G476">
            <v>10</v>
          </cell>
          <cell r="L476">
            <v>3877.9</v>
          </cell>
        </row>
        <row r="477">
          <cell r="F477" t="str">
            <v>Yİ - ÇOLAKOĞLU-FERROCON-11-M5-T-03</v>
          </cell>
          <cell r="G477">
            <v>5</v>
          </cell>
          <cell r="L477">
            <v>3933.1</v>
          </cell>
        </row>
        <row r="478">
          <cell r="F478" t="str">
            <v>Yİ - DİLER-GUNNING MIX 93</v>
          </cell>
          <cell r="G478">
            <v>9</v>
          </cell>
          <cell r="L478">
            <v>3849.12</v>
          </cell>
        </row>
        <row r="479">
          <cell r="F479" t="str">
            <v>Yİ - DİLER-ROBOGUN SILVERMIX A15</v>
          </cell>
          <cell r="G479">
            <v>6</v>
          </cell>
          <cell r="L479">
            <v>3088.8</v>
          </cell>
        </row>
        <row r="480">
          <cell r="F480" t="str">
            <v>Yİ - ASSAN-INSULATION CEMENT</v>
          </cell>
          <cell r="G480">
            <v>0.5</v>
          </cell>
          <cell r="L480">
            <v>1140.48</v>
          </cell>
        </row>
        <row r="481">
          <cell r="F481" t="str">
            <v>Yİ - EREĞLİ DÇ-CURUF PERDESİ-SD34</v>
          </cell>
          <cell r="G481">
            <v>50</v>
          </cell>
          <cell r="L481">
            <v>5839.5</v>
          </cell>
        </row>
        <row r="482">
          <cell r="F482" t="str">
            <v>Yİ - EREĞLİ DÇ-FERROCON SGS 85</v>
          </cell>
          <cell r="G482">
            <v>9.0950000000000006</v>
          </cell>
          <cell r="L482">
            <v>3404.99</v>
          </cell>
        </row>
        <row r="483">
          <cell r="F483" t="str">
            <v xml:space="preserve">Yİ - EREĞLİ DÇ-ROBOGUN SILVER MIX </v>
          </cell>
          <cell r="G483">
            <v>25.105</v>
          </cell>
          <cell r="L483">
            <v>11246.29</v>
          </cell>
        </row>
        <row r="484">
          <cell r="F484" t="str">
            <v>Yİ - EREĞLİ DÇ-FERROCAST NR</v>
          </cell>
          <cell r="G484">
            <v>15.385</v>
          </cell>
          <cell r="L484">
            <v>9504.24</v>
          </cell>
        </row>
        <row r="485">
          <cell r="F485" t="str">
            <v>Yİ - EREĞLİ DÇ-FERRO RUN</v>
          </cell>
          <cell r="G485">
            <v>3.84</v>
          </cell>
          <cell r="L485">
            <v>3298.6</v>
          </cell>
        </row>
        <row r="486">
          <cell r="F486" t="str">
            <v>Yİ - DİLER-GUNNING MIX 93</v>
          </cell>
          <cell r="G486">
            <v>15</v>
          </cell>
          <cell r="L486">
            <v>6479.55</v>
          </cell>
        </row>
        <row r="487">
          <cell r="F487" t="str">
            <v>Yİ - KARDEMİR-FERROCON SGS 85</v>
          </cell>
          <cell r="G487">
            <v>25</v>
          </cell>
          <cell r="L487">
            <v>11799.25</v>
          </cell>
        </row>
        <row r="488">
          <cell r="F488" t="str">
            <v>Yİ - YAZICI DÇ-FERROFRIT 77 D</v>
          </cell>
          <cell r="G488">
            <v>12</v>
          </cell>
          <cell r="L488">
            <v>8639.52</v>
          </cell>
        </row>
        <row r="489">
          <cell r="F489" t="str">
            <v>Yİ - YAZICI DÇ-ROBOGUN SILVERMIX</v>
          </cell>
          <cell r="G489">
            <v>12</v>
          </cell>
          <cell r="L489">
            <v>6143.64</v>
          </cell>
        </row>
        <row r="490">
          <cell r="F490" t="str">
            <v>Yİ - İÇDAŞ-BİGA-ROBOGUN SILVERMIX</v>
          </cell>
          <cell r="G490">
            <v>25.5</v>
          </cell>
          <cell r="L490">
            <v>11627.24</v>
          </cell>
        </row>
        <row r="491">
          <cell r="F491" t="str">
            <v>Yİ - İSDEMİR-FERRO RUN</v>
          </cell>
          <cell r="G491">
            <v>25</v>
          </cell>
          <cell r="L491">
            <v>20601.5</v>
          </cell>
        </row>
        <row r="492">
          <cell r="F492" t="str">
            <v>Yİ - ÇOLAKOĞLU-FERROCON-11-M5-T-03</v>
          </cell>
          <cell r="G492">
            <v>4</v>
          </cell>
          <cell r="L492">
            <v>3182.84</v>
          </cell>
        </row>
        <row r="493">
          <cell r="F493" t="str">
            <v>Yİ - ÇOLAKOĞLU-FERROGUN SP</v>
          </cell>
          <cell r="G493">
            <v>11.9</v>
          </cell>
          <cell r="L493">
            <v>4668.01</v>
          </cell>
        </row>
        <row r="494">
          <cell r="F494" t="str">
            <v>Yİ - KARDEMİR-FERROCON SGS 85</v>
          </cell>
          <cell r="G494">
            <v>35</v>
          </cell>
          <cell r="L494">
            <v>16543.8</v>
          </cell>
        </row>
        <row r="495">
          <cell r="F495" t="str">
            <v>Yİ - YAZICI DÇ-ROBOGUN SILVERMIX</v>
          </cell>
          <cell r="G495">
            <v>24</v>
          </cell>
          <cell r="L495">
            <v>12305.76</v>
          </cell>
        </row>
        <row r="496">
          <cell r="F496" t="str">
            <v>Yİ - ÇOLAKOĞLU-FERROCON-11-M5-T-03</v>
          </cell>
          <cell r="G496">
            <v>4</v>
          </cell>
          <cell r="L496">
            <v>3197.2</v>
          </cell>
        </row>
        <row r="497">
          <cell r="F497" t="str">
            <v>Yİ - ÇOLAKOĞLU-FERROGUN SP</v>
          </cell>
          <cell r="G497">
            <v>12.3</v>
          </cell>
          <cell r="L497">
            <v>4846.6899999999996</v>
          </cell>
        </row>
        <row r="498">
          <cell r="F498" t="str">
            <v>Yİ - DİLER-FCM 60 MGO YAPIŞTIRMA HARCI</v>
          </cell>
          <cell r="G498">
            <v>1.5</v>
          </cell>
          <cell r="L498">
            <v>1013.99</v>
          </cell>
        </row>
        <row r="499">
          <cell r="F499" t="str">
            <v>Yİ - DİLER-GUNNING MIX 93</v>
          </cell>
          <cell r="G499">
            <v>7.5</v>
          </cell>
          <cell r="L499">
            <v>3259.28</v>
          </cell>
        </row>
        <row r="500">
          <cell r="F500" t="str">
            <v>Yİ - DİLER-ROBOGUN SILVERMIX A15</v>
          </cell>
          <cell r="G500">
            <v>6</v>
          </cell>
          <cell r="L500">
            <v>3138.54</v>
          </cell>
        </row>
        <row r="501">
          <cell r="F501" t="str">
            <v>Yİ - KARDEMİR-FERROCON SGS 85</v>
          </cell>
          <cell r="G501">
            <v>25</v>
          </cell>
          <cell r="L501">
            <v>11870</v>
          </cell>
        </row>
        <row r="502">
          <cell r="F502" t="str">
            <v>Yİ - İZMİR DÇ-GUNNING MIX 93</v>
          </cell>
          <cell r="G502">
            <v>21.25</v>
          </cell>
          <cell r="L502">
            <v>8037.39</v>
          </cell>
        </row>
        <row r="503">
          <cell r="F503" t="str">
            <v>Yİ - İÇDAŞ-İST-GUNNING MIX</v>
          </cell>
          <cell r="G503">
            <v>21</v>
          </cell>
          <cell r="L503">
            <v>8990.52</v>
          </cell>
        </row>
        <row r="504">
          <cell r="F504" t="str">
            <v>Yİ - HABAŞ-FERROCON-20-M6-T-01</v>
          </cell>
          <cell r="G504">
            <v>12</v>
          </cell>
          <cell r="L504">
            <v>12878.52</v>
          </cell>
        </row>
        <row r="505">
          <cell r="F505" t="str">
            <v>Yİ - HABAŞ-GUNNING MIX</v>
          </cell>
          <cell r="G505">
            <v>51</v>
          </cell>
          <cell r="L505">
            <v>16338.36</v>
          </cell>
        </row>
        <row r="506">
          <cell r="F506" t="str">
            <v>Yİ - EREĞLİ DÇ-FERRO RUN</v>
          </cell>
          <cell r="G506">
            <v>19.579999999999998</v>
          </cell>
          <cell r="L506">
            <v>16923.39</v>
          </cell>
        </row>
        <row r="507">
          <cell r="F507" t="str">
            <v>Yİ - İSDEMİR-FERRO RUN</v>
          </cell>
          <cell r="G507">
            <v>25</v>
          </cell>
          <cell r="L507">
            <v>20601.5</v>
          </cell>
        </row>
        <row r="508">
          <cell r="F508" t="str">
            <v>Yİ - İSDEMİR-FERRO RUN</v>
          </cell>
          <cell r="G508">
            <v>25</v>
          </cell>
          <cell r="L508">
            <v>20601.5</v>
          </cell>
        </row>
        <row r="509">
          <cell r="F509" t="str">
            <v>YD - AL EZZ FLAT-INTERMEDIATE WALL (PRECAST) MGO</v>
          </cell>
          <cell r="G509">
            <v>50</v>
          </cell>
          <cell r="L509">
            <v>23409.75</v>
          </cell>
        </row>
        <row r="510">
          <cell r="F510" t="str">
            <v>Yİ - ÇOLAKOĞLU-FERROCON-11-M5-T-03</v>
          </cell>
          <cell r="G510">
            <v>4</v>
          </cell>
          <cell r="L510">
            <v>3197.2</v>
          </cell>
        </row>
        <row r="511">
          <cell r="F511" t="str">
            <v>Yİ - ÇOLAKOĞLU-FERROGUN SP</v>
          </cell>
          <cell r="G511">
            <v>9.9</v>
          </cell>
          <cell r="L511">
            <v>3901</v>
          </cell>
        </row>
        <row r="512">
          <cell r="F512" t="str">
            <v>Yİ - ÇOLAKOĞLU-MONOBLOK YOLLUK</v>
          </cell>
          <cell r="G512">
            <v>0.65</v>
          </cell>
          <cell r="L512">
            <v>1874.11</v>
          </cell>
        </row>
        <row r="513">
          <cell r="F513" t="str">
            <v>Yİ - DİLER-GUNNING MIX 93</v>
          </cell>
          <cell r="G513">
            <v>12</v>
          </cell>
          <cell r="L513">
            <v>5214.84</v>
          </cell>
        </row>
        <row r="514">
          <cell r="F514" t="str">
            <v>Yİ - DİLER-ROBOGUN SILVERMIX A15</v>
          </cell>
          <cell r="G514">
            <v>3</v>
          </cell>
          <cell r="L514">
            <v>1569.27</v>
          </cell>
        </row>
        <row r="515">
          <cell r="F515" t="str">
            <v>Yİ - İÇDAŞ-BİGA-ROBOGUN SILVERMIX</v>
          </cell>
          <cell r="G515">
            <v>13.5</v>
          </cell>
          <cell r="L515">
            <v>6192.45</v>
          </cell>
        </row>
        <row r="516">
          <cell r="F516" t="str">
            <v>Yİ - İÇDAŞ-BİGA-FERROFRIT 75 D</v>
          </cell>
          <cell r="G516">
            <v>9</v>
          </cell>
          <cell r="L516">
            <v>5939.01</v>
          </cell>
        </row>
        <row r="517">
          <cell r="F517" t="str">
            <v>Yİ - EREĞLİ DÇ-FERRO RUN</v>
          </cell>
          <cell r="G517">
            <v>20.64</v>
          </cell>
          <cell r="L517">
            <v>17756.39</v>
          </cell>
        </row>
        <row r="518">
          <cell r="F518" t="str">
            <v>Yİ - ÇOLAKOĞLU-FERROCON-11-M5-T-03</v>
          </cell>
          <cell r="G518">
            <v>4</v>
          </cell>
          <cell r="L518">
            <v>3186.8</v>
          </cell>
        </row>
        <row r="519">
          <cell r="F519" t="str">
            <v>Yİ - ÇOLAKOĞLU-FERROGUN SP</v>
          </cell>
          <cell r="G519">
            <v>7.7</v>
          </cell>
          <cell r="L519">
            <v>3024.25</v>
          </cell>
        </row>
        <row r="520">
          <cell r="F520" t="str">
            <v>Yİ - ÇOLAKOĞLU-FCM 20 MGO DÖVME HARCI</v>
          </cell>
          <cell r="G520">
            <v>0.6</v>
          </cell>
          <cell r="L520">
            <v>392.77</v>
          </cell>
        </row>
        <row r="521">
          <cell r="F521" t="str">
            <v>Yİ - ÇOLAKOĞLU-MONOBLOK YOLLUK</v>
          </cell>
          <cell r="G521">
            <v>0.4</v>
          </cell>
          <cell r="L521">
            <v>1149.55</v>
          </cell>
        </row>
        <row r="522">
          <cell r="F522" t="str">
            <v>Yİ - DİLER-FERROFRIT 75 D</v>
          </cell>
          <cell r="G522">
            <v>12</v>
          </cell>
          <cell r="L522">
            <v>8278.2000000000007</v>
          </cell>
        </row>
        <row r="523">
          <cell r="F523" t="str">
            <v>Yİ - DİLER-GUNNING MIX 93</v>
          </cell>
          <cell r="G523">
            <v>3</v>
          </cell>
          <cell r="L523">
            <v>1299.49</v>
          </cell>
        </row>
        <row r="524">
          <cell r="F524" t="str">
            <v>Yİ - EREGE-GUNNING MIX 93</v>
          </cell>
          <cell r="G524">
            <v>12</v>
          </cell>
          <cell r="L524">
            <v>4747.5600000000004</v>
          </cell>
        </row>
        <row r="525">
          <cell r="F525" t="str">
            <v>Yİ - EREGE-FERROCON-23-M6-H-02</v>
          </cell>
          <cell r="G525">
            <v>6</v>
          </cell>
          <cell r="L525">
            <v>5135.04</v>
          </cell>
        </row>
        <row r="526">
          <cell r="F526" t="str">
            <v>Yİ - EREGE-FCM 20 MGO DÖVME HARCI</v>
          </cell>
          <cell r="G526">
            <v>2</v>
          </cell>
          <cell r="L526">
            <v>1388.72</v>
          </cell>
        </row>
        <row r="527">
          <cell r="F527" t="str">
            <v>Yİ - YAZICI DÇ-FERROCON-32-M6-HT-06</v>
          </cell>
          <cell r="G527">
            <v>10</v>
          </cell>
          <cell r="L527">
            <v>11868.8</v>
          </cell>
        </row>
        <row r="528">
          <cell r="F528" t="str">
            <v>Yİ - KROMAN-GUNNING MIX 91</v>
          </cell>
          <cell r="G528">
            <v>24</v>
          </cell>
          <cell r="L528">
            <v>9185.0400000000009</v>
          </cell>
        </row>
        <row r="529">
          <cell r="F529" t="str">
            <v>Yİ - DİLER-FERROCON-12-M6-H-05-T</v>
          </cell>
          <cell r="G529">
            <v>5</v>
          </cell>
          <cell r="L529">
            <v>8356.6</v>
          </cell>
        </row>
        <row r="530">
          <cell r="F530" t="str">
            <v>Yİ - DİLER-GUNNING MIX 93</v>
          </cell>
          <cell r="G530">
            <v>4.5</v>
          </cell>
          <cell r="L530">
            <v>1962</v>
          </cell>
        </row>
        <row r="531">
          <cell r="F531" t="str">
            <v>Yİ - DİLER-FERROCAST 75</v>
          </cell>
          <cell r="G531">
            <v>5</v>
          </cell>
          <cell r="L531">
            <v>3496.05</v>
          </cell>
        </row>
        <row r="532">
          <cell r="F532" t="str">
            <v>Yİ - DİLER-ROBOGUN SILVERMIX A15</v>
          </cell>
          <cell r="G532">
            <v>6</v>
          </cell>
          <cell r="L532">
            <v>3148.86</v>
          </cell>
        </row>
        <row r="533">
          <cell r="F533" t="str">
            <v>Yİ - EREĞLİ DÇ-FERRO RUN</v>
          </cell>
          <cell r="G533">
            <v>12.84</v>
          </cell>
          <cell r="L533">
            <v>10972.94</v>
          </cell>
        </row>
        <row r="534">
          <cell r="F534" t="str">
            <v>Yİ - EREĞLİ DÇ-CURUF KANALI DÖVME HARCI (405 EUR)</v>
          </cell>
          <cell r="G534">
            <v>4.875</v>
          </cell>
          <cell r="L534">
            <v>3171.24</v>
          </cell>
        </row>
        <row r="535">
          <cell r="F535" t="str">
            <v>Yİ - EREĞLİ DÇ-TANDİŞ ÇARPMA BÖLGESİ HAVUZU</v>
          </cell>
          <cell r="G535">
            <v>42</v>
          </cell>
          <cell r="L535">
            <v>6287.82</v>
          </cell>
        </row>
        <row r="536">
          <cell r="F536" t="str">
            <v>Yİ - ÇOLAKOĞLU-FERROCON-11-M5-T-03</v>
          </cell>
          <cell r="G536">
            <v>7</v>
          </cell>
          <cell r="L536">
            <v>5583.55</v>
          </cell>
        </row>
        <row r="537">
          <cell r="F537" t="str">
            <v>Yİ - ÇOLAKOĞLU-FERROGUN SP</v>
          </cell>
          <cell r="G537">
            <v>2.95</v>
          </cell>
          <cell r="L537">
            <v>1160.03</v>
          </cell>
        </row>
        <row r="538">
          <cell r="F538" t="str">
            <v>Yİ - ÇOLAKOĞLU-MONOBLOK YOLLUK</v>
          </cell>
          <cell r="G538">
            <v>0.5</v>
          </cell>
          <cell r="L538">
            <v>1438.65</v>
          </cell>
        </row>
        <row r="539">
          <cell r="F539" t="str">
            <v>YD - DUFERCO-STARTER TÜP M13</v>
          </cell>
          <cell r="G539">
            <v>360</v>
          </cell>
          <cell r="L539">
            <v>3332.82</v>
          </cell>
        </row>
        <row r="540">
          <cell r="F540" t="str">
            <v>YD - DUFERCO-STARTER TÜP M18</v>
          </cell>
          <cell r="G540">
            <v>360</v>
          </cell>
          <cell r="L540">
            <v>3673.02</v>
          </cell>
        </row>
        <row r="541">
          <cell r="F541" t="str">
            <v>Yİ - ASİL ÇELİK-FERROCON SGS 75</v>
          </cell>
          <cell r="G541">
            <v>18.75</v>
          </cell>
          <cell r="L541">
            <v>7378.5</v>
          </cell>
        </row>
        <row r="542">
          <cell r="F542" t="str">
            <v>Yİ - İZMİR DÇ-GUNNING MIX 93</v>
          </cell>
          <cell r="G542">
            <v>22.25</v>
          </cell>
          <cell r="L542">
            <v>8398.49</v>
          </cell>
        </row>
        <row r="543">
          <cell r="F543" t="str">
            <v>Yİ - NURSAN-GUNNING MIX 85</v>
          </cell>
          <cell r="G543">
            <v>24</v>
          </cell>
          <cell r="L543">
            <v>8172.24</v>
          </cell>
        </row>
        <row r="544">
          <cell r="F544" t="str">
            <v>Yİ - EREĞLİ DÇ-FERROCON SGS 85</v>
          </cell>
          <cell r="G544">
            <v>25.85</v>
          </cell>
          <cell r="L544">
            <v>9735.11</v>
          </cell>
        </row>
        <row r="545">
          <cell r="F545" t="str">
            <v>Yİ - EREĞLİ DÇ-KONVERTÖR YAMA MAKİNASI</v>
          </cell>
          <cell r="G545">
            <v>1</v>
          </cell>
          <cell r="L545">
            <v>136799</v>
          </cell>
        </row>
        <row r="546">
          <cell r="F546" t="str">
            <v>Yİ - EREĞLİ DÇ-FERRO RUN</v>
          </cell>
          <cell r="G546">
            <v>11.34</v>
          </cell>
          <cell r="L546">
            <v>9672.91</v>
          </cell>
        </row>
        <row r="547">
          <cell r="F547" t="str">
            <v>Yİ - KROMAN-FERROCON-10-M6-H-01</v>
          </cell>
          <cell r="G547">
            <v>5</v>
          </cell>
          <cell r="L547">
            <v>7564.2</v>
          </cell>
        </row>
        <row r="548">
          <cell r="F548" t="str">
            <v>Yİ - KROMAN-FERROCON-10-M6-H-01</v>
          </cell>
          <cell r="G548">
            <v>5</v>
          </cell>
          <cell r="L548">
            <v>7564.2</v>
          </cell>
        </row>
        <row r="549">
          <cell r="F549" t="str">
            <v>Yİ - DİLER-GUNNING MIX 93</v>
          </cell>
          <cell r="G549">
            <v>7.5</v>
          </cell>
          <cell r="L549">
            <v>3259.05</v>
          </cell>
        </row>
        <row r="550">
          <cell r="F550" t="str">
            <v>Yİ - DİLER-ROBOGUN SILVERMIX A15</v>
          </cell>
          <cell r="G550">
            <v>7.5</v>
          </cell>
          <cell r="L550">
            <v>3922.95</v>
          </cell>
        </row>
        <row r="551">
          <cell r="F551" t="str">
            <v>Yİ - İÇDAŞ-BİGA-FERROCON SGS 85</v>
          </cell>
          <cell r="G551">
            <v>20</v>
          </cell>
          <cell r="L551">
            <v>8208</v>
          </cell>
        </row>
        <row r="552">
          <cell r="F552" t="str">
            <v>Yİ - YAZICI DÇ-GUNNING MIX 93</v>
          </cell>
          <cell r="G552">
            <v>24</v>
          </cell>
          <cell r="L552">
            <v>10235.76</v>
          </cell>
        </row>
        <row r="553">
          <cell r="F553" t="str">
            <v>Yİ - ÇEBİTAŞ-FERROGUN SP</v>
          </cell>
          <cell r="G553">
            <v>21</v>
          </cell>
          <cell r="L553">
            <v>9294.39</v>
          </cell>
        </row>
        <row r="554">
          <cell r="F554" t="str">
            <v>Yİ - HABAŞ-GUNNING MIX</v>
          </cell>
          <cell r="G554">
            <v>25.5</v>
          </cell>
          <cell r="L554">
            <v>8168.67</v>
          </cell>
        </row>
        <row r="555">
          <cell r="F555" t="str">
            <v>Yİ - ÇOLAKOĞLU-FERROCON-11-M5-T-03</v>
          </cell>
          <cell r="G555">
            <v>2</v>
          </cell>
          <cell r="L555">
            <v>1599.1</v>
          </cell>
        </row>
        <row r="556">
          <cell r="F556" t="str">
            <v>Yİ - ÇOLAKOĞLU-FERROGUN SP</v>
          </cell>
          <cell r="G556">
            <v>13</v>
          </cell>
          <cell r="L556">
            <v>5124.21</v>
          </cell>
        </row>
        <row r="557">
          <cell r="F557" t="str">
            <v>Yİ - İZMİR DÇ-GUNNING MIX 93</v>
          </cell>
          <cell r="G557">
            <v>21</v>
          </cell>
          <cell r="L557">
            <v>7945.35</v>
          </cell>
        </row>
        <row r="558">
          <cell r="F558" t="str">
            <v>Yİ - EKİNCİLER-ROBOGUN SILVERMIX</v>
          </cell>
          <cell r="G558">
            <v>24</v>
          </cell>
          <cell r="L558">
            <v>12171.6</v>
          </cell>
        </row>
        <row r="559">
          <cell r="F559" t="str">
            <v>Yİ - ASİL ÇELİK-ROBOGUN SILVERMIX</v>
          </cell>
          <cell r="G559">
            <v>25.5</v>
          </cell>
          <cell r="L559">
            <v>10058.48</v>
          </cell>
        </row>
        <row r="560">
          <cell r="F560" t="str">
            <v>Yİ - YEŞİLYURT-GUNNING MIX 85</v>
          </cell>
          <cell r="G560">
            <v>24</v>
          </cell>
          <cell r="L560">
            <v>9389.52</v>
          </cell>
        </row>
        <row r="561">
          <cell r="F561" t="str">
            <v>Yİ - İÇDAŞ-İST-GUNNING MIX</v>
          </cell>
          <cell r="G561">
            <v>21</v>
          </cell>
          <cell r="L561">
            <v>8993.4599999999991</v>
          </cell>
        </row>
        <row r="562">
          <cell r="F562" t="str">
            <v>Yİ - YAZICI DÇ-FERROFLOW LS 101</v>
          </cell>
          <cell r="G562">
            <v>12</v>
          </cell>
          <cell r="L562">
            <v>1700.16</v>
          </cell>
        </row>
        <row r="563">
          <cell r="F563" t="str">
            <v>Yİ - EREĞLİ DÇ-FERROCLAY 23</v>
          </cell>
          <cell r="G563">
            <v>12</v>
          </cell>
          <cell r="L563">
            <v>11201.4</v>
          </cell>
        </row>
        <row r="564">
          <cell r="F564" t="str">
            <v>Yİ - EREĞLİ DÇ-FERRO RUN</v>
          </cell>
          <cell r="G564">
            <v>31.14</v>
          </cell>
          <cell r="L564">
            <v>26355.03</v>
          </cell>
        </row>
        <row r="565">
          <cell r="F565" t="str">
            <v>Yİ - EREĞLİ DÇ-FERROCON SGS 85</v>
          </cell>
          <cell r="G565">
            <v>46.27</v>
          </cell>
          <cell r="L565">
            <v>17431.759999999998</v>
          </cell>
        </row>
        <row r="566">
          <cell r="F566" t="str">
            <v>YD - MAGOTTEAUX-KİRA - ALİVA MACHINE AL-246,5</v>
          </cell>
          <cell r="G566">
            <v>1</v>
          </cell>
          <cell r="L566">
            <v>721.04</v>
          </cell>
        </row>
        <row r="567">
          <cell r="F567" t="str">
            <v>Yİ - KAPTAN-FERROCON-19-M6-H-02</v>
          </cell>
          <cell r="G567">
            <v>10</v>
          </cell>
          <cell r="L567">
            <v>15053.8</v>
          </cell>
        </row>
        <row r="568">
          <cell r="F568" t="str">
            <v>Yİ - KAPTAN-FCM 60 MGO YAPIŞTIRMA HARCI</v>
          </cell>
          <cell r="G568">
            <v>3</v>
          </cell>
          <cell r="L568">
            <v>2076.9</v>
          </cell>
        </row>
        <row r="569">
          <cell r="F569" t="str">
            <v>Yİ - İSDEMİR-FERROGUN 85 L</v>
          </cell>
          <cell r="G569">
            <v>25.75</v>
          </cell>
          <cell r="L569">
            <v>11400.81</v>
          </cell>
        </row>
        <row r="570">
          <cell r="F570" t="str">
            <v>Yİ - İSDEMİR-FERROGUN 85 L</v>
          </cell>
          <cell r="G570">
            <v>25.95</v>
          </cell>
          <cell r="L570">
            <v>11489.36</v>
          </cell>
        </row>
        <row r="571">
          <cell r="F571" t="str">
            <v>Yİ - DİLER-GUNNING MIX 93</v>
          </cell>
          <cell r="G571">
            <v>15</v>
          </cell>
          <cell r="L571">
            <v>6520.5</v>
          </cell>
        </row>
        <row r="572">
          <cell r="F572" t="str">
            <v>Yİ - İÇDAŞ-BİGA-ROBOGUN SILVERMIX</v>
          </cell>
          <cell r="G572">
            <v>25.5</v>
          </cell>
          <cell r="L572">
            <v>11700.68</v>
          </cell>
        </row>
        <row r="573">
          <cell r="F573" t="str">
            <v>YD - MEGASTEEL-FERRO DC-HR</v>
          </cell>
          <cell r="G573">
            <v>40</v>
          </cell>
          <cell r="L573">
            <v>42670.32</v>
          </cell>
        </row>
        <row r="574">
          <cell r="F574" t="str">
            <v>Yİ - DİLER-GUNNING MIX 93</v>
          </cell>
          <cell r="G574">
            <v>15</v>
          </cell>
          <cell r="L574">
            <v>6520.5</v>
          </cell>
        </row>
        <row r="575">
          <cell r="F575" t="str">
            <v>Yİ - ÇOLAKOĞLU-FERROCON-11-M5-T-03</v>
          </cell>
          <cell r="G575">
            <v>8</v>
          </cell>
          <cell r="L575">
            <v>6396.4</v>
          </cell>
        </row>
        <row r="576">
          <cell r="F576" t="str">
            <v>Yİ - ÇOLAKOĞLU-MONOBLOK YOLLUK</v>
          </cell>
          <cell r="G576">
            <v>0.2</v>
          </cell>
          <cell r="L576">
            <v>576.83000000000004</v>
          </cell>
        </row>
        <row r="577">
          <cell r="F577" t="str">
            <v>Yİ - ÇOLAKOĞLU-FERROGUN SP</v>
          </cell>
          <cell r="G577">
            <v>16.3</v>
          </cell>
          <cell r="L577">
            <v>6424.97</v>
          </cell>
        </row>
        <row r="578">
          <cell r="F578" t="str">
            <v>Yİ - ÇOLAKOĞLU-FERROCON-11-M5-T-03</v>
          </cell>
          <cell r="G578">
            <v>6</v>
          </cell>
          <cell r="L578">
            <v>4797.3</v>
          </cell>
        </row>
        <row r="579">
          <cell r="F579" t="str">
            <v>Yİ - EGE ÇELİK-FCM 20 MGO DÖVME HARCI</v>
          </cell>
          <cell r="G579">
            <v>2</v>
          </cell>
          <cell r="L579">
            <v>988.54</v>
          </cell>
        </row>
        <row r="580">
          <cell r="F580" t="str">
            <v>Yİ - EGE ÇELİK-FERROCON SGS 80</v>
          </cell>
          <cell r="G580">
            <v>50</v>
          </cell>
          <cell r="L580">
            <v>20527.5</v>
          </cell>
        </row>
        <row r="581">
          <cell r="F581" t="str">
            <v>Yİ - EGE ÇELİK-ROBOGUN SILVERMIX</v>
          </cell>
          <cell r="G581">
            <v>51</v>
          </cell>
          <cell r="L581">
            <v>24633</v>
          </cell>
        </row>
        <row r="582">
          <cell r="F582" t="str">
            <v>Yİ - EREĞLİ DÇ-FERROCON SGS 85</v>
          </cell>
          <cell r="G582">
            <v>44.08</v>
          </cell>
          <cell r="L582">
            <v>16752.16</v>
          </cell>
        </row>
        <row r="583">
          <cell r="F583" t="str">
            <v>Yİ - ÇOLAKOĞLU-FERROCON-11-M5-T-03</v>
          </cell>
          <cell r="G583">
            <v>6</v>
          </cell>
          <cell r="L583">
            <v>4839.18</v>
          </cell>
        </row>
        <row r="584">
          <cell r="F584" t="str">
            <v>Yİ - ÇOLAKOĞLU-FCM 20 MGO DÖVME HARCI</v>
          </cell>
          <cell r="G584">
            <v>0.55000000000000004</v>
          </cell>
          <cell r="L584">
            <v>364.47</v>
          </cell>
        </row>
        <row r="585">
          <cell r="F585" t="str">
            <v>Yİ - YEŞİLYURT-FERROCON-41-S5-0-05</v>
          </cell>
          <cell r="G585">
            <v>30</v>
          </cell>
          <cell r="L585">
            <v>8526.6</v>
          </cell>
        </row>
        <row r="586">
          <cell r="F586" t="str">
            <v>Yİ - YEŞİLYURT-FCM 10 SİLİKA DÖVME HARCI</v>
          </cell>
          <cell r="G586">
            <v>1.5</v>
          </cell>
          <cell r="L586">
            <v>779.57</v>
          </cell>
        </row>
        <row r="587">
          <cell r="F587" t="str">
            <v>Yİ - YEŞİLYURT-FCM 20 MGO DÖVME HARCI</v>
          </cell>
          <cell r="G587">
            <v>0.6</v>
          </cell>
          <cell r="L587">
            <v>384.91</v>
          </cell>
        </row>
        <row r="588">
          <cell r="F588" t="str">
            <v>Yİ - YEŞİLYURT-FCM 50 SİLİKA YAPIŞTIRMA HARCI</v>
          </cell>
          <cell r="G588">
            <v>0.45500000000000002</v>
          </cell>
          <cell r="L588">
            <v>277.11</v>
          </cell>
        </row>
        <row r="589">
          <cell r="F589" t="str">
            <v>Yİ - YEŞİLYURT-FCM 60 MGO YAPIŞTIRMA HARCI</v>
          </cell>
          <cell r="G589">
            <v>0.2</v>
          </cell>
          <cell r="L589">
            <v>136.41999999999999</v>
          </cell>
        </row>
        <row r="590">
          <cell r="F590" t="str">
            <v>Yİ - KROMAN-GUNNING MIX 91</v>
          </cell>
          <cell r="G590">
            <v>24</v>
          </cell>
          <cell r="L590">
            <v>9237.84</v>
          </cell>
        </row>
        <row r="591">
          <cell r="F591" t="str">
            <v>Yİ - İSDEMİR-FERROGUN 85 L</v>
          </cell>
          <cell r="G591">
            <v>25.9</v>
          </cell>
          <cell r="L591">
            <v>11607.6</v>
          </cell>
        </row>
        <row r="592">
          <cell r="F592" t="str">
            <v>Yİ - ÇOLAKOĞLU-FERROCON-11-M5-T-03</v>
          </cell>
          <cell r="G592">
            <v>4</v>
          </cell>
          <cell r="L592">
            <v>3234.92</v>
          </cell>
        </row>
        <row r="593">
          <cell r="F593" t="str">
            <v>Yİ - ÇOLAKOĞLU-FERROGUN SP</v>
          </cell>
          <cell r="G593">
            <v>9.9</v>
          </cell>
          <cell r="L593">
            <v>3947.03</v>
          </cell>
        </row>
        <row r="594">
          <cell r="F594" t="str">
            <v>YD - AL EZZ STEEL REBARS-FERROCON SGS 88</v>
          </cell>
          <cell r="G594">
            <v>20</v>
          </cell>
          <cell r="L594">
            <v>9398.2000000000007</v>
          </cell>
        </row>
        <row r="595">
          <cell r="F595" t="str">
            <v>YD - MALAYAWATA-FERROGUN SP</v>
          </cell>
          <cell r="G595">
            <v>42</v>
          </cell>
          <cell r="L595">
            <v>22555.68</v>
          </cell>
        </row>
        <row r="596">
          <cell r="F596" t="str">
            <v>Yİ - İZMİR DÇ-GUNNING MIX 93</v>
          </cell>
          <cell r="G596">
            <v>21</v>
          </cell>
          <cell r="L596">
            <v>8036.7</v>
          </cell>
        </row>
        <row r="597">
          <cell r="F597" t="str">
            <v>Yİ - YAZICI DÇ-FILLMIX</v>
          </cell>
          <cell r="G597">
            <v>9</v>
          </cell>
          <cell r="L597">
            <v>4690.08</v>
          </cell>
        </row>
        <row r="598">
          <cell r="F598" t="str">
            <v>Yİ - YAZICI DÇ-ROBOGUN SILVERMIX</v>
          </cell>
          <cell r="G598">
            <v>12</v>
          </cell>
          <cell r="L598">
            <v>6253.44</v>
          </cell>
        </row>
        <row r="599">
          <cell r="F599" t="str">
            <v>Yİ - YAZICI DÇ-FCM 60 MGO YAPIŞTIRMA HARCI</v>
          </cell>
          <cell r="G599">
            <v>1</v>
          </cell>
          <cell r="L599">
            <v>667.69</v>
          </cell>
        </row>
        <row r="600">
          <cell r="F600" t="str">
            <v>Yİ - DİLER-GUNNING MIX 93</v>
          </cell>
          <cell r="G600">
            <v>15</v>
          </cell>
          <cell r="L600">
            <v>6600.3</v>
          </cell>
        </row>
        <row r="601">
          <cell r="F601" t="str">
            <v>Yİ - HABAŞ-GUNNING MIX</v>
          </cell>
          <cell r="G601">
            <v>25.5</v>
          </cell>
          <cell r="L601">
            <v>8271.69</v>
          </cell>
        </row>
        <row r="602">
          <cell r="F602" t="str">
            <v>Yİ - EREĞLİ DÇ-FERROCLAY 23</v>
          </cell>
          <cell r="G602">
            <v>106.8</v>
          </cell>
          <cell r="L602">
            <v>99692.46</v>
          </cell>
        </row>
        <row r="603">
          <cell r="F603" t="str">
            <v>Yİ - ÇOLAKOĞLU-FERROCON-11-M5-T-03</v>
          </cell>
          <cell r="G603">
            <v>6</v>
          </cell>
          <cell r="L603">
            <v>4811.9399999999996</v>
          </cell>
        </row>
        <row r="604">
          <cell r="F604" t="str">
            <v>Yİ - ÇOLAKOĞLU-MONOBLOK YOLLUK</v>
          </cell>
          <cell r="G604">
            <v>0.45</v>
          </cell>
          <cell r="L604">
            <v>1301.83</v>
          </cell>
        </row>
        <row r="605">
          <cell r="F605" t="str">
            <v>Yİ - ÇOLAKOĞLU-FERROGUN SP</v>
          </cell>
          <cell r="G605">
            <v>4.95</v>
          </cell>
          <cell r="L605">
            <v>1957.08</v>
          </cell>
        </row>
        <row r="606">
          <cell r="F606" t="str">
            <v>YD - INDUSTEEL-WEIR CAST ON SHAPES-MGO</v>
          </cell>
          <cell r="G606">
            <v>90</v>
          </cell>
          <cell r="L606">
            <v>8378.1</v>
          </cell>
        </row>
        <row r="607">
          <cell r="F607" t="str">
            <v>YD - SONASID-FERROCON MGO TUNDISH BOARD</v>
          </cell>
          <cell r="G607">
            <v>30</v>
          </cell>
          <cell r="L607">
            <v>47427.75</v>
          </cell>
        </row>
        <row r="608">
          <cell r="F608" t="str">
            <v>YD - SONASID-FCM 20 DÖVME HARCI</v>
          </cell>
          <cell r="G608">
            <v>3</v>
          </cell>
          <cell r="L608">
            <v>2070.4499999999998</v>
          </cell>
        </row>
        <row r="609">
          <cell r="F609" t="str">
            <v>YD - SONASID-FCM 60 YAPIŞTIRMA HARCI</v>
          </cell>
          <cell r="G609">
            <v>2</v>
          </cell>
          <cell r="L609">
            <v>1540.8</v>
          </cell>
        </row>
        <row r="610">
          <cell r="F610" t="str">
            <v>YD - SONASID-WELLBLOCK</v>
          </cell>
          <cell r="G610">
            <v>150</v>
          </cell>
          <cell r="L610">
            <v>7222.5</v>
          </cell>
        </row>
        <row r="611">
          <cell r="F611" t="str">
            <v>YD - SONASID-FILLMIX TM</v>
          </cell>
          <cell r="G611">
            <v>9</v>
          </cell>
          <cell r="L611">
            <v>5344.65</v>
          </cell>
        </row>
        <row r="612">
          <cell r="F612" t="str">
            <v>YD - SONASID-TRUMPET</v>
          </cell>
          <cell r="G612">
            <v>150</v>
          </cell>
          <cell r="L612">
            <v>818.55</v>
          </cell>
        </row>
        <row r="613">
          <cell r="F613" t="str">
            <v>Yİ - HABAŞ-GUNNING MIX</v>
          </cell>
          <cell r="G613">
            <v>25.5</v>
          </cell>
          <cell r="L613">
            <v>8196.7199999999993</v>
          </cell>
        </row>
        <row r="614">
          <cell r="F614" t="str">
            <v>Yİ - ÇEBİTAŞ-FERROCON-22-M6-H-07</v>
          </cell>
          <cell r="G614">
            <v>20</v>
          </cell>
          <cell r="L614">
            <v>20672</v>
          </cell>
        </row>
        <row r="615">
          <cell r="F615" t="str">
            <v>Yİ - ASİL ÇELİK-FERROCON SGS 75</v>
          </cell>
          <cell r="G615">
            <v>20</v>
          </cell>
          <cell r="L615">
            <v>7913.6</v>
          </cell>
        </row>
        <row r="616">
          <cell r="F616" t="str">
            <v>Yİ - YEŞİLYURT-GUNNING MIX 85</v>
          </cell>
          <cell r="G616">
            <v>25.5</v>
          </cell>
          <cell r="L616">
            <v>10007.48</v>
          </cell>
        </row>
        <row r="617">
          <cell r="F617" t="str">
            <v>Yİ - YAZICI DÇ-ROBOGUN SILVERMIX</v>
          </cell>
          <cell r="G617">
            <v>24</v>
          </cell>
          <cell r="L617">
            <v>12403.2</v>
          </cell>
        </row>
        <row r="618">
          <cell r="F618" t="str">
            <v>Yİ - DİLER-GUNNING MIX 93</v>
          </cell>
          <cell r="G618">
            <v>3</v>
          </cell>
          <cell r="L618">
            <v>1306.29</v>
          </cell>
        </row>
        <row r="619">
          <cell r="F619" t="str">
            <v>Yİ - DİLER-ROBOGUN SILVERMIX A15</v>
          </cell>
          <cell r="G619">
            <v>12</v>
          </cell>
          <cell r="L619">
            <v>6289.56</v>
          </cell>
        </row>
        <row r="620">
          <cell r="F620" t="str">
            <v>Yİ - ÇOLAKOĞLU-FERROCON-11-M5-T-03</v>
          </cell>
          <cell r="G620">
            <v>4</v>
          </cell>
          <cell r="L620">
            <v>3203.6</v>
          </cell>
        </row>
        <row r="621">
          <cell r="F621" t="str">
            <v>Yİ - ÇOLAKOĞLU-FERROGUN SP</v>
          </cell>
          <cell r="G621">
            <v>11.95</v>
          </cell>
          <cell r="L621">
            <v>4718.22</v>
          </cell>
        </row>
        <row r="622">
          <cell r="F622" t="str">
            <v>Yİ - ASSAN-INSULATION CEMENT</v>
          </cell>
          <cell r="G622">
            <v>0.5</v>
          </cell>
          <cell r="L622">
            <v>1161.1500000000001</v>
          </cell>
        </row>
        <row r="623">
          <cell r="F623" t="str">
            <v>Yİ - İÇDAŞ-İST-GUNNING MIX</v>
          </cell>
          <cell r="G623">
            <v>21</v>
          </cell>
          <cell r="L623">
            <v>9008.58</v>
          </cell>
        </row>
        <row r="624">
          <cell r="F624" t="str">
            <v>Yİ - HABAŞ-GUNNING MIX</v>
          </cell>
          <cell r="G624">
            <v>25.5</v>
          </cell>
          <cell r="L624">
            <v>8185.5</v>
          </cell>
        </row>
        <row r="625">
          <cell r="F625" t="str">
            <v>Yİ - ÇEBİTAŞ-FERROGUN SP</v>
          </cell>
          <cell r="G625">
            <v>21</v>
          </cell>
          <cell r="L625">
            <v>9313.2900000000009</v>
          </cell>
        </row>
        <row r="626">
          <cell r="F626" t="str">
            <v>Yİ - YAZICI DÇ-FERROFRIT 80 HR</v>
          </cell>
          <cell r="G626">
            <v>16.5</v>
          </cell>
          <cell r="L626">
            <v>10111.700000000001</v>
          </cell>
        </row>
        <row r="627">
          <cell r="F627" t="str">
            <v>Yİ - YAZICI DÇ-ROBOGUN SILVERMIX</v>
          </cell>
          <cell r="G627">
            <v>7.5</v>
          </cell>
          <cell r="L627">
            <v>3870.45</v>
          </cell>
        </row>
        <row r="628">
          <cell r="F628" t="str">
            <v>Yİ - EREĞLİ DÇ-TANDİŞ ÇARPMA BÖLGESİ HAVUZU</v>
          </cell>
          <cell r="G628">
            <v>30</v>
          </cell>
          <cell r="L628">
            <v>4491.3</v>
          </cell>
        </row>
        <row r="629">
          <cell r="F629" t="str">
            <v>Yİ - EREĞLİ DÇ-FERROCLAY 23</v>
          </cell>
          <cell r="G629">
            <v>31.2</v>
          </cell>
          <cell r="L629">
            <v>29123.64</v>
          </cell>
        </row>
        <row r="630">
          <cell r="F630" t="str">
            <v>Yİ - EREĞLİ DÇ-FERROCLAY 23</v>
          </cell>
          <cell r="G630">
            <v>3.65</v>
          </cell>
          <cell r="L630">
            <v>3414.1</v>
          </cell>
        </row>
        <row r="631">
          <cell r="F631" t="str">
            <v>Yİ - ÇOLAKOĞLU-FERROCON-11-M5-T-03</v>
          </cell>
          <cell r="G631">
            <v>3</v>
          </cell>
          <cell r="L631">
            <v>2402.6999999999998</v>
          </cell>
        </row>
        <row r="632">
          <cell r="F632" t="str">
            <v>Yİ - ÇOLAKOĞLU-FERROGUN SP</v>
          </cell>
          <cell r="G632">
            <v>9.9499999999999993</v>
          </cell>
          <cell r="L632">
            <v>3928.56</v>
          </cell>
        </row>
        <row r="633">
          <cell r="F633" t="str">
            <v>Yİ - ÇOLAKOĞLU-MONOBLOK YOLLUK</v>
          </cell>
          <cell r="G633">
            <v>0.7</v>
          </cell>
          <cell r="L633">
            <v>2022.3</v>
          </cell>
        </row>
        <row r="634">
          <cell r="F634" t="str">
            <v>YD - EGYPTIAN AMERICAN-DELTABOX</v>
          </cell>
          <cell r="G634">
            <v>16</v>
          </cell>
          <cell r="L634">
            <v>21902.799999999999</v>
          </cell>
        </row>
        <row r="635">
          <cell r="F635" t="str">
            <v>Yİ - İÇDAŞ-İST-FERROCON SGS 85</v>
          </cell>
          <cell r="G635">
            <v>20</v>
          </cell>
          <cell r="L635">
            <v>8224.7999999999993</v>
          </cell>
        </row>
        <row r="636">
          <cell r="F636" t="str">
            <v>Yİ - İÇDAŞ-BİGA-FERROFRIT 75 D</v>
          </cell>
          <cell r="G636">
            <v>21</v>
          </cell>
          <cell r="L636">
            <v>13885.2</v>
          </cell>
        </row>
        <row r="637">
          <cell r="F637" t="str">
            <v>Yİ - YAZICI DÇ-GUNNING MIX 93</v>
          </cell>
          <cell r="G637">
            <v>18</v>
          </cell>
          <cell r="L637">
            <v>7692.66</v>
          </cell>
        </row>
        <row r="638">
          <cell r="F638" t="str">
            <v>Yİ - YAZICI DÇ-FERROFRIT 77 D</v>
          </cell>
          <cell r="G638">
            <v>7.5</v>
          </cell>
          <cell r="L638">
            <v>5442.9</v>
          </cell>
        </row>
        <row r="639">
          <cell r="F639" t="str">
            <v>Yİ - ASİL ÇELİK-ROBOGUN SILVERMIX</v>
          </cell>
          <cell r="G639">
            <v>21</v>
          </cell>
          <cell r="L639">
            <v>8297.31</v>
          </cell>
        </row>
        <row r="640">
          <cell r="F640" t="str">
            <v>Yİ - DİLER-FERROCAST 75</v>
          </cell>
          <cell r="G640">
            <v>3</v>
          </cell>
          <cell r="L640">
            <v>2094.9</v>
          </cell>
        </row>
        <row r="641">
          <cell r="F641" t="str">
            <v>Yİ - DİLER-FERROFRIT 77 D</v>
          </cell>
          <cell r="G641">
            <v>12</v>
          </cell>
          <cell r="L641">
            <v>8902.08</v>
          </cell>
        </row>
        <row r="642">
          <cell r="F642" t="str">
            <v>Yİ - DİLER-GUNNING MIX 93</v>
          </cell>
          <cell r="G642">
            <v>6</v>
          </cell>
          <cell r="L642">
            <v>2612.58</v>
          </cell>
        </row>
        <row r="643">
          <cell r="F643" t="str">
            <v>Yİ - EGE ÇELİK-FCM 20 MGO DÖVME HARCI</v>
          </cell>
          <cell r="G643">
            <v>1</v>
          </cell>
          <cell r="L643">
            <v>495.1</v>
          </cell>
        </row>
        <row r="644">
          <cell r="F644" t="str">
            <v>Yİ - EGE ÇELİK-TANCON-24-M-01</v>
          </cell>
          <cell r="G644">
            <v>200</v>
          </cell>
          <cell r="L644">
            <v>636</v>
          </cell>
        </row>
        <row r="645">
          <cell r="F645" t="str">
            <v>Yİ - EGE ÇELİK-FERROCON SGS 80</v>
          </cell>
          <cell r="G645">
            <v>23.75</v>
          </cell>
          <cell r="L645">
            <v>9766.9500000000007</v>
          </cell>
        </row>
        <row r="646">
          <cell r="F646" t="str">
            <v>Yİ - EGE ÇELİK-ROBOGUN SILVERMIX</v>
          </cell>
          <cell r="G646">
            <v>24</v>
          </cell>
          <cell r="L646">
            <v>11611.44</v>
          </cell>
        </row>
        <row r="647">
          <cell r="F647" t="str">
            <v>Yİ - ÇOLAKOĞLU-FERROCON-11-M5-T-03</v>
          </cell>
          <cell r="G647">
            <v>4</v>
          </cell>
          <cell r="L647">
            <v>3214.56</v>
          </cell>
        </row>
        <row r="648">
          <cell r="F648" t="str">
            <v>Yİ - ÇOLAKOĞLU-FERROGUN SP</v>
          </cell>
          <cell r="G648">
            <v>10</v>
          </cell>
          <cell r="L648">
            <v>3961.8</v>
          </cell>
        </row>
        <row r="649">
          <cell r="F649" t="str">
            <v>Yİ - ÇOLAKOĞLU-FCM 20 MGO DÖVME HARCI</v>
          </cell>
          <cell r="G649">
            <v>0.6</v>
          </cell>
          <cell r="L649">
            <v>396.19</v>
          </cell>
        </row>
        <row r="650">
          <cell r="F650" t="str">
            <v>Yİ - DİLER-GUNNING MIX 93</v>
          </cell>
          <cell r="G650">
            <v>15</v>
          </cell>
          <cell r="L650">
            <v>6554.1</v>
          </cell>
        </row>
        <row r="651">
          <cell r="F651" t="str">
            <v>Yİ - İÇDAŞ-BİGA-FERROFRIT 75 D</v>
          </cell>
          <cell r="G651">
            <v>21</v>
          </cell>
          <cell r="L651">
            <v>13933.71</v>
          </cell>
        </row>
        <row r="652">
          <cell r="F652" t="str">
            <v>Yİ - KROMAN-GUNNING MIX 91</v>
          </cell>
          <cell r="G652">
            <v>24</v>
          </cell>
          <cell r="L652">
            <v>9204.9599999999991</v>
          </cell>
        </row>
        <row r="653">
          <cell r="F653" t="str">
            <v>Yİ - İZMİR DÇ-FERROCON-21-M7-H-05</v>
          </cell>
          <cell r="G653">
            <v>10</v>
          </cell>
          <cell r="L653">
            <v>15535.7</v>
          </cell>
        </row>
        <row r="654">
          <cell r="F654" t="str">
            <v>Yİ - HABAŞ-FERROCON-20-M6-T-01</v>
          </cell>
          <cell r="G654">
            <v>12</v>
          </cell>
          <cell r="L654">
            <v>13054.56</v>
          </cell>
        </row>
        <row r="655">
          <cell r="F655" t="str">
            <v>YD - AGC-INDUSTRIES-FERROCON SGS 85</v>
          </cell>
          <cell r="G655">
            <v>120</v>
          </cell>
          <cell r="L655">
            <v>71607.360000000001</v>
          </cell>
        </row>
        <row r="656">
          <cell r="F656" t="str">
            <v>YD - UNITED-FERROCON MODIFIED TUNDISH BOARDS</v>
          </cell>
          <cell r="G656">
            <v>246</v>
          </cell>
          <cell r="L656">
            <v>40035.019999999997</v>
          </cell>
        </row>
        <row r="657">
          <cell r="F657" t="str">
            <v>YD - UNITED-FCM 10 SİLİKA DÖVME HARCI</v>
          </cell>
          <cell r="G657">
            <v>12</v>
          </cell>
          <cell r="L657">
            <v>4800.95</v>
          </cell>
        </row>
        <row r="658">
          <cell r="F658" t="str">
            <v>YD - UNITED-FCM 50 SİLİKA YAPIŞTIRMA HARCI</v>
          </cell>
          <cell r="G658">
            <v>6.6150000000000002</v>
          </cell>
          <cell r="L658">
            <v>2736.24</v>
          </cell>
        </row>
        <row r="659">
          <cell r="F659" t="str">
            <v>YD - UNITED-GUNNING MIX 89</v>
          </cell>
          <cell r="G659">
            <v>70.5</v>
          </cell>
          <cell r="L659">
            <v>30117.81</v>
          </cell>
        </row>
        <row r="660">
          <cell r="F660" t="str">
            <v>Yİ - DİLER-FERROCON-12-M6-H-05-T</v>
          </cell>
          <cell r="G660">
            <v>5</v>
          </cell>
          <cell r="L660">
            <v>8443</v>
          </cell>
        </row>
        <row r="661">
          <cell r="F661" t="str">
            <v>Yİ - DİLER-GUNNING MIX 93</v>
          </cell>
          <cell r="G661">
            <v>10.5</v>
          </cell>
          <cell r="L661">
            <v>4638.8999999999996</v>
          </cell>
        </row>
        <row r="662">
          <cell r="F662" t="str">
            <v>Yİ - DİLER-ROBOGUN SILVERMIX A15</v>
          </cell>
          <cell r="G662">
            <v>4.5</v>
          </cell>
          <cell r="L662">
            <v>2393.1</v>
          </cell>
        </row>
        <row r="663">
          <cell r="F663" t="str">
            <v>YD - AL EZZ FLAT-FERROCON SGS 88</v>
          </cell>
          <cell r="G663">
            <v>5</v>
          </cell>
          <cell r="L663">
            <v>2316.16</v>
          </cell>
        </row>
        <row r="664">
          <cell r="F664" t="str">
            <v>YD - AL EZZ FLAT-ASM 30 PÜSK.MAK.YEDEK PARÇALARI</v>
          </cell>
          <cell r="G664">
            <v>1</v>
          </cell>
        </row>
        <row r="665">
          <cell r="F665" t="str">
            <v>YD - AL EZZ FLAT-ROTOR-STATOR SETİ</v>
          </cell>
          <cell r="G665">
            <v>1</v>
          </cell>
        </row>
        <row r="666">
          <cell r="F666" t="str">
            <v>YD - AL EZZ FLAT-LADLE GUNNING MACHINE</v>
          </cell>
          <cell r="G666">
            <v>1</v>
          </cell>
        </row>
        <row r="667">
          <cell r="F667" t="str">
            <v>Yİ - ÇOLAKOĞLU-FERROCON-11-M5-T-03</v>
          </cell>
          <cell r="G667">
            <v>6</v>
          </cell>
          <cell r="L667">
            <v>4875.42</v>
          </cell>
        </row>
        <row r="668">
          <cell r="F668" t="str">
            <v>Yİ - ÇOLAKOĞLU-FERROGUN SP</v>
          </cell>
          <cell r="G668">
            <v>4</v>
          </cell>
          <cell r="L668">
            <v>1602.36</v>
          </cell>
        </row>
        <row r="669">
          <cell r="F669" t="str">
            <v>Yİ - ÇOLAKOĞLU-MONOBLOK YOLLUK</v>
          </cell>
          <cell r="G669">
            <v>0.45</v>
          </cell>
          <cell r="L669">
            <v>1319</v>
          </cell>
        </row>
        <row r="670">
          <cell r="F670" t="str">
            <v>Yİ - EREGE-GUNNING MIX 93</v>
          </cell>
          <cell r="G670">
            <v>12</v>
          </cell>
          <cell r="L670">
            <v>4810.68</v>
          </cell>
        </row>
        <row r="671">
          <cell r="F671" t="str">
            <v>Yİ - EREGE-FERROCON-23-M6-H-02</v>
          </cell>
          <cell r="G671">
            <v>6</v>
          </cell>
          <cell r="L671">
            <v>5203.4399999999996</v>
          </cell>
        </row>
        <row r="672">
          <cell r="F672" t="str">
            <v>Yİ - EREĞLİ DÇ-CURUF PERDESİ-SD34</v>
          </cell>
          <cell r="G672">
            <v>8</v>
          </cell>
          <cell r="L672">
            <v>951.28</v>
          </cell>
        </row>
        <row r="673">
          <cell r="F673" t="str">
            <v>Yİ - İSDEMİR-FERROCLAY 704</v>
          </cell>
          <cell r="G673">
            <v>26</v>
          </cell>
          <cell r="L673">
            <v>21556.86</v>
          </cell>
        </row>
        <row r="674">
          <cell r="F674" t="str">
            <v>Yİ - İÇDAŞ-BİGA-FERROCON SGS 85</v>
          </cell>
          <cell r="G674">
            <v>20</v>
          </cell>
          <cell r="L674">
            <v>8307.4000000000015</v>
          </cell>
        </row>
        <row r="675">
          <cell r="F675" t="str">
            <v>Yİ - ASİL ÇELİK-ROBOGUN SILVERMIX</v>
          </cell>
          <cell r="L675">
            <v>7036.85</v>
          </cell>
        </row>
        <row r="676">
          <cell r="F676" t="str">
            <v>Yİ - EGE ÇELİK-FERROCON SGS 80</v>
          </cell>
          <cell r="G676">
            <v>27.5</v>
          </cell>
          <cell r="L676">
            <v>11422.68</v>
          </cell>
        </row>
        <row r="677">
          <cell r="F677" t="str">
            <v>Yİ - ÇOLAKOĞLU-FERROCON-11-M5-T-03</v>
          </cell>
          <cell r="G677">
            <v>-12</v>
          </cell>
          <cell r="L677">
            <v>-9594.6</v>
          </cell>
        </row>
        <row r="2019">
          <cell r="L2019">
            <v>19929095.054999992</v>
          </cell>
        </row>
        <row r="2021">
          <cell r="L2021">
            <v>5.0072929657260934</v>
          </cell>
        </row>
        <row r="2022">
          <cell r="L2022">
            <v>3.3917478891803001</v>
          </cell>
        </row>
        <row r="2024">
          <cell r="L2024">
            <v>3980013.7901677839</v>
          </cell>
        </row>
        <row r="2025">
          <cell r="L2025">
            <v>5875759.5511665083</v>
          </cell>
        </row>
        <row r="2026">
          <cell r="G2026">
            <v>38718</v>
          </cell>
        </row>
        <row r="2027">
          <cell r="G2027">
            <v>38949</v>
          </cell>
          <cell r="L2027">
            <v>85901.271788793063</v>
          </cell>
        </row>
        <row r="2028">
          <cell r="G2028">
            <v>0.63561643835616444</v>
          </cell>
        </row>
        <row r="2029">
          <cell r="L2029">
            <v>17155.231854171481</v>
          </cell>
        </row>
        <row r="2030">
          <cell r="L2030">
            <v>25326.549789510809</v>
          </cell>
        </row>
        <row r="2032">
          <cell r="L2032">
            <v>31353964.20290947</v>
          </cell>
        </row>
        <row r="2033">
          <cell r="L2033">
            <v>6261659.6267725909</v>
          </cell>
        </row>
        <row r="2034">
          <cell r="L2034">
            <v>9244190.6731714457</v>
          </cell>
        </row>
        <row r="2038">
          <cell r="L2038">
            <v>31571882.166078933</v>
          </cell>
        </row>
        <row r="2039">
          <cell r="L2039">
            <v>6305179.7412658045</v>
          </cell>
        </row>
        <row r="2040">
          <cell r="L2040">
            <v>9308440.1310585197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mmentary"/>
      <sheetName val="PLUNIT5"/>
      <sheetName val="BUDGET"/>
      <sheetName val="INCOME"/>
      <sheetName val="EXPENSES"/>
      <sheetName val="INTEREST"/>
      <sheetName val="BALANCESHEET"/>
      <sheetName val="FIXEDASSETS"/>
      <sheetName val="FINANCE PLAN"/>
      <sheetName val="Personnel"/>
      <sheetName val="Workshop Utilization"/>
      <sheetName val="Contract Expenses From sale-PL"/>
      <sheetName val="WIP-BS"/>
      <sheetName val="Material"/>
      <sheetName val="Overheads"/>
      <sheetName val="Indirect Material"/>
      <sheetName val="Re-work"/>
      <sheetName val="IFRS"/>
      <sheetName val="TB"/>
      <sheetName val="ADJ"/>
      <sheetName val="D"/>
      <sheetName val="DT"/>
      <sheetName val="REC"/>
      <sheetName val="CF"/>
      <sheetName val="REV"/>
      <sheetName val="Plan"/>
      <sheetName val="Cost Center Accounting"/>
      <sheetName val="Overhead Mark-u"/>
      <sheetName val="Cost"/>
      <sheetName val="Overhead Mark-up"/>
      <sheetName val="Income Statement"/>
      <sheetName val="Energy Consumption"/>
      <sheetName val="LIST"/>
      <sheetName val="Sheet1"/>
    </sheetNames>
    <sheetDataSet>
      <sheetData sheetId="0">
        <row r="6">
          <cell r="I6">
            <v>12</v>
          </cell>
        </row>
        <row r="7">
          <cell r="E7">
            <v>41244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9">
          <cell r="C9">
            <v>81078.722222222219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Deckblatt"/>
      <sheetName val="Inhalt"/>
      <sheetName val="Zusammenfassung"/>
      <sheetName val="Eckdaten"/>
      <sheetName val="Markt"/>
      <sheetName val="Projekte"/>
      <sheetName val="AE"/>
      <sheetName val="AE lange Reihe"/>
      <sheetName val="AE GB"/>
      <sheetName val="AE (Klasse)"/>
      <sheetName val="Treffer"/>
      <sheetName val="UM"/>
      <sheetName val="AB"/>
      <sheetName val="MI"/>
      <sheetName val="Auslastung Konstruktion"/>
      <sheetName val="Auslastung Fertigung"/>
      <sheetName val="MIKA"/>
      <sheetName val="EvSt"/>
      <sheetName val="Ergebnis"/>
      <sheetName val="Ergebnisanalyse"/>
      <sheetName val="Bilanz"/>
      <sheetName val="LI"/>
      <sheetName val="Finanzkennzahlen"/>
      <sheetName val="Krank"/>
      <sheetName val="Investitionen"/>
      <sheetName val="(Definitionen)"/>
      <sheetName val="Def. Eckdaten"/>
      <sheetName val="Def. Kennzahlen"/>
      <sheetName val="Chancen.Risiken"/>
      <sheetName val="Auftragsliquidität"/>
      <sheetName val="Fällige Kundenzahlungen"/>
      <sheetName val="Absicherung Aufträge"/>
      <sheetName val="Sonstige Chancen und Risiken"/>
      <sheetName val="LI (2)"/>
    </sheetNames>
    <sheetDataSet>
      <sheetData sheetId="0" refreshError="1">
        <row r="19">
          <cell r="C19" t="str">
            <v>UB Hütten- und Walzwerkstechnik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Warnings"/>
      <sheetName val="Comment"/>
      <sheetName val="FinKey"/>
      <sheetName val="Assumption"/>
      <sheetName val="Input1"/>
      <sheetName val="Input2"/>
      <sheetName val="ProdTot"/>
      <sheetName val="P&amp;L"/>
      <sheetName val="P&amp;L II"/>
      <sheetName val="Cons Items P&amp;L"/>
      <sheetName val="Exp"/>
      <sheetName val="NonOp"/>
      <sheetName val="VarAct-FC II (GKV)"/>
      <sheetName val="VarFC II-Plan (GKV)"/>
      <sheetName val="VarPlan-Aim (GKV)"/>
      <sheetName val="calcu. P&amp;L"/>
      <sheetName val="Pers"/>
      <sheetName val="Ass"/>
      <sheetName val="LiabEq"/>
      <sheetName val="Cons Items Balance"/>
      <sheetName val="AssAct"/>
      <sheetName val="Accruals"/>
      <sheetName val="CCC"/>
      <sheetName val="CE"/>
      <sheetName val="FinPlan"/>
      <sheetName val="AdBud"/>
      <sheetName val="Budget total"/>
      <sheetName val="Budget tangible"/>
      <sheetName val="List tangible"/>
      <sheetName val="Budget intangible"/>
      <sheetName val="List intangible"/>
      <sheetName val="R&amp;D"/>
      <sheetName val="Translation"/>
      <sheetName val="Translation2005"/>
      <sheetName val="Comp."/>
      <sheetName val="Comp.-Database"/>
    </sheetNames>
    <sheetDataSet>
      <sheetData sheetId="0" refreshError="1">
        <row r="4">
          <cell r="A4" t="str">
            <v>Annual Planning 2007 - 2012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checks"/>
      <sheetName val="MIKA"/>
      <sheetName val="Tabelle1"/>
      <sheetName val="Logbook"/>
      <sheetName val="summary"/>
      <sheetName val="result total"/>
      <sheetName val="io total"/>
      <sheetName val="sales total"/>
      <sheetName val="contract expenses total"/>
      <sheetName val="Overheads"/>
      <sheetName val="result steel_caster"/>
      <sheetName val="result steel"/>
      <sheetName val="io steel"/>
      <sheetName val="sales steel"/>
      <sheetName val="contract expenses steel"/>
      <sheetName val="gross margin steel"/>
      <sheetName val="result caster"/>
      <sheetName val="io caster"/>
      <sheetName val="sales caster"/>
      <sheetName val="contract expenses caster"/>
      <sheetName val="gross margin caster"/>
      <sheetName val="result hot_cold"/>
      <sheetName val="result hot"/>
      <sheetName val="io hot"/>
      <sheetName val="sales hot"/>
      <sheetName val="contract expenses hot"/>
      <sheetName val="gross margin hot"/>
      <sheetName val="result cold"/>
      <sheetName val="io cold"/>
      <sheetName val="sales cold"/>
      <sheetName val="contract expenses cold"/>
      <sheetName val="gross margin cold"/>
      <sheetName val="result processing lines"/>
      <sheetName val="io processing lines"/>
      <sheetName val="sales processing lines"/>
      <sheetName val="contract expenses processing li"/>
      <sheetName val="gross margin processing lines"/>
      <sheetName val="result service"/>
      <sheetName val="io service"/>
      <sheetName val="sales service"/>
      <sheetName val="contract expenses service"/>
      <sheetName val="gross margin service"/>
      <sheetName val="result direct business she"/>
      <sheetName val="io direct business she"/>
      <sheetName val="sales direct business she"/>
      <sheetName val="contract expenses dir bus she"/>
      <sheetName val="gross margin direct bus she"/>
      <sheetName val="result Dummy1"/>
      <sheetName val="io Dummy1"/>
      <sheetName val="sales Dummy1"/>
      <sheetName val="contract expenses Dummy1"/>
      <sheetName val="gross margin dummy1"/>
      <sheetName val="Consolidation"/>
      <sheetName val="Tabelle4"/>
      <sheetName val="result others"/>
    </sheetNames>
    <sheetDataSet>
      <sheetData sheetId="0">
        <row r="57">
          <cell r="C57" t="str">
            <v>44 SAF</v>
          </cell>
        </row>
        <row r="58">
          <cell r="C58" t="str">
            <v>46 EAF-Route</v>
          </cell>
        </row>
        <row r="59">
          <cell r="C59" t="str">
            <v>47 BOF-Route</v>
          </cell>
        </row>
        <row r="60">
          <cell r="C60" t="str">
            <v>48 STW-Stainless</v>
          </cell>
        </row>
        <row r="61">
          <cell r="C61" t="str">
            <v>DUMMY</v>
          </cell>
        </row>
        <row r="67">
          <cell r="G67" t="str">
            <v>38 SPL stainless steel</v>
          </cell>
        </row>
        <row r="68">
          <cell r="G68" t="str">
            <v>51 SPL hot</v>
          </cell>
        </row>
        <row r="69">
          <cell r="G69" t="str">
            <v>67 SPL cold</v>
          </cell>
        </row>
        <row r="70">
          <cell r="G70" t="str">
            <v>DUMMY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IES"/>
      <sheetName val="PRICES"/>
      <sheetName val="Macro2"/>
    </sheetNames>
    <sheetDataSet>
      <sheetData sheetId="0" refreshError="1">
        <row r="5">
          <cell r="DR5" t="str">
            <v>CODE</v>
          </cell>
          <cell r="DS5" t="str">
            <v xml:space="preserve"> </v>
          </cell>
          <cell r="DU5" t="str">
            <v>CODE</v>
          </cell>
          <cell r="DV5" t="str">
            <v xml:space="preserve"> </v>
          </cell>
          <cell r="DY5" t="str">
            <v>SETTORE</v>
          </cell>
          <cell r="EB5" t="str">
            <v>PAESE</v>
          </cell>
          <cell r="EC5" t="str">
            <v xml:space="preserve"> </v>
          </cell>
        </row>
        <row r="6">
          <cell r="DR6" t="str">
            <v>FRF Curncy</v>
          </cell>
          <cell r="DS6">
            <v>1</v>
          </cell>
          <cell r="DU6" t="str">
            <v>CAC INDEX</v>
          </cell>
          <cell r="DV6">
            <v>4330.6989999999996</v>
          </cell>
          <cell r="DY6" t="str">
            <v>UTILITIES</v>
          </cell>
          <cell r="DZ6">
            <v>6108717.7107008761</v>
          </cell>
          <cell r="EB6" t="str">
            <v>FR</v>
          </cell>
          <cell r="EC6">
            <v>3250011.28</v>
          </cell>
        </row>
        <row r="8">
          <cell r="DR8" t="str">
            <v>CODE</v>
          </cell>
          <cell r="DS8" t="str">
            <v xml:space="preserve"> </v>
          </cell>
          <cell r="DU8" t="str">
            <v>CODE</v>
          </cell>
          <cell r="DV8" t="str">
            <v xml:space="preserve"> </v>
          </cell>
          <cell r="DY8" t="str">
            <v>SETTORE</v>
          </cell>
          <cell r="EB8" t="str">
            <v>PAESE</v>
          </cell>
          <cell r="EC8" t="str">
            <v xml:space="preserve"> </v>
          </cell>
        </row>
        <row r="9">
          <cell r="DR9" t="str">
            <v>DEM Curncy</v>
          </cell>
          <cell r="DS9">
            <v>1</v>
          </cell>
          <cell r="DU9" t="str">
            <v>DAX INDEX</v>
          </cell>
          <cell r="DV9">
            <v>5068.75</v>
          </cell>
          <cell r="DY9" t="str">
            <v>ENERGY</v>
          </cell>
          <cell r="DZ9">
            <v>0</v>
          </cell>
          <cell r="EB9" t="str">
            <v>GE</v>
          </cell>
          <cell r="EC9">
            <v>0</v>
          </cell>
        </row>
        <row r="11">
          <cell r="DR11" t="str">
            <v>CODE</v>
          </cell>
          <cell r="DS11" t="str">
            <v xml:space="preserve"> </v>
          </cell>
          <cell r="DU11" t="str">
            <v>CODE</v>
          </cell>
          <cell r="DV11" t="str">
            <v xml:space="preserve"> </v>
          </cell>
          <cell r="DY11" t="str">
            <v>SETTORE</v>
          </cell>
          <cell r="EB11" t="str">
            <v>PAESE</v>
          </cell>
          <cell r="EC11" t="str">
            <v xml:space="preserve"> </v>
          </cell>
        </row>
        <row r="12">
          <cell r="DR12" t="str">
            <v xml:space="preserve"> GBPEUR=R</v>
          </cell>
          <cell r="DS12">
            <v>0.67312870220786214</v>
          </cell>
          <cell r="DT12">
            <v>1.4856</v>
          </cell>
          <cell r="DU12" t="str">
            <v>UKX INDEX</v>
          </cell>
          <cell r="DV12">
            <v>6437.8980000000001</v>
          </cell>
          <cell r="DY12" t="str">
            <v>FINANCE</v>
          </cell>
          <cell r="DZ12">
            <v>6456032.2141982866</v>
          </cell>
          <cell r="EB12" t="str">
            <v>GB</v>
          </cell>
          <cell r="EC12">
            <v>5157955.6913076267</v>
          </cell>
        </row>
        <row r="14">
          <cell r="DR14" t="str">
            <v>CODE</v>
          </cell>
          <cell r="DS14" t="str">
            <v xml:space="preserve"> </v>
          </cell>
          <cell r="DU14" t="str">
            <v>CODE</v>
          </cell>
          <cell r="DV14" t="str">
            <v xml:space="preserve"> </v>
          </cell>
          <cell r="DY14" t="str">
            <v>SETTORE</v>
          </cell>
          <cell r="EB14" t="str">
            <v>PAESE</v>
          </cell>
          <cell r="EC14" t="str">
            <v xml:space="preserve"> </v>
          </cell>
        </row>
        <row r="15">
          <cell r="DR15" t="str">
            <v>ITL Curncy</v>
          </cell>
          <cell r="DS15">
            <v>1</v>
          </cell>
          <cell r="DU15" t="str">
            <v>MIB30 INDEX</v>
          </cell>
          <cell r="DV15">
            <v>37152</v>
          </cell>
          <cell r="DY15" t="str">
            <v>CAP.GOODS</v>
          </cell>
          <cell r="DZ15">
            <v>1108021.8222387505</v>
          </cell>
          <cell r="EB15" t="str">
            <v>I</v>
          </cell>
          <cell r="EC15">
            <v>1243178</v>
          </cell>
        </row>
        <row r="17">
          <cell r="DR17" t="str">
            <v>CODE</v>
          </cell>
          <cell r="DS17" t="str">
            <v xml:space="preserve"> </v>
          </cell>
          <cell r="DU17" t="str">
            <v>CODE</v>
          </cell>
          <cell r="DV17" t="str">
            <v xml:space="preserve"> </v>
          </cell>
          <cell r="DY17" t="str">
            <v>SETTORE</v>
          </cell>
          <cell r="EB17" t="str">
            <v>PAESE</v>
          </cell>
          <cell r="EC17" t="str">
            <v xml:space="preserve"> </v>
          </cell>
        </row>
        <row r="18">
          <cell r="DR18" t="str">
            <v>NLG Curncy</v>
          </cell>
          <cell r="DS18">
            <v>1</v>
          </cell>
          <cell r="DU18" t="str">
            <v>AEX INDEX</v>
          </cell>
          <cell r="DV18">
            <v>537.66989999999998</v>
          </cell>
          <cell r="DY18" t="str">
            <v>HEALTH</v>
          </cell>
          <cell r="DZ18">
            <v>2761602.6152914418</v>
          </cell>
          <cell r="EB18" t="str">
            <v>ZERO</v>
          </cell>
          <cell r="EC18">
            <v>0</v>
          </cell>
        </row>
        <row r="20">
          <cell r="DR20" t="str">
            <v>CODE</v>
          </cell>
          <cell r="DS20" t="str">
            <v xml:space="preserve"> </v>
          </cell>
          <cell r="DU20" t="str">
            <v>CODE</v>
          </cell>
          <cell r="DV20" t="str">
            <v xml:space="preserve"> </v>
          </cell>
          <cell r="DY20" t="str">
            <v>SETTORE</v>
          </cell>
          <cell r="EB20" t="str">
            <v>PAESE</v>
          </cell>
          <cell r="EC20" t="str">
            <v xml:space="preserve"> </v>
          </cell>
        </row>
        <row r="21">
          <cell r="DR21" t="str">
            <v>ESP Curncy</v>
          </cell>
          <cell r="DS21">
            <v>1</v>
          </cell>
          <cell r="DU21" t="str">
            <v>IBEX INDEX</v>
          </cell>
          <cell r="DV21">
            <v>10100.6</v>
          </cell>
          <cell r="DY21" t="str">
            <v>CONSUMER</v>
          </cell>
          <cell r="DZ21">
            <v>4095900.4488257142</v>
          </cell>
          <cell r="EB21" t="str">
            <v>ZERO</v>
          </cell>
          <cell r="EC21">
            <v>0</v>
          </cell>
        </row>
        <row r="23">
          <cell r="DR23" t="str">
            <v>CODE</v>
          </cell>
          <cell r="DS23" t="str">
            <v xml:space="preserve"> </v>
          </cell>
          <cell r="DU23" t="str">
            <v>CODE</v>
          </cell>
          <cell r="DV23" t="str">
            <v xml:space="preserve"> </v>
          </cell>
          <cell r="DY23" t="str">
            <v>SETTORE</v>
          </cell>
          <cell r="EB23" t="str">
            <v>PAESE</v>
          </cell>
          <cell r="EC23" t="str">
            <v xml:space="preserve"> </v>
          </cell>
        </row>
        <row r="24">
          <cell r="DR24" t="str">
            <v xml:space="preserve"> CHFEUR=R</v>
          </cell>
          <cell r="DS24">
            <v>1.5969338869370808</v>
          </cell>
          <cell r="DT24">
            <v>0.62619999999999998</v>
          </cell>
          <cell r="DU24" t="str">
            <v>SMI INDEX</v>
          </cell>
          <cell r="DV24">
            <v>7332.8980000000001</v>
          </cell>
          <cell r="DY24" t="str">
            <v>TECNOLOGY</v>
          </cell>
          <cell r="DZ24">
            <v>768734.57736648526</v>
          </cell>
          <cell r="EB24" t="str">
            <v>CH</v>
          </cell>
          <cell r="EC24">
            <v>3241773.5895834649</v>
          </cell>
        </row>
        <row r="26">
          <cell r="DR26" t="str">
            <v>CODE</v>
          </cell>
          <cell r="DS26" t="str">
            <v xml:space="preserve"> </v>
          </cell>
          <cell r="DU26" t="str">
            <v>CODE</v>
          </cell>
          <cell r="DV26" t="str">
            <v xml:space="preserve"> </v>
          </cell>
          <cell r="DY26" t="str">
            <v>SETTORE</v>
          </cell>
          <cell r="EB26" t="str">
            <v>PAESE</v>
          </cell>
          <cell r="EC26" t="str">
            <v xml:space="preserve"> </v>
          </cell>
        </row>
        <row r="27">
          <cell r="DR27" t="str">
            <v xml:space="preserve"> SEKEUR=R</v>
          </cell>
          <cell r="DS27">
            <v>8.904719501335709</v>
          </cell>
          <cell r="DT27">
            <v>0.1123</v>
          </cell>
          <cell r="DU27" t="str">
            <v>MSDUE15 INDEX</v>
          </cell>
          <cell r="DV27">
            <v>1338.25</v>
          </cell>
          <cell r="DY27" t="str">
            <v>TRANSPORT</v>
          </cell>
          <cell r="DZ27">
            <v>0</v>
          </cell>
          <cell r="EB27" t="str">
            <v>EU</v>
          </cell>
          <cell r="EC27">
            <v>0</v>
          </cell>
        </row>
        <row r="29">
          <cell r="DR29" t="str">
            <v>CODE</v>
          </cell>
          <cell r="DS29" t="str">
            <v xml:space="preserve"> </v>
          </cell>
          <cell r="DU29" t="str">
            <v>CODE</v>
          </cell>
          <cell r="DV29" t="str">
            <v xml:space="preserve"> </v>
          </cell>
          <cell r="DY29" t="str">
            <v>SETTORE</v>
          </cell>
          <cell r="EB29" t="str">
            <v>PAESE</v>
          </cell>
          <cell r="EC29" t="str">
            <v xml:space="preserve"> </v>
          </cell>
        </row>
        <row r="30">
          <cell r="DR30" t="str">
            <v xml:space="preserve"> EUR=</v>
          </cell>
          <cell r="DS30">
            <v>1.08</v>
          </cell>
          <cell r="DU30" t="str">
            <v>RTY INDEX</v>
          </cell>
          <cell r="DV30">
            <v>397.77980000000002</v>
          </cell>
          <cell r="DY30" t="str">
            <v>ZERO</v>
          </cell>
          <cell r="DZ30">
            <v>0</v>
          </cell>
          <cell r="EB30" t="str">
            <v>USA</v>
          </cell>
          <cell r="EC30">
            <v>3925488.6601615744</v>
          </cell>
        </row>
        <row r="32">
          <cell r="DR32" t="str">
            <v>CODE</v>
          </cell>
          <cell r="DS32" t="str">
            <v xml:space="preserve"> </v>
          </cell>
          <cell r="DU32" t="str">
            <v>CODE</v>
          </cell>
          <cell r="DV32" t="str">
            <v xml:space="preserve"> </v>
          </cell>
          <cell r="DY32" t="str">
            <v>SETTORE</v>
          </cell>
          <cell r="EB32" t="str">
            <v>PAESE</v>
          </cell>
          <cell r="EC32" t="str">
            <v xml:space="preserve"> </v>
          </cell>
        </row>
        <row r="33">
          <cell r="DR33" t="str">
            <v xml:space="preserve"> EURJPY=</v>
          </cell>
          <cell r="DS33">
            <v>129.66999999999999</v>
          </cell>
          <cell r="DT33">
            <v>7.7118840132644412E-3</v>
          </cell>
          <cell r="DU33" t="str">
            <v>NKY INDEX</v>
          </cell>
          <cell r="DV33">
            <v>16846.689999999999</v>
          </cell>
          <cell r="DY33" t="str">
            <v>ZERO</v>
          </cell>
          <cell r="DZ33">
            <v>0</v>
          </cell>
          <cell r="EB33" t="str">
            <v>J</v>
          </cell>
          <cell r="EC33">
            <v>0</v>
          </cell>
        </row>
        <row r="35">
          <cell r="DR35" t="str">
            <v>CODE</v>
          </cell>
          <cell r="DS35" t="str">
            <v xml:space="preserve"> </v>
          </cell>
          <cell r="DU35" t="str">
            <v>CODE</v>
          </cell>
          <cell r="DV35" t="str">
            <v xml:space="preserve"> </v>
          </cell>
          <cell r="DY35" t="str">
            <v>SETTORE</v>
          </cell>
          <cell r="EB35" t="str">
            <v>PAESE</v>
          </cell>
          <cell r="EC35" t="str">
            <v xml:space="preserve"> </v>
          </cell>
        </row>
        <row r="36">
          <cell r="DR36" t="str">
            <v>ZERO</v>
          </cell>
          <cell r="DU36" t="str">
            <v>MSEUEAF INDEX</v>
          </cell>
          <cell r="DV36">
            <v>151.03800000000001</v>
          </cell>
          <cell r="DY36" t="str">
            <v>ZERO</v>
          </cell>
          <cell r="DZ36">
            <v>0</v>
          </cell>
          <cell r="EB36" t="str">
            <v>FE</v>
          </cell>
          <cell r="EC36">
            <v>0</v>
          </cell>
        </row>
        <row r="38">
          <cell r="DR38" t="str">
            <v>CODE</v>
          </cell>
          <cell r="DS38" t="str">
            <v xml:space="preserve"> </v>
          </cell>
          <cell r="DU38" t="str">
            <v>CODE</v>
          </cell>
          <cell r="DV38" t="str">
            <v xml:space="preserve"> </v>
          </cell>
          <cell r="DY38" t="str">
            <v>SETTORE</v>
          </cell>
          <cell r="EB38" t="str">
            <v>PAESE</v>
          </cell>
          <cell r="EC38" t="str">
            <v xml:space="preserve"> </v>
          </cell>
        </row>
        <row r="39">
          <cell r="DR39" t="str">
            <v>ZERO</v>
          </cell>
          <cell r="DU39" t="str">
            <v>MSIIWRLD INDEX</v>
          </cell>
          <cell r="DV39">
            <v>1097.19</v>
          </cell>
          <cell r="DY39" t="str">
            <v>ZERO</v>
          </cell>
          <cell r="DZ39">
            <v>0</v>
          </cell>
          <cell r="EB39" t="str">
            <v>ZERO</v>
          </cell>
          <cell r="EC39">
            <v>0</v>
          </cell>
        </row>
        <row r="41">
          <cell r="DU41" t="str">
            <v>CODE</v>
          </cell>
          <cell r="DV41" t="str">
            <v xml:space="preserve"> </v>
          </cell>
          <cell r="EB41" t="str">
            <v>PAESE</v>
          </cell>
          <cell r="EC41" t="str">
            <v xml:space="preserve"> </v>
          </cell>
        </row>
        <row r="42">
          <cell r="DU42" t="str">
            <v>JPEMLAT INDEX</v>
          </cell>
          <cell r="DV42" t="str">
            <v>#N/A Sec</v>
          </cell>
          <cell r="EB42" t="str">
            <v>ZERO</v>
          </cell>
          <cell r="EC42">
            <v>0</v>
          </cell>
        </row>
      </sheetData>
      <sheetData sheetId="1" refreshError="1"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</row>
        <row r="30">
          <cell r="A30" t="str">
            <v>AB</v>
          </cell>
          <cell r="B30" t="str">
            <v>ABBB SS Equity</v>
          </cell>
          <cell r="C30">
            <v>0</v>
          </cell>
          <cell r="D30">
            <v>110</v>
          </cell>
        </row>
        <row r="31">
          <cell r="A31" t="str">
            <v>AF</v>
          </cell>
          <cell r="B31" t="str">
            <v>AF FP Equity</v>
          </cell>
          <cell r="C31">
            <v>16.649989999999999</v>
          </cell>
          <cell r="D31">
            <v>16.76999</v>
          </cell>
        </row>
        <row r="32">
          <cell r="A32" t="str">
            <v>AG</v>
          </cell>
          <cell r="B32">
            <v>0</v>
          </cell>
          <cell r="C32">
            <v>95</v>
          </cell>
          <cell r="D32">
            <v>0</v>
          </cell>
        </row>
        <row r="33">
          <cell r="A33" t="str">
            <v>AL</v>
          </cell>
          <cell r="B33" t="str">
            <v>ALUN SW Equity</v>
          </cell>
          <cell r="C33">
            <v>1625</v>
          </cell>
          <cell r="D33">
            <v>1625</v>
          </cell>
        </row>
        <row r="34">
          <cell r="A34" t="str">
            <v>BK</v>
          </cell>
          <cell r="B34" t="str">
            <v>BKVI SW Equity</v>
          </cell>
          <cell r="C34">
            <v>332</v>
          </cell>
          <cell r="D34">
            <v>332</v>
          </cell>
        </row>
        <row r="35">
          <cell r="A35" t="str">
            <v>BU</v>
          </cell>
          <cell r="B35" t="str">
            <v>BUFF IM Equity</v>
          </cell>
          <cell r="C35">
            <v>4.38</v>
          </cell>
          <cell r="D35">
            <v>4.4000000000000004</v>
          </cell>
        </row>
        <row r="36">
          <cell r="A36" t="str">
            <v>CF</v>
          </cell>
          <cell r="B36" t="str">
            <v>CRI FP Equity</v>
          </cell>
          <cell r="C36">
            <v>50</v>
          </cell>
          <cell r="D36">
            <v>50</v>
          </cell>
        </row>
        <row r="37">
          <cell r="A37" t="str">
            <v>CG</v>
          </cell>
          <cell r="B37" t="str">
            <v>CAS IM Equity</v>
          </cell>
          <cell r="C37">
            <v>4.17</v>
          </cell>
          <cell r="D37">
            <v>4.17</v>
          </cell>
        </row>
        <row r="38">
          <cell r="A38" t="str">
            <v>CQ</v>
          </cell>
          <cell r="B38" t="str">
            <v>CPQ US Equity</v>
          </cell>
          <cell r="C38">
            <v>29.875</v>
          </cell>
          <cell r="D38">
            <v>29.9375</v>
          </cell>
        </row>
        <row r="39">
          <cell r="A39" t="str">
            <v>CR</v>
          </cell>
          <cell r="B39" t="str">
            <v>CLN SW Equity</v>
          </cell>
          <cell r="C39">
            <v>716</v>
          </cell>
          <cell r="D39">
            <v>719</v>
          </cell>
        </row>
        <row r="40">
          <cell r="A40" t="str">
            <v>CS</v>
          </cell>
          <cell r="B40" t="str">
            <v>CSGN SW Equity</v>
          </cell>
          <cell r="C40">
            <v>286</v>
          </cell>
          <cell r="D40">
            <v>286</v>
          </cell>
        </row>
        <row r="41">
          <cell r="A41" t="str">
            <v>CU</v>
          </cell>
          <cell r="B41" t="str">
            <v>CA FP Equity</v>
          </cell>
          <cell r="C41">
            <v>721</v>
          </cell>
          <cell r="D41">
            <v>721</v>
          </cell>
        </row>
        <row r="42">
          <cell r="A42" t="str">
            <v>CW</v>
          </cell>
          <cell r="B42" t="str">
            <v xml:space="preserve"> CS GRP N/BZ 99  </v>
          </cell>
          <cell r="C42">
            <v>0.01</v>
          </cell>
          <cell r="D42">
            <v>0</v>
          </cell>
        </row>
        <row r="43">
          <cell r="A43" t="str">
            <v>DH</v>
          </cell>
          <cell r="B43" t="str">
            <v>DMH IM Equity</v>
          </cell>
          <cell r="C43">
            <v>2.889999</v>
          </cell>
          <cell r="D43">
            <v>2.9</v>
          </cell>
        </row>
        <row r="44">
          <cell r="A44" t="str">
            <v>FE</v>
          </cell>
          <cell r="B44" t="str">
            <v>FAE SM Equity</v>
          </cell>
          <cell r="C44">
            <v>14.25</v>
          </cell>
          <cell r="D44">
            <v>14.3</v>
          </cell>
        </row>
        <row r="45">
          <cell r="A45" t="str">
            <v>FT</v>
          </cell>
          <cell r="B45" t="str">
            <v>F IM Equity</v>
          </cell>
          <cell r="C45">
            <v>3.08</v>
          </cell>
          <cell r="D45">
            <v>3.0899990000000002</v>
          </cell>
        </row>
        <row r="46">
          <cell r="A46" t="str">
            <v>HR</v>
          </cell>
          <cell r="B46" t="str">
            <v>HORN GR Equity</v>
          </cell>
          <cell r="C46">
            <v>23.799990000000001</v>
          </cell>
          <cell r="D46">
            <v>24.5</v>
          </cell>
        </row>
        <row r="47">
          <cell r="A47" t="str">
            <v>IM</v>
          </cell>
          <cell r="B47" t="str">
            <v>IMRS US Equity</v>
          </cell>
          <cell r="C47">
            <v>14.0625</v>
          </cell>
          <cell r="D47">
            <v>14.0625</v>
          </cell>
        </row>
        <row r="48">
          <cell r="A48" t="str">
            <v>IV</v>
          </cell>
          <cell r="B48" t="str">
            <v>IVX US Equity</v>
          </cell>
          <cell r="C48">
            <v>11.625</v>
          </cell>
          <cell r="D48">
            <v>11.6875</v>
          </cell>
        </row>
        <row r="49">
          <cell r="A49" t="str">
            <v>LM</v>
          </cell>
          <cell r="B49" t="str">
            <v>LMEB SS Equity</v>
          </cell>
          <cell r="C49">
            <v>0</v>
          </cell>
          <cell r="D49">
            <v>213</v>
          </cell>
        </row>
        <row r="50">
          <cell r="A50" t="str">
            <v>MC</v>
          </cell>
          <cell r="B50" t="str">
            <v>MCNS US Equity</v>
          </cell>
          <cell r="C50">
            <v>19.875</v>
          </cell>
          <cell r="D50">
            <v>20</v>
          </cell>
        </row>
        <row r="51">
          <cell r="A51" t="str">
            <v>MG</v>
          </cell>
          <cell r="B51" t="str">
            <v>MMG US Equity</v>
          </cell>
          <cell r="C51">
            <v>4.5</v>
          </cell>
          <cell r="D51">
            <v>4.5625</v>
          </cell>
        </row>
        <row r="52">
          <cell r="A52" t="str">
            <v>NV</v>
          </cell>
          <cell r="B52" t="str">
            <v>NOV SW Equity</v>
          </cell>
          <cell r="C52">
            <v>2478</v>
          </cell>
          <cell r="D52">
            <v>2490</v>
          </cell>
        </row>
        <row r="53">
          <cell r="A53" t="str">
            <v>OL</v>
          </cell>
          <cell r="B53" t="str">
            <v>OL IM Equity</v>
          </cell>
          <cell r="C53">
            <v>2.86</v>
          </cell>
          <cell r="D53">
            <v>2.87</v>
          </cell>
        </row>
        <row r="54">
          <cell r="A54" t="str">
            <v>ON</v>
          </cell>
          <cell r="B54" t="str">
            <v>ONEM US Equity</v>
          </cell>
          <cell r="C54">
            <v>32.3125</v>
          </cell>
          <cell r="D54">
            <v>32.3125</v>
          </cell>
        </row>
        <row r="55">
          <cell r="A55" t="str">
            <v>RD</v>
          </cell>
          <cell r="B55" t="str">
            <v>REED LN Equity</v>
          </cell>
          <cell r="C55">
            <v>576</v>
          </cell>
          <cell r="D55">
            <v>578</v>
          </cell>
        </row>
        <row r="56">
          <cell r="A56" t="str">
            <v>RG</v>
          </cell>
          <cell r="B56" t="str">
            <v>ROG SW Equity</v>
          </cell>
          <cell r="C56">
            <v>18325</v>
          </cell>
          <cell r="D56">
            <v>18325</v>
          </cell>
        </row>
        <row r="57">
          <cell r="A57" t="str">
            <v>RO</v>
          </cell>
          <cell r="B57" t="str">
            <v xml:space="preserve"> ROCHE GS/ZKB 99 </v>
          </cell>
          <cell r="C57">
            <v>2.5</v>
          </cell>
          <cell r="D57">
            <v>0</v>
          </cell>
        </row>
        <row r="58">
          <cell r="A58" t="str">
            <v>SD</v>
          </cell>
          <cell r="B58" t="str">
            <v>SDTI US Equity</v>
          </cell>
          <cell r="C58">
            <v>15.6875</v>
          </cell>
          <cell r="D58">
            <v>15.6875</v>
          </cell>
        </row>
        <row r="59">
          <cell r="A59" t="str">
            <v>SN</v>
          </cell>
          <cell r="B59" t="str">
            <v>SN IM Equity</v>
          </cell>
          <cell r="C59">
            <v>1.254999</v>
          </cell>
          <cell r="D59">
            <v>1.264999</v>
          </cell>
        </row>
        <row r="60">
          <cell r="A60" t="str">
            <v>SO</v>
          </cell>
          <cell r="B60" t="str">
            <v>SOR IM Equity</v>
          </cell>
          <cell r="C60">
            <v>3.389999</v>
          </cell>
          <cell r="D60">
            <v>3.4</v>
          </cell>
        </row>
        <row r="61">
          <cell r="A61" t="str">
            <v>ST</v>
          </cell>
          <cell r="B61" t="str">
            <v>STNR US Equity</v>
          </cell>
          <cell r="C61">
            <v>30.75</v>
          </cell>
          <cell r="D61">
            <v>30.8125</v>
          </cell>
        </row>
        <row r="62">
          <cell r="A62" t="str">
            <v>TE</v>
          </cell>
          <cell r="B62" t="str">
            <v>TEVIY US Equity</v>
          </cell>
          <cell r="C62">
            <v>47</v>
          </cell>
          <cell r="D62">
            <v>47</v>
          </cell>
        </row>
        <row r="63">
          <cell r="A63" t="str">
            <v>TI</v>
          </cell>
          <cell r="B63" t="str">
            <v>TIR IM Equity</v>
          </cell>
          <cell r="C63">
            <v>5.67</v>
          </cell>
          <cell r="D63">
            <v>5.6799989999999996</v>
          </cell>
        </row>
        <row r="64">
          <cell r="A64" t="str">
            <v>VA</v>
          </cell>
          <cell r="B64" t="str">
            <v>VASO US Equity</v>
          </cell>
          <cell r="C64">
            <v>1.3125</v>
          </cell>
          <cell r="D64">
            <v>1.3125</v>
          </cell>
        </row>
        <row r="65">
          <cell r="A65" t="str">
            <v>VI</v>
          </cell>
          <cell r="B65" t="str">
            <v>VIA/B US Equity</v>
          </cell>
          <cell r="C65">
            <v>45.6875</v>
          </cell>
          <cell r="D65">
            <v>45.8125</v>
          </cell>
        </row>
        <row r="66">
          <cell r="A66" t="str">
            <v>ZG</v>
          </cell>
          <cell r="B66" t="str">
            <v>ZGO LN Equity</v>
          </cell>
          <cell r="C66">
            <v>745</v>
          </cell>
          <cell r="D66">
            <v>750</v>
          </cell>
        </row>
      </sheetData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e register at 31.12.2002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Summary"/>
      <sheetName val="fixed assetsIAS29"/>
      <sheetName val="CIP &amp; PLUG IN"/>
      <sheetName val="INDEX"/>
      <sheetName val="Holding-Indices"/>
      <sheetName val="ppe disposals in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Acc.#</v>
          </cell>
          <cell r="C3" t="str">
            <v>Acq. Year</v>
          </cell>
          <cell r="D3" t="str">
            <v>PPE #</v>
          </cell>
          <cell r="E3" t="str">
            <v>Description</v>
          </cell>
          <cell r="F3" t="str">
            <v>A_SATADET</v>
          </cell>
          <cell r="G3" t="str">
            <v>month</v>
          </cell>
          <cell r="H3" t="str">
            <v>price</v>
          </cell>
          <cell r="I3" t="str">
            <v>cost</v>
          </cell>
          <cell r="J3" t="str">
            <v>cost</v>
          </cell>
          <cell r="K3" t="str">
            <v>acc. depr.</v>
          </cell>
          <cell r="L3" t="str">
            <v>NBV</v>
          </cell>
          <cell r="M3" t="str">
            <v>disposed</v>
          </cell>
        </row>
        <row r="5">
          <cell r="B5" t="str">
            <v>25301</v>
          </cell>
          <cell r="C5">
            <v>1986</v>
          </cell>
          <cell r="D5">
            <v>2330</v>
          </cell>
          <cell r="E5" t="str">
            <v>24 VOLT 700 AB AKU</v>
          </cell>
          <cell r="F5">
            <v>1</v>
          </cell>
          <cell r="G5">
            <v>10</v>
          </cell>
          <cell r="H5">
            <v>62.999054999999998</v>
          </cell>
          <cell r="I5">
            <v>0.48679899999999998</v>
          </cell>
          <cell r="J5">
            <v>2.7176670000000001</v>
          </cell>
          <cell r="K5">
            <v>2.7176670000000001</v>
          </cell>
          <cell r="L5">
            <v>0</v>
          </cell>
          <cell r="M5">
            <v>0</v>
          </cell>
        </row>
        <row r="6">
          <cell r="B6" t="str">
            <v>25301</v>
          </cell>
          <cell r="C6">
            <v>1986</v>
          </cell>
          <cell r="D6">
            <v>1229</v>
          </cell>
          <cell r="E6" t="str">
            <v>STASYONER SULU SARJLI AKU GRUB</v>
          </cell>
          <cell r="F6">
            <v>1</v>
          </cell>
          <cell r="G6">
            <v>10</v>
          </cell>
          <cell r="H6">
            <v>80.933762999999999</v>
          </cell>
          <cell r="I6">
            <v>0.62538199999999999</v>
          </cell>
          <cell r="J6">
            <v>3.4913370000000001</v>
          </cell>
          <cell r="K6">
            <v>3.4913370000000001</v>
          </cell>
          <cell r="L6">
            <v>0</v>
          </cell>
          <cell r="M6">
            <v>0</v>
          </cell>
        </row>
        <row r="7">
          <cell r="B7" t="str">
            <v>25301</v>
          </cell>
          <cell r="C7">
            <v>1990</v>
          </cell>
          <cell r="D7">
            <v>511</v>
          </cell>
          <cell r="E7" t="str">
            <v>16 M/M HSS+8CO FFCN/SELP FREZE</v>
          </cell>
          <cell r="F7">
            <v>1</v>
          </cell>
          <cell r="G7">
            <v>9</v>
          </cell>
          <cell r="H7">
            <v>0</v>
          </cell>
          <cell r="I7">
            <v>0.15</v>
          </cell>
          <cell r="J7">
            <v>0.59131800000000001</v>
          </cell>
          <cell r="K7">
            <v>0.59131800000000001</v>
          </cell>
          <cell r="L7">
            <v>0</v>
          </cell>
          <cell r="M7">
            <v>0</v>
          </cell>
        </row>
        <row r="8">
          <cell r="B8" t="str">
            <v>25301</v>
          </cell>
          <cell r="C8">
            <v>1990</v>
          </cell>
          <cell r="D8">
            <v>572</v>
          </cell>
          <cell r="E8" t="str">
            <v>KONIK KURESEL FREZE 10 MM</v>
          </cell>
          <cell r="F8">
            <v>4</v>
          </cell>
          <cell r="G8">
            <v>9</v>
          </cell>
          <cell r="H8">
            <v>0</v>
          </cell>
          <cell r="I8">
            <v>0.504</v>
          </cell>
          <cell r="J8">
            <v>1.9868300000000001</v>
          </cell>
          <cell r="K8">
            <v>1.9868300000000001</v>
          </cell>
          <cell r="L8">
            <v>0</v>
          </cell>
          <cell r="M8">
            <v>0</v>
          </cell>
        </row>
        <row r="9">
          <cell r="B9" t="str">
            <v>25301</v>
          </cell>
          <cell r="C9">
            <v>1990</v>
          </cell>
          <cell r="D9">
            <v>573</v>
          </cell>
          <cell r="E9" t="str">
            <v>KALIPCI FREZE KURESEL 6 MM</v>
          </cell>
          <cell r="F9">
            <v>1</v>
          </cell>
          <cell r="G9">
            <v>9</v>
          </cell>
          <cell r="H9">
            <v>0</v>
          </cell>
          <cell r="I9">
            <v>0.13980000000000001</v>
          </cell>
          <cell r="J9">
            <v>0.55110999999999999</v>
          </cell>
          <cell r="K9">
            <v>0.55110999999999999</v>
          </cell>
          <cell r="L9">
            <v>0</v>
          </cell>
          <cell r="M9">
            <v>0</v>
          </cell>
        </row>
        <row r="10">
          <cell r="B10" t="str">
            <v>25301</v>
          </cell>
          <cell r="C10">
            <v>1990</v>
          </cell>
          <cell r="D10">
            <v>575</v>
          </cell>
          <cell r="E10" t="str">
            <v>KONIK KURESEL FREZE 16 MM</v>
          </cell>
          <cell r="F10">
            <v>2</v>
          </cell>
          <cell r="G10">
            <v>9</v>
          </cell>
          <cell r="H10">
            <v>0</v>
          </cell>
          <cell r="I10">
            <v>0.33600000000000002</v>
          </cell>
          <cell r="J10">
            <v>1.3245530000000001</v>
          </cell>
          <cell r="K10">
            <v>1.3245530000000001</v>
          </cell>
          <cell r="L10">
            <v>0</v>
          </cell>
          <cell r="M10">
            <v>0</v>
          </cell>
        </row>
        <row r="11">
          <cell r="B11" t="str">
            <v>25301</v>
          </cell>
          <cell r="C11">
            <v>1990</v>
          </cell>
          <cell r="D11">
            <v>577</v>
          </cell>
          <cell r="E11" t="str">
            <v>50 MM KABA TELAS PARMAK FREZE</v>
          </cell>
          <cell r="F11">
            <v>2</v>
          </cell>
          <cell r="G11">
            <v>9</v>
          </cell>
          <cell r="H11">
            <v>0</v>
          </cell>
          <cell r="I11">
            <v>2.496</v>
          </cell>
          <cell r="J11">
            <v>9.8395430000000008</v>
          </cell>
          <cell r="K11">
            <v>9.8395430000000008</v>
          </cell>
          <cell r="L11">
            <v>0</v>
          </cell>
          <cell r="M11">
            <v>0</v>
          </cell>
        </row>
        <row r="12">
          <cell r="B12" t="str">
            <v>25301</v>
          </cell>
          <cell r="C12">
            <v>1991</v>
          </cell>
          <cell r="D12">
            <v>84</v>
          </cell>
          <cell r="E12" t="str">
            <v>2/800AH.CEKICI AKU KURU</v>
          </cell>
          <cell r="F12">
            <v>12</v>
          </cell>
          <cell r="G12">
            <v>10</v>
          </cell>
          <cell r="H12">
            <v>1739.7438219999999</v>
          </cell>
          <cell r="I12">
            <v>13.443147</v>
          </cell>
          <cell r="J12">
            <v>71.393058999999994</v>
          </cell>
          <cell r="K12">
            <v>71.393058999999994</v>
          </cell>
          <cell r="L12">
            <v>0</v>
          </cell>
          <cell r="M12">
            <v>0</v>
          </cell>
        </row>
        <row r="13">
          <cell r="B13" t="str">
            <v>25301</v>
          </cell>
          <cell r="C13">
            <v>1991</v>
          </cell>
          <cell r="D13">
            <v>166</v>
          </cell>
          <cell r="E13" t="str">
            <v>MAHO 1000C-KALIPHANE ISLEME TEZGAHI</v>
          </cell>
          <cell r="F13">
            <v>1</v>
          </cell>
          <cell r="G13">
            <v>8</v>
          </cell>
          <cell r="H13">
            <v>35873.133999999998</v>
          </cell>
          <cell r="I13">
            <v>699</v>
          </cell>
          <cell r="J13">
            <v>3712.2073719999999</v>
          </cell>
          <cell r="K13">
            <v>3712.2073719999999</v>
          </cell>
          <cell r="L13">
            <v>0</v>
          </cell>
          <cell r="M13">
            <v>0</v>
          </cell>
        </row>
        <row r="14">
          <cell r="B14" t="str">
            <v>25301</v>
          </cell>
          <cell r="C14">
            <v>1991</v>
          </cell>
          <cell r="D14">
            <v>191</v>
          </cell>
          <cell r="E14" t="str">
            <v>DELME VE FREZE MOT.220V/600W(BOHR-U-FREMACH.)</v>
          </cell>
          <cell r="F14">
            <v>1</v>
          </cell>
          <cell r="G14">
            <v>9</v>
          </cell>
          <cell r="H14">
            <v>0</v>
          </cell>
          <cell r="I14">
            <v>0.61</v>
          </cell>
          <cell r="J14">
            <v>3.2395520000000002</v>
          </cell>
          <cell r="K14">
            <v>3.2395520000000002</v>
          </cell>
          <cell r="L14">
            <v>0</v>
          </cell>
          <cell r="M14">
            <v>0</v>
          </cell>
        </row>
        <row r="15">
          <cell r="B15" t="str">
            <v>25301</v>
          </cell>
          <cell r="C15">
            <v>1991</v>
          </cell>
          <cell r="D15">
            <v>192</v>
          </cell>
          <cell r="E15" t="str">
            <v>DELME VE FREZE MOT.36V/300 W(BOHR-U-FREMACH.)</v>
          </cell>
          <cell r="F15">
            <v>1</v>
          </cell>
          <cell r="G15">
            <v>9</v>
          </cell>
          <cell r="H15">
            <v>0</v>
          </cell>
          <cell r="I15">
            <v>0.73299999999999998</v>
          </cell>
          <cell r="J15">
            <v>3.8927719999999999</v>
          </cell>
          <cell r="K15">
            <v>3.8927719999999999</v>
          </cell>
          <cell r="L15">
            <v>0</v>
          </cell>
          <cell r="M15">
            <v>0</v>
          </cell>
        </row>
        <row r="16">
          <cell r="B16" t="str">
            <v>25301</v>
          </cell>
          <cell r="C16">
            <v>1991</v>
          </cell>
          <cell r="D16">
            <v>259</v>
          </cell>
          <cell r="E16" t="str">
            <v>NC FREZE PLOTTER (AKS ILE)</v>
          </cell>
          <cell r="F16">
            <v>1</v>
          </cell>
          <cell r="G16">
            <v>9</v>
          </cell>
          <cell r="H16">
            <v>0</v>
          </cell>
          <cell r="I16">
            <v>146.53</v>
          </cell>
          <cell r="J16">
            <v>778.18275600000004</v>
          </cell>
          <cell r="K16">
            <v>778.18275600000004</v>
          </cell>
          <cell r="L16">
            <v>0</v>
          </cell>
          <cell r="M16">
            <v>0</v>
          </cell>
        </row>
        <row r="17">
          <cell r="B17" t="str">
            <v>25301</v>
          </cell>
          <cell r="C17">
            <v>1992</v>
          </cell>
          <cell r="D17">
            <v>37</v>
          </cell>
          <cell r="E17" t="str">
            <v>AK40-MK4 BILYALI TAKIM TUTUCU</v>
          </cell>
          <cell r="F17">
            <v>1</v>
          </cell>
          <cell r="G17">
            <v>9</v>
          </cell>
          <cell r="H17">
            <v>0</v>
          </cell>
          <cell r="I17">
            <v>0.76</v>
          </cell>
          <cell r="J17">
            <v>4.9858479999999998</v>
          </cell>
          <cell r="K17">
            <v>4.9858479999999998</v>
          </cell>
          <cell r="L17">
            <v>0</v>
          </cell>
          <cell r="M17">
            <v>0</v>
          </cell>
        </row>
        <row r="18">
          <cell r="B18" t="str">
            <v>25301</v>
          </cell>
          <cell r="C18">
            <v>1992</v>
          </cell>
          <cell r="D18">
            <v>35</v>
          </cell>
          <cell r="E18" t="str">
            <v>AK40-MK2 TAKIM TUTUCU</v>
          </cell>
          <cell r="F18">
            <v>1</v>
          </cell>
          <cell r="G18">
            <v>9</v>
          </cell>
          <cell r="H18">
            <v>0</v>
          </cell>
          <cell r="I18">
            <v>0.68</v>
          </cell>
          <cell r="J18">
            <v>4.4610209999999997</v>
          </cell>
          <cell r="K18">
            <v>4.4610209999999997</v>
          </cell>
          <cell r="L18">
            <v>0</v>
          </cell>
          <cell r="M18">
            <v>0</v>
          </cell>
        </row>
        <row r="19">
          <cell r="B19" t="str">
            <v>25301</v>
          </cell>
          <cell r="C19">
            <v>1992</v>
          </cell>
          <cell r="D19">
            <v>124</v>
          </cell>
          <cell r="E19" t="str">
            <v>MODUL TAKIM TUTUCULARI</v>
          </cell>
          <cell r="F19">
            <v>1</v>
          </cell>
          <cell r="G19">
            <v>9</v>
          </cell>
          <cell r="H19">
            <v>30147.475200000001</v>
          </cell>
          <cell r="I19">
            <v>89.5</v>
          </cell>
          <cell r="J19">
            <v>587.14918399999999</v>
          </cell>
          <cell r="K19">
            <v>587.14918399999999</v>
          </cell>
          <cell r="L19">
            <v>0</v>
          </cell>
          <cell r="M19">
            <v>0</v>
          </cell>
        </row>
        <row r="20">
          <cell r="B20" t="str">
            <v>25301</v>
          </cell>
          <cell r="C20">
            <v>1992</v>
          </cell>
          <cell r="D20">
            <v>143</v>
          </cell>
          <cell r="E20" t="str">
            <v>TAKIM HAZIRLAMA ve OLCME CIHAZI</v>
          </cell>
          <cell r="F20">
            <v>1</v>
          </cell>
          <cell r="G20">
            <v>9</v>
          </cell>
          <cell r="H20">
            <v>1620.8320000000001</v>
          </cell>
          <cell r="I20">
            <v>53</v>
          </cell>
          <cell r="J20">
            <v>347.69728199999997</v>
          </cell>
          <cell r="K20">
            <v>347.69728199999997</v>
          </cell>
          <cell r="L20">
            <v>0</v>
          </cell>
          <cell r="M20">
            <v>0</v>
          </cell>
        </row>
        <row r="21">
          <cell r="B21" t="str">
            <v>25301</v>
          </cell>
          <cell r="C21">
            <v>1992</v>
          </cell>
          <cell r="D21">
            <v>269</v>
          </cell>
          <cell r="E21" t="str">
            <v>KALIPCI FREZESI-UNIVERSAL FREZE DECKEL FP1</v>
          </cell>
          <cell r="F21">
            <v>1</v>
          </cell>
          <cell r="G21">
            <v>8</v>
          </cell>
          <cell r="H21">
            <v>4079.04</v>
          </cell>
          <cell r="I21">
            <v>484.6</v>
          </cell>
          <cell r="J21">
            <v>3179.1340180000002</v>
          </cell>
          <cell r="K21">
            <v>3179.1340180000002</v>
          </cell>
          <cell r="L21">
            <v>0</v>
          </cell>
          <cell r="M21">
            <v>0</v>
          </cell>
        </row>
        <row r="22">
          <cell r="B22" t="str">
            <v>25301</v>
          </cell>
          <cell r="C22">
            <v>1992</v>
          </cell>
          <cell r="D22">
            <v>460</v>
          </cell>
          <cell r="E22" t="str">
            <v>DIKEY TESTERE(DEKOPAJ)</v>
          </cell>
          <cell r="F22">
            <v>1</v>
          </cell>
          <cell r="G22">
            <v>8</v>
          </cell>
          <cell r="H22">
            <v>1631.616</v>
          </cell>
          <cell r="I22">
            <v>197.68365499999999</v>
          </cell>
          <cell r="J22">
            <v>1296.8692390000001</v>
          </cell>
          <cell r="K22">
            <v>1296.8692390000001</v>
          </cell>
          <cell r="L22">
            <v>0</v>
          </cell>
          <cell r="M22">
            <v>0</v>
          </cell>
        </row>
        <row r="23">
          <cell r="B23" t="str">
            <v>25301</v>
          </cell>
          <cell r="C23">
            <v>1992</v>
          </cell>
          <cell r="D23">
            <v>508</v>
          </cell>
          <cell r="E23" t="str">
            <v>EREZYON TEZGAHI TAKIM TUTUCU SIS</v>
          </cell>
          <cell r="F23">
            <v>1</v>
          </cell>
          <cell r="G23">
            <v>9</v>
          </cell>
          <cell r="H23">
            <v>0</v>
          </cell>
          <cell r="I23">
            <v>125.8</v>
          </cell>
          <cell r="J23">
            <v>825.28902000000005</v>
          </cell>
          <cell r="K23">
            <v>825.28902000000005</v>
          </cell>
          <cell r="L23">
            <v>0</v>
          </cell>
          <cell r="M23">
            <v>0</v>
          </cell>
        </row>
        <row r="24">
          <cell r="B24" t="str">
            <v>25301</v>
          </cell>
          <cell r="C24">
            <v>1993</v>
          </cell>
          <cell r="D24">
            <v>33</v>
          </cell>
          <cell r="E24" t="str">
            <v>FP4 UNIVERSAL FREZE TEZGAHI</v>
          </cell>
          <cell r="F24">
            <v>1</v>
          </cell>
          <cell r="G24">
            <v>8</v>
          </cell>
          <cell r="H24">
            <v>8158.08</v>
          </cell>
          <cell r="I24">
            <v>640</v>
          </cell>
          <cell r="J24">
            <v>4580.3003900000003</v>
          </cell>
          <cell r="K24">
            <v>4580.3003900000003</v>
          </cell>
          <cell r="L24">
            <v>0</v>
          </cell>
          <cell r="M24">
            <v>0</v>
          </cell>
        </row>
        <row r="25">
          <cell r="B25" t="str">
            <v>25301</v>
          </cell>
          <cell r="C25">
            <v>1993</v>
          </cell>
          <cell r="D25">
            <v>37</v>
          </cell>
          <cell r="E25" t="str">
            <v>NK 25A KALIPCI FRZ.TEZGAHI -FNK25A</v>
          </cell>
          <cell r="F25">
            <v>1</v>
          </cell>
          <cell r="G25">
            <v>8</v>
          </cell>
          <cell r="H25">
            <v>5710.6559999999999</v>
          </cell>
          <cell r="I25">
            <v>104.52500000000001</v>
          </cell>
          <cell r="J25">
            <v>748.05609200000004</v>
          </cell>
          <cell r="K25">
            <v>748.05609200000004</v>
          </cell>
          <cell r="L25">
            <v>0</v>
          </cell>
          <cell r="M25">
            <v>0</v>
          </cell>
        </row>
        <row r="26">
          <cell r="B26" t="str">
            <v>25301</v>
          </cell>
          <cell r="C26">
            <v>1993</v>
          </cell>
          <cell r="D26">
            <v>47</v>
          </cell>
          <cell r="E26" t="str">
            <v>PENSLI TAKIM TUTUCU FAHRION MARK</v>
          </cell>
          <cell r="F26">
            <v>2</v>
          </cell>
          <cell r="G26">
            <v>9</v>
          </cell>
          <cell r="H26">
            <v>0</v>
          </cell>
          <cell r="I26">
            <v>11.97</v>
          </cell>
          <cell r="J26">
            <v>85.665930000000003</v>
          </cell>
          <cell r="K26">
            <v>85.665930000000003</v>
          </cell>
          <cell r="L26">
            <v>0</v>
          </cell>
          <cell r="M26">
            <v>0</v>
          </cell>
        </row>
        <row r="27">
          <cell r="B27" t="str">
            <v>25301</v>
          </cell>
          <cell r="C27">
            <v>1995</v>
          </cell>
          <cell r="D27">
            <v>144</v>
          </cell>
          <cell r="E27" t="str">
            <v>TAKIM TUTUCULARI AKS.ILE</v>
          </cell>
          <cell r="F27">
            <v>1</v>
          </cell>
          <cell r="G27">
            <v>9</v>
          </cell>
          <cell r="H27">
            <v>0</v>
          </cell>
          <cell r="I27">
            <v>247.2</v>
          </cell>
          <cell r="J27">
            <v>2083.961581</v>
          </cell>
          <cell r="K27">
            <v>2083.961581</v>
          </cell>
          <cell r="L27">
            <v>0</v>
          </cell>
          <cell r="M27">
            <v>1.8296030000000001</v>
          </cell>
        </row>
        <row r="28">
          <cell r="B28" t="str">
            <v>25301</v>
          </cell>
          <cell r="C28">
            <v>1995</v>
          </cell>
          <cell r="D28">
            <v>335</v>
          </cell>
          <cell r="E28" t="str">
            <v>OZEL TAKIM TUTUCULARI</v>
          </cell>
          <cell r="F28">
            <v>4</v>
          </cell>
          <cell r="G28">
            <v>9</v>
          </cell>
          <cell r="H28">
            <v>0</v>
          </cell>
          <cell r="I28">
            <v>55</v>
          </cell>
          <cell r="J28">
            <v>463.66459099999997</v>
          </cell>
          <cell r="K28">
            <v>463.66459099999997</v>
          </cell>
          <cell r="L28">
            <v>0</v>
          </cell>
          <cell r="M28">
            <v>0</v>
          </cell>
        </row>
        <row r="29">
          <cell r="B29" t="str">
            <v>25301</v>
          </cell>
          <cell r="C29">
            <v>1996</v>
          </cell>
          <cell r="D29">
            <v>15</v>
          </cell>
          <cell r="E29" t="str">
            <v>TORNA AYNASI200*3CELIKGOVDE DUZ-TERS AYAK.ILE</v>
          </cell>
          <cell r="F29">
            <v>1</v>
          </cell>
          <cell r="G29">
            <v>9</v>
          </cell>
          <cell r="H29">
            <v>1134.5824</v>
          </cell>
          <cell r="I29">
            <v>17.3</v>
          </cell>
          <cell r="J29">
            <v>131.66435300000001</v>
          </cell>
          <cell r="K29">
            <v>131.66435300000001</v>
          </cell>
          <cell r="L29">
            <v>0</v>
          </cell>
          <cell r="M29">
            <v>0</v>
          </cell>
        </row>
        <row r="30">
          <cell r="B30" t="str">
            <v>25301</v>
          </cell>
          <cell r="C30">
            <v>1996</v>
          </cell>
          <cell r="D30">
            <v>54</v>
          </cell>
          <cell r="E30" t="str">
            <v>PARMAK FREZE TAKIMI HSS(2-26MM)</v>
          </cell>
          <cell r="F30">
            <v>1</v>
          </cell>
          <cell r="G30">
            <v>9</v>
          </cell>
          <cell r="H30">
            <v>0</v>
          </cell>
          <cell r="I30">
            <v>50.95</v>
          </cell>
          <cell r="J30">
            <v>387.76292999999998</v>
          </cell>
          <cell r="K30">
            <v>387.76292999999998</v>
          </cell>
          <cell r="L30">
            <v>0</v>
          </cell>
          <cell r="M30">
            <v>2.0326590000000002</v>
          </cell>
        </row>
        <row r="31">
          <cell r="B31" t="str">
            <v>25301</v>
          </cell>
          <cell r="C31">
            <v>1996</v>
          </cell>
          <cell r="D31">
            <v>65</v>
          </cell>
          <cell r="E31" t="str">
            <v>SN50C*1500 UNIV.TORNA TEZGAHI VE EKLERI</v>
          </cell>
          <cell r="F31">
            <v>1</v>
          </cell>
          <cell r="G31">
            <v>9</v>
          </cell>
          <cell r="H31">
            <v>0</v>
          </cell>
          <cell r="I31">
            <v>1659.2</v>
          </cell>
          <cell r="J31">
            <v>12627.600721000001</v>
          </cell>
          <cell r="K31">
            <v>12627.600721000001</v>
          </cell>
          <cell r="L31">
            <v>0</v>
          </cell>
          <cell r="M31">
            <v>66.194083000000006</v>
          </cell>
        </row>
        <row r="32">
          <cell r="B32" t="str">
            <v>25302</v>
          </cell>
          <cell r="C32">
            <v>1990</v>
          </cell>
          <cell r="D32">
            <v>106</v>
          </cell>
          <cell r="E32" t="str">
            <v>FREZE AKSAMLAR PNOMATIK TIP APARATI</v>
          </cell>
          <cell r="F32">
            <v>1</v>
          </cell>
          <cell r="G32">
            <v>9</v>
          </cell>
          <cell r="H32">
            <v>0</v>
          </cell>
          <cell r="I32">
            <v>3.6158999999999999</v>
          </cell>
          <cell r="J32">
            <v>14.254329</v>
          </cell>
          <cell r="K32">
            <v>14.254329</v>
          </cell>
          <cell r="L32">
            <v>0</v>
          </cell>
          <cell r="M32">
            <v>0</v>
          </cell>
        </row>
        <row r="33">
          <cell r="B33" t="str">
            <v>25401</v>
          </cell>
          <cell r="C33">
            <v>1997</v>
          </cell>
          <cell r="D33">
            <v>3</v>
          </cell>
          <cell r="E33" t="str">
            <v>KARTAL 34 GVK 62</v>
          </cell>
          <cell r="F33">
            <v>1</v>
          </cell>
          <cell r="G33">
            <v>10</v>
          </cell>
          <cell r="H33">
            <v>3712.8712869999999</v>
          </cell>
          <cell r="I33">
            <v>1779.93037</v>
          </cell>
          <cell r="J33">
            <v>11503.959593</v>
          </cell>
          <cell r="K33">
            <v>11503.959593</v>
          </cell>
          <cell r="L33">
            <v>0</v>
          </cell>
          <cell r="M33">
            <v>248.59684999999999</v>
          </cell>
        </row>
        <row r="34">
          <cell r="B34" t="str">
            <v>25401</v>
          </cell>
          <cell r="C34">
            <v>1997</v>
          </cell>
          <cell r="D34">
            <v>12</v>
          </cell>
          <cell r="E34" t="str">
            <v>SCUDO EL VAN 34 GVV 80</v>
          </cell>
          <cell r="F34">
            <v>1</v>
          </cell>
          <cell r="G34">
            <v>9</v>
          </cell>
          <cell r="H34">
            <v>6016.9491529999996</v>
          </cell>
          <cell r="I34">
            <v>2751.0363000000002</v>
          </cell>
          <cell r="J34">
            <v>17780.364313999999</v>
          </cell>
          <cell r="K34">
            <v>17780.364313999999</v>
          </cell>
          <cell r="L34">
            <v>0</v>
          </cell>
          <cell r="M34">
            <v>238.486301</v>
          </cell>
        </row>
        <row r="35">
          <cell r="B35" t="str">
            <v>25501</v>
          </cell>
          <cell r="C35">
            <v>1987</v>
          </cell>
          <cell r="D35">
            <v>160</v>
          </cell>
          <cell r="E35" t="str">
            <v>CL AMBER MONITOR</v>
          </cell>
          <cell r="F35">
            <v>1</v>
          </cell>
          <cell r="G35">
            <v>11</v>
          </cell>
          <cell r="H35">
            <v>5</v>
          </cell>
          <cell r="I35">
            <v>0.19</v>
          </cell>
          <cell r="J35">
            <v>0.82162500000000005</v>
          </cell>
          <cell r="K35">
            <v>0.82162500000000005</v>
          </cell>
          <cell r="L35">
            <v>0</v>
          </cell>
          <cell r="M35">
            <v>0</v>
          </cell>
        </row>
        <row r="36">
          <cell r="B36" t="str">
            <v>25501</v>
          </cell>
          <cell r="C36">
            <v>1988</v>
          </cell>
          <cell r="D36">
            <v>196</v>
          </cell>
          <cell r="E36" t="str">
            <v>BILGISAR CL-30 D</v>
          </cell>
          <cell r="F36">
            <v>1</v>
          </cell>
          <cell r="G36">
            <v>11</v>
          </cell>
          <cell r="H36">
            <v>10</v>
          </cell>
          <cell r="I36">
            <v>3.8258000000000001</v>
          </cell>
          <cell r="J36">
            <v>15.621575999999999</v>
          </cell>
          <cell r="K36">
            <v>15.621575999999999</v>
          </cell>
          <cell r="L36">
            <v>0</v>
          </cell>
          <cell r="M36">
            <v>0</v>
          </cell>
        </row>
        <row r="37">
          <cell r="B37" t="str">
            <v>25501</v>
          </cell>
          <cell r="C37">
            <v>1988</v>
          </cell>
          <cell r="D37">
            <v>302</v>
          </cell>
          <cell r="E37" t="str">
            <v>EGA MONITOR VE KARTI</v>
          </cell>
          <cell r="F37">
            <v>1</v>
          </cell>
          <cell r="G37">
            <v>11</v>
          </cell>
          <cell r="H37">
            <v>5</v>
          </cell>
          <cell r="I37">
            <v>1.1032</v>
          </cell>
          <cell r="J37">
            <v>4.504607</v>
          </cell>
          <cell r="K37">
            <v>4.504607</v>
          </cell>
          <cell r="L37">
            <v>0</v>
          </cell>
          <cell r="M37">
            <v>0</v>
          </cell>
        </row>
        <row r="38">
          <cell r="B38" t="str">
            <v>25501</v>
          </cell>
          <cell r="C38">
            <v>1988</v>
          </cell>
          <cell r="D38">
            <v>340</v>
          </cell>
          <cell r="E38" t="str">
            <v>CL-12 MONITOR</v>
          </cell>
          <cell r="F38">
            <v>1</v>
          </cell>
          <cell r="G38">
            <v>11</v>
          </cell>
          <cell r="H38">
            <v>5</v>
          </cell>
          <cell r="I38">
            <v>0.3</v>
          </cell>
          <cell r="J38">
            <v>1.224966</v>
          </cell>
          <cell r="K38">
            <v>1.224966</v>
          </cell>
          <cell r="L38">
            <v>0</v>
          </cell>
          <cell r="M38">
            <v>0</v>
          </cell>
        </row>
        <row r="39">
          <cell r="B39" t="str">
            <v>25501</v>
          </cell>
          <cell r="C39">
            <v>1989</v>
          </cell>
          <cell r="D39">
            <v>793</v>
          </cell>
          <cell r="E39" t="str">
            <v>1 AD. BILGISAYAR</v>
          </cell>
          <cell r="F39">
            <v>1</v>
          </cell>
          <cell r="G39">
            <v>11</v>
          </cell>
          <cell r="H39">
            <v>10</v>
          </cell>
          <cell r="I39">
            <v>6.1063999999999998</v>
          </cell>
          <cell r="J39">
            <v>23.631474999999998</v>
          </cell>
          <cell r="K39">
            <v>23.631474999999998</v>
          </cell>
          <cell r="L39">
            <v>0</v>
          </cell>
          <cell r="M39">
            <v>0</v>
          </cell>
        </row>
        <row r="40">
          <cell r="B40" t="str">
            <v>25501</v>
          </cell>
          <cell r="C40">
            <v>1991</v>
          </cell>
          <cell r="D40">
            <v>161</v>
          </cell>
          <cell r="E40" t="str">
            <v>TAKMA UCLU FREZE FK.15.17 3037</v>
          </cell>
          <cell r="F40">
            <v>1</v>
          </cell>
          <cell r="G40">
            <v>9</v>
          </cell>
          <cell r="H40">
            <v>0</v>
          </cell>
          <cell r="I40">
            <v>0.20286999999999999</v>
          </cell>
          <cell r="J40">
            <v>1.0773900000000001</v>
          </cell>
          <cell r="K40">
            <v>1.0773900000000001</v>
          </cell>
          <cell r="L40">
            <v>0</v>
          </cell>
          <cell r="M40">
            <v>0</v>
          </cell>
        </row>
        <row r="41">
          <cell r="B41" t="str">
            <v>25501</v>
          </cell>
          <cell r="C41">
            <v>1991</v>
          </cell>
          <cell r="D41">
            <v>170</v>
          </cell>
          <cell r="E41" t="str">
            <v>SERT UCLU PARMAK FREZE FK151730.2</v>
          </cell>
          <cell r="F41">
            <v>1</v>
          </cell>
          <cell r="G41">
            <v>9</v>
          </cell>
          <cell r="H41">
            <v>0</v>
          </cell>
          <cell r="I41">
            <v>0.28499999999999998</v>
          </cell>
          <cell r="J41">
            <v>1.5135620000000001</v>
          </cell>
          <cell r="K41">
            <v>1.5135620000000001</v>
          </cell>
          <cell r="L41">
            <v>0</v>
          </cell>
          <cell r="M41">
            <v>0</v>
          </cell>
        </row>
        <row r="42">
          <cell r="B42" t="str">
            <v>25501</v>
          </cell>
          <cell r="C42">
            <v>1991</v>
          </cell>
          <cell r="D42">
            <v>174</v>
          </cell>
          <cell r="E42" t="str">
            <v>TAKMA UCLU P.FREZE C 1442502 MK</v>
          </cell>
          <cell r="F42">
            <v>1</v>
          </cell>
          <cell r="G42">
            <v>9</v>
          </cell>
          <cell r="H42">
            <v>0</v>
          </cell>
          <cell r="I42">
            <v>0.98499999999999999</v>
          </cell>
          <cell r="J42">
            <v>5.2310800000000004</v>
          </cell>
          <cell r="K42">
            <v>5.2310800000000004</v>
          </cell>
          <cell r="L42">
            <v>0</v>
          </cell>
          <cell r="M42">
            <v>0</v>
          </cell>
        </row>
        <row r="43">
          <cell r="B43" t="str">
            <v>25501</v>
          </cell>
          <cell r="C43">
            <v>1991</v>
          </cell>
          <cell r="D43">
            <v>171</v>
          </cell>
          <cell r="E43" t="str">
            <v>SERT UCLU PARMAK FREZE FK151730.3</v>
          </cell>
          <cell r="F43">
            <v>1</v>
          </cell>
          <cell r="G43">
            <v>9</v>
          </cell>
          <cell r="H43">
            <v>0</v>
          </cell>
          <cell r="I43">
            <v>0.31</v>
          </cell>
          <cell r="J43">
            <v>1.6463300000000001</v>
          </cell>
          <cell r="K43">
            <v>1.6463300000000001</v>
          </cell>
          <cell r="L43">
            <v>0</v>
          </cell>
          <cell r="M43">
            <v>0</v>
          </cell>
        </row>
        <row r="44">
          <cell r="B44" t="str">
            <v>25501</v>
          </cell>
          <cell r="C44">
            <v>1991</v>
          </cell>
          <cell r="D44">
            <v>173</v>
          </cell>
          <cell r="E44" t="str">
            <v>TAKMA UCLU P.FREZE C 1442002 MK</v>
          </cell>
          <cell r="F44">
            <v>1</v>
          </cell>
          <cell r="G44">
            <v>9</v>
          </cell>
          <cell r="H44">
            <v>0</v>
          </cell>
          <cell r="I44">
            <v>0.82499999999999996</v>
          </cell>
          <cell r="J44">
            <v>4.3813610000000001</v>
          </cell>
          <cell r="K44">
            <v>4.3813610000000001</v>
          </cell>
          <cell r="L44">
            <v>0</v>
          </cell>
          <cell r="M44">
            <v>0</v>
          </cell>
        </row>
        <row r="45">
          <cell r="B45" t="str">
            <v>25501</v>
          </cell>
          <cell r="C45">
            <v>1991</v>
          </cell>
          <cell r="D45">
            <v>548</v>
          </cell>
          <cell r="E45" t="str">
            <v>M 42 KURESEL ALINLI PARMAK FREZE</v>
          </cell>
          <cell r="F45">
            <v>1</v>
          </cell>
          <cell r="G45">
            <v>9</v>
          </cell>
          <cell r="H45">
            <v>0</v>
          </cell>
          <cell r="I45">
            <v>0.65739999999999998</v>
          </cell>
          <cell r="J45">
            <v>3.4912800000000002</v>
          </cell>
          <cell r="K45">
            <v>3.4912800000000002</v>
          </cell>
          <cell r="L45">
            <v>0</v>
          </cell>
          <cell r="M45">
            <v>0</v>
          </cell>
        </row>
        <row r="46">
          <cell r="B46" t="str">
            <v>25501</v>
          </cell>
          <cell r="C46">
            <v>1991</v>
          </cell>
          <cell r="D46">
            <v>553</v>
          </cell>
          <cell r="E46" t="str">
            <v>M 42 KURESEL ALINLI PARMAK FREZE</v>
          </cell>
          <cell r="F46">
            <v>4</v>
          </cell>
          <cell r="G46">
            <v>9</v>
          </cell>
          <cell r="H46">
            <v>0</v>
          </cell>
          <cell r="I46">
            <v>1.28535</v>
          </cell>
          <cell r="J46">
            <v>6.8261599999999998</v>
          </cell>
          <cell r="K46">
            <v>6.8261599999999998</v>
          </cell>
          <cell r="L46">
            <v>0</v>
          </cell>
          <cell r="M46">
            <v>0</v>
          </cell>
        </row>
        <row r="47">
          <cell r="B47" t="str">
            <v>25501</v>
          </cell>
          <cell r="C47">
            <v>1991</v>
          </cell>
          <cell r="D47">
            <v>665</v>
          </cell>
          <cell r="E47" t="str">
            <v>M42 YARIK FREZE DIN 844 Nr.3452</v>
          </cell>
          <cell r="F47">
            <v>1</v>
          </cell>
          <cell r="G47">
            <v>9</v>
          </cell>
          <cell r="H47">
            <v>0</v>
          </cell>
          <cell r="I47">
            <v>0.256025</v>
          </cell>
          <cell r="J47">
            <v>1.35968</v>
          </cell>
          <cell r="K47">
            <v>1.35968</v>
          </cell>
          <cell r="L47">
            <v>0</v>
          </cell>
          <cell r="M47">
            <v>0</v>
          </cell>
        </row>
        <row r="48">
          <cell r="B48" t="str">
            <v>25501</v>
          </cell>
          <cell r="C48">
            <v>1991</v>
          </cell>
          <cell r="D48">
            <v>666</v>
          </cell>
          <cell r="E48" t="str">
            <v>HSCO YARIK FREZE DIN 844 Nr.3055</v>
          </cell>
          <cell r="F48">
            <v>1</v>
          </cell>
          <cell r="G48">
            <v>9</v>
          </cell>
          <cell r="H48">
            <v>0</v>
          </cell>
          <cell r="I48">
            <v>0.11001</v>
          </cell>
          <cell r="J48">
            <v>0.58423400000000003</v>
          </cell>
          <cell r="K48">
            <v>0.58423400000000003</v>
          </cell>
          <cell r="L48">
            <v>0</v>
          </cell>
          <cell r="M48">
            <v>0</v>
          </cell>
        </row>
        <row r="49">
          <cell r="B49" t="str">
            <v>25501</v>
          </cell>
          <cell r="C49">
            <v>1991</v>
          </cell>
          <cell r="D49">
            <v>668</v>
          </cell>
          <cell r="E49" t="str">
            <v>VHM PARMAK FREZE P40 Nr.3219</v>
          </cell>
          <cell r="F49">
            <v>1</v>
          </cell>
          <cell r="G49">
            <v>9</v>
          </cell>
          <cell r="H49">
            <v>0</v>
          </cell>
          <cell r="I49">
            <v>0.36294799999999999</v>
          </cell>
          <cell r="J49">
            <v>1.927522</v>
          </cell>
          <cell r="K49">
            <v>1.927522</v>
          </cell>
          <cell r="L49">
            <v>0</v>
          </cell>
          <cell r="M49">
            <v>0</v>
          </cell>
        </row>
        <row r="50">
          <cell r="B50" t="str">
            <v>25501</v>
          </cell>
          <cell r="C50">
            <v>1991</v>
          </cell>
          <cell r="D50">
            <v>670</v>
          </cell>
          <cell r="E50" t="str">
            <v>VHM PARMAK FREZE P40 Nr.3219</v>
          </cell>
          <cell r="F50">
            <v>1</v>
          </cell>
          <cell r="G50">
            <v>9</v>
          </cell>
          <cell r="H50">
            <v>0</v>
          </cell>
          <cell r="I50">
            <v>0.56335000000000002</v>
          </cell>
          <cell r="J50">
            <v>2.9918049999999998</v>
          </cell>
          <cell r="K50">
            <v>2.9918049999999998</v>
          </cell>
          <cell r="L50">
            <v>0</v>
          </cell>
          <cell r="M50">
            <v>0</v>
          </cell>
        </row>
        <row r="51">
          <cell r="B51" t="str">
            <v>25501</v>
          </cell>
          <cell r="C51">
            <v>1991</v>
          </cell>
          <cell r="D51">
            <v>721</v>
          </cell>
          <cell r="E51" t="str">
            <v>UZUN DELIK PARMAK FREZE 28 mm</v>
          </cell>
          <cell r="F51">
            <v>2</v>
          </cell>
          <cell r="G51">
            <v>9</v>
          </cell>
          <cell r="H51">
            <v>0</v>
          </cell>
          <cell r="I51">
            <v>0.94499999999999995</v>
          </cell>
          <cell r="J51">
            <v>5.0186489999999999</v>
          </cell>
          <cell r="K51">
            <v>5.0186489999999999</v>
          </cell>
          <cell r="L51">
            <v>0</v>
          </cell>
          <cell r="M51">
            <v>0</v>
          </cell>
        </row>
        <row r="52">
          <cell r="B52" t="str">
            <v>25501</v>
          </cell>
          <cell r="C52">
            <v>1992</v>
          </cell>
          <cell r="D52">
            <v>127</v>
          </cell>
          <cell r="E52" t="str">
            <v>TAKIM TUTUCU SETI-MAHO'LAR [C[N</v>
          </cell>
          <cell r="F52">
            <v>1</v>
          </cell>
          <cell r="G52">
            <v>9</v>
          </cell>
          <cell r="H52">
            <v>0</v>
          </cell>
          <cell r="I52">
            <v>3.762</v>
          </cell>
          <cell r="J52">
            <v>24.679946999999999</v>
          </cell>
          <cell r="K52">
            <v>24.679946999999999</v>
          </cell>
          <cell r="L52">
            <v>0</v>
          </cell>
          <cell r="M52">
            <v>0</v>
          </cell>
        </row>
        <row r="53">
          <cell r="B53" t="str">
            <v>25501</v>
          </cell>
          <cell r="C53">
            <v>1992</v>
          </cell>
          <cell r="D53">
            <v>400</v>
          </cell>
          <cell r="E53" t="str">
            <v>AK 40-TK 40.25 TAKIM TUTUCU</v>
          </cell>
          <cell r="F53">
            <v>2</v>
          </cell>
          <cell r="G53">
            <v>9</v>
          </cell>
          <cell r="H53">
            <v>0</v>
          </cell>
          <cell r="I53">
            <v>1.296</v>
          </cell>
          <cell r="J53">
            <v>8.5021830000000005</v>
          </cell>
          <cell r="K53">
            <v>8.5021830000000005</v>
          </cell>
          <cell r="L53">
            <v>0</v>
          </cell>
          <cell r="M53">
            <v>0</v>
          </cell>
        </row>
        <row r="54">
          <cell r="B54" t="str">
            <v>25501</v>
          </cell>
          <cell r="C54">
            <v>1992</v>
          </cell>
          <cell r="D54">
            <v>514</v>
          </cell>
          <cell r="E54" t="str">
            <v>OLIVETTI-PCPRO/33-200 VE EKLERI</v>
          </cell>
          <cell r="F54">
            <v>1</v>
          </cell>
          <cell r="G54">
            <v>11</v>
          </cell>
          <cell r="H54">
            <v>10</v>
          </cell>
          <cell r="I54">
            <v>38.31165</v>
          </cell>
          <cell r="J54">
            <v>251.33691899999999</v>
          </cell>
          <cell r="K54">
            <v>251.33691899999999</v>
          </cell>
          <cell r="L54">
            <v>0</v>
          </cell>
          <cell r="M54">
            <v>0</v>
          </cell>
        </row>
        <row r="55">
          <cell r="B55" t="str">
            <v>25501</v>
          </cell>
          <cell r="C55">
            <v>1992</v>
          </cell>
          <cell r="D55">
            <v>539</v>
          </cell>
          <cell r="E55" t="str">
            <v>AK 50-MK3 TAKIM TUTUCU</v>
          </cell>
          <cell r="F55">
            <v>5</v>
          </cell>
          <cell r="G55">
            <v>9</v>
          </cell>
          <cell r="H55">
            <v>0</v>
          </cell>
          <cell r="I55">
            <v>6.25</v>
          </cell>
          <cell r="J55">
            <v>41.002037999999999</v>
          </cell>
          <cell r="K55">
            <v>41.002037999999999</v>
          </cell>
          <cell r="L55">
            <v>0</v>
          </cell>
          <cell r="M55">
            <v>0</v>
          </cell>
        </row>
        <row r="56">
          <cell r="B56" t="str">
            <v>25501</v>
          </cell>
          <cell r="C56">
            <v>1992</v>
          </cell>
          <cell r="D56">
            <v>541</v>
          </cell>
          <cell r="E56" t="str">
            <v>AK 40-MK2 TAKIM TUTUCU</v>
          </cell>
          <cell r="F56">
            <v>3</v>
          </cell>
          <cell r="G56">
            <v>9</v>
          </cell>
          <cell r="H56">
            <v>0</v>
          </cell>
          <cell r="I56">
            <v>2.04</v>
          </cell>
          <cell r="J56">
            <v>13.383063999999999</v>
          </cell>
          <cell r="K56">
            <v>13.383063999999999</v>
          </cell>
          <cell r="L56">
            <v>0</v>
          </cell>
          <cell r="M56">
            <v>0</v>
          </cell>
        </row>
        <row r="57">
          <cell r="B57" t="str">
            <v>25501</v>
          </cell>
          <cell r="C57">
            <v>1992</v>
          </cell>
          <cell r="D57">
            <v>542</v>
          </cell>
          <cell r="E57" t="str">
            <v>AK 40-MK3 TAKIM TUTUCU</v>
          </cell>
          <cell r="F57">
            <v>1</v>
          </cell>
          <cell r="G57">
            <v>9</v>
          </cell>
          <cell r="H57">
            <v>0</v>
          </cell>
          <cell r="I57">
            <v>0.86</v>
          </cell>
          <cell r="J57">
            <v>5.6418799999999996</v>
          </cell>
          <cell r="K57">
            <v>5.6418799999999996</v>
          </cell>
          <cell r="L57">
            <v>0</v>
          </cell>
          <cell r="M57">
            <v>0</v>
          </cell>
        </row>
        <row r="58">
          <cell r="B58" t="str">
            <v>25501</v>
          </cell>
          <cell r="C58">
            <v>1992</v>
          </cell>
          <cell r="D58">
            <v>544</v>
          </cell>
          <cell r="E58" t="str">
            <v>AK 40-MK1 TAKIM TUTUCU</v>
          </cell>
          <cell r="F58">
            <v>1</v>
          </cell>
          <cell r="G58">
            <v>9</v>
          </cell>
          <cell r="H58">
            <v>0</v>
          </cell>
          <cell r="I58">
            <v>0.66</v>
          </cell>
          <cell r="J58">
            <v>4.3298139999999998</v>
          </cell>
          <cell r="K58">
            <v>4.3298139999999998</v>
          </cell>
          <cell r="L58">
            <v>0</v>
          </cell>
          <cell r="M58">
            <v>0</v>
          </cell>
        </row>
        <row r="59">
          <cell r="B59" t="str">
            <v>25501</v>
          </cell>
          <cell r="C59">
            <v>1992</v>
          </cell>
          <cell r="D59">
            <v>545</v>
          </cell>
          <cell r="E59" t="str">
            <v>AK 40-MK2 TAKIM TUTUCU</v>
          </cell>
          <cell r="F59">
            <v>1</v>
          </cell>
          <cell r="G59">
            <v>9</v>
          </cell>
          <cell r="H59">
            <v>0</v>
          </cell>
          <cell r="I59">
            <v>0.68</v>
          </cell>
          <cell r="J59">
            <v>4.4610209999999997</v>
          </cell>
          <cell r="K59">
            <v>4.4610209999999997</v>
          </cell>
          <cell r="L59">
            <v>0</v>
          </cell>
          <cell r="M59">
            <v>0</v>
          </cell>
        </row>
        <row r="60">
          <cell r="B60" t="str">
            <v>25501</v>
          </cell>
          <cell r="C60">
            <v>1992</v>
          </cell>
          <cell r="D60">
            <v>537</v>
          </cell>
          <cell r="E60" t="str">
            <v>AK 50-MK1 TAKIM TUTUCU</v>
          </cell>
          <cell r="F60">
            <v>3</v>
          </cell>
          <cell r="G60">
            <v>9</v>
          </cell>
          <cell r="H60">
            <v>0</v>
          </cell>
          <cell r="I60">
            <v>3.3</v>
          </cell>
          <cell r="J60">
            <v>21.649076000000001</v>
          </cell>
          <cell r="K60">
            <v>21.649076000000001</v>
          </cell>
          <cell r="L60">
            <v>0</v>
          </cell>
          <cell r="M60">
            <v>0</v>
          </cell>
        </row>
        <row r="61">
          <cell r="B61" t="str">
            <v>25501</v>
          </cell>
          <cell r="C61">
            <v>1992</v>
          </cell>
          <cell r="D61">
            <v>870</v>
          </cell>
          <cell r="E61" t="str">
            <v>3 OHM 12V AKU</v>
          </cell>
          <cell r="F61">
            <v>3</v>
          </cell>
          <cell r="G61">
            <v>10</v>
          </cell>
          <cell r="H61">
            <v>133.944444</v>
          </cell>
          <cell r="I61">
            <v>1.0349999999999999</v>
          </cell>
          <cell r="J61">
            <v>6.7899370000000001</v>
          </cell>
          <cell r="K61">
            <v>6.7899370000000001</v>
          </cell>
          <cell r="L61">
            <v>0</v>
          </cell>
          <cell r="M61">
            <v>0</v>
          </cell>
        </row>
        <row r="62">
          <cell r="B62" t="str">
            <v>25501</v>
          </cell>
          <cell r="C62">
            <v>1992</v>
          </cell>
          <cell r="D62">
            <v>889</v>
          </cell>
          <cell r="E62" t="str">
            <v>124 3AHM AKU</v>
          </cell>
          <cell r="F62">
            <v>3</v>
          </cell>
          <cell r="G62">
            <v>10</v>
          </cell>
          <cell r="H62">
            <v>133.944444</v>
          </cell>
          <cell r="I62">
            <v>1.0349999999999999</v>
          </cell>
          <cell r="J62">
            <v>6.7899370000000001</v>
          </cell>
          <cell r="K62">
            <v>6.7899370000000001</v>
          </cell>
          <cell r="L62">
            <v>0</v>
          </cell>
          <cell r="M62">
            <v>0</v>
          </cell>
        </row>
        <row r="63">
          <cell r="B63" t="str">
            <v>25501</v>
          </cell>
          <cell r="C63">
            <v>1993</v>
          </cell>
          <cell r="D63">
            <v>11</v>
          </cell>
          <cell r="E63" t="str">
            <v>AK40-TK42.25 TAKIM TUTUCU</v>
          </cell>
          <cell r="F63">
            <v>5</v>
          </cell>
          <cell r="G63">
            <v>9</v>
          </cell>
          <cell r="H63">
            <v>0</v>
          </cell>
          <cell r="I63">
            <v>5.0999999999999996</v>
          </cell>
          <cell r="J63">
            <v>36.499268999999998</v>
          </cell>
          <cell r="K63">
            <v>36.499268999999998</v>
          </cell>
          <cell r="L63">
            <v>0</v>
          </cell>
          <cell r="M63">
            <v>0</v>
          </cell>
        </row>
        <row r="64">
          <cell r="B64" t="str">
            <v>25501</v>
          </cell>
          <cell r="C64">
            <v>1993</v>
          </cell>
          <cell r="D64">
            <v>12</v>
          </cell>
          <cell r="E64" t="str">
            <v>AK50-TK60.32 TAKIM TUTUCU</v>
          </cell>
          <cell r="F64">
            <v>3</v>
          </cell>
          <cell r="G64">
            <v>9</v>
          </cell>
          <cell r="H64">
            <v>0</v>
          </cell>
          <cell r="I64">
            <v>5.76</v>
          </cell>
          <cell r="J64">
            <v>41.222703000000003</v>
          </cell>
          <cell r="K64">
            <v>41.222703000000003</v>
          </cell>
          <cell r="L64">
            <v>0</v>
          </cell>
          <cell r="M64">
            <v>0</v>
          </cell>
        </row>
        <row r="65">
          <cell r="B65" t="str">
            <v>25501</v>
          </cell>
          <cell r="C65">
            <v>1993</v>
          </cell>
          <cell r="D65">
            <v>13</v>
          </cell>
          <cell r="E65" t="str">
            <v>AK50-TK52.32 TAKIM TUTUCU</v>
          </cell>
          <cell r="F65">
            <v>2</v>
          </cell>
          <cell r="G65">
            <v>9</v>
          </cell>
          <cell r="H65">
            <v>0</v>
          </cell>
          <cell r="I65">
            <v>3.84</v>
          </cell>
          <cell r="J65">
            <v>27.481802999999999</v>
          </cell>
          <cell r="K65">
            <v>27.481802999999999</v>
          </cell>
          <cell r="L65">
            <v>0</v>
          </cell>
          <cell r="M65">
            <v>0</v>
          </cell>
        </row>
        <row r="66">
          <cell r="B66" t="str">
            <v>25501</v>
          </cell>
          <cell r="C66">
            <v>1993</v>
          </cell>
          <cell r="D66">
            <v>32</v>
          </cell>
          <cell r="E66" t="str">
            <v>SY40-MA16 TAKIM TUTUCU</v>
          </cell>
          <cell r="F66">
            <v>1</v>
          </cell>
          <cell r="G66">
            <v>9</v>
          </cell>
          <cell r="H66">
            <v>0</v>
          </cell>
          <cell r="I66">
            <v>0.48</v>
          </cell>
          <cell r="J66">
            <v>3.4352260000000001</v>
          </cell>
          <cell r="K66">
            <v>3.4352260000000001</v>
          </cell>
          <cell r="L66">
            <v>0</v>
          </cell>
          <cell r="M66">
            <v>0</v>
          </cell>
        </row>
        <row r="67">
          <cell r="B67" t="str">
            <v>25501</v>
          </cell>
          <cell r="C67">
            <v>1993</v>
          </cell>
          <cell r="D67">
            <v>34</v>
          </cell>
          <cell r="E67" t="str">
            <v>SY40-MA27 TAKIM TUTUCU</v>
          </cell>
          <cell r="F67">
            <v>1</v>
          </cell>
          <cell r="G67">
            <v>9</v>
          </cell>
          <cell r="H67">
            <v>0</v>
          </cell>
          <cell r="I67">
            <v>0.48</v>
          </cell>
          <cell r="J67">
            <v>3.4352260000000001</v>
          </cell>
          <cell r="K67">
            <v>3.4352260000000001</v>
          </cell>
          <cell r="L67">
            <v>0</v>
          </cell>
          <cell r="M67">
            <v>0</v>
          </cell>
        </row>
        <row r="68">
          <cell r="B68" t="str">
            <v>25501</v>
          </cell>
          <cell r="C68">
            <v>1993</v>
          </cell>
          <cell r="D68">
            <v>35</v>
          </cell>
          <cell r="E68" t="str">
            <v>SY40-MA32 TAKIM TUTUCU</v>
          </cell>
          <cell r="F68">
            <v>1</v>
          </cell>
          <cell r="G68">
            <v>9</v>
          </cell>
          <cell r="H68">
            <v>0</v>
          </cell>
          <cell r="I68">
            <v>0.48</v>
          </cell>
          <cell r="J68">
            <v>3.4352260000000001</v>
          </cell>
          <cell r="K68">
            <v>3.4352260000000001</v>
          </cell>
          <cell r="L68">
            <v>0</v>
          </cell>
          <cell r="M68">
            <v>0</v>
          </cell>
        </row>
        <row r="69">
          <cell r="B69" t="str">
            <v>25501</v>
          </cell>
          <cell r="C69">
            <v>1993</v>
          </cell>
          <cell r="D69">
            <v>306</v>
          </cell>
          <cell r="E69" t="str">
            <v>AK50-MOD40 TAKIM TUTUCU</v>
          </cell>
          <cell r="F69">
            <v>1</v>
          </cell>
          <cell r="G69">
            <v>9</v>
          </cell>
          <cell r="H69">
            <v>0</v>
          </cell>
          <cell r="I69">
            <v>1.665</v>
          </cell>
          <cell r="J69">
            <v>11.915937</v>
          </cell>
          <cell r="K69">
            <v>11.915937</v>
          </cell>
          <cell r="L69">
            <v>0</v>
          </cell>
          <cell r="M69">
            <v>0</v>
          </cell>
        </row>
        <row r="70">
          <cell r="B70" t="str">
            <v>25501</v>
          </cell>
          <cell r="C70">
            <v>1993</v>
          </cell>
          <cell r="D70">
            <v>428</v>
          </cell>
          <cell r="E70" t="str">
            <v>OZEL TAKIM TUTUCU</v>
          </cell>
          <cell r="F70">
            <v>1</v>
          </cell>
          <cell r="G70">
            <v>9</v>
          </cell>
          <cell r="H70">
            <v>0</v>
          </cell>
          <cell r="I70">
            <v>4</v>
          </cell>
          <cell r="J70">
            <v>28.626877</v>
          </cell>
          <cell r="K70">
            <v>28.626877</v>
          </cell>
          <cell r="L70">
            <v>0</v>
          </cell>
          <cell r="M70">
            <v>0</v>
          </cell>
        </row>
        <row r="71">
          <cell r="B71" t="str">
            <v>25501</v>
          </cell>
          <cell r="C71">
            <v>1993</v>
          </cell>
          <cell r="D71">
            <v>676</v>
          </cell>
          <cell r="E71" t="str">
            <v>TAKIM TUTUCULAR</v>
          </cell>
          <cell r="F71">
            <v>1</v>
          </cell>
          <cell r="G71">
            <v>9</v>
          </cell>
          <cell r="H71">
            <v>0</v>
          </cell>
          <cell r="I71">
            <v>110.6</v>
          </cell>
          <cell r="J71">
            <v>791.53316099999995</v>
          </cell>
          <cell r="K71">
            <v>791.53316099999995</v>
          </cell>
          <cell r="L71">
            <v>0</v>
          </cell>
          <cell r="M71">
            <v>0</v>
          </cell>
        </row>
        <row r="72">
          <cell r="B72" t="str">
            <v>25501</v>
          </cell>
          <cell r="C72">
            <v>1993</v>
          </cell>
          <cell r="D72">
            <v>687</v>
          </cell>
          <cell r="E72" t="str">
            <v>TAKIM TUTUCULARI</v>
          </cell>
          <cell r="F72">
            <v>1</v>
          </cell>
          <cell r="G72">
            <v>9</v>
          </cell>
          <cell r="H72">
            <v>0</v>
          </cell>
          <cell r="I72">
            <v>167.6</v>
          </cell>
          <cell r="J72">
            <v>1199.466165</v>
          </cell>
          <cell r="K72">
            <v>1199.466165</v>
          </cell>
          <cell r="L72">
            <v>0</v>
          </cell>
          <cell r="M72">
            <v>0</v>
          </cell>
        </row>
        <row r="73">
          <cell r="B73" t="str">
            <v>25501</v>
          </cell>
          <cell r="C73">
            <v>1995</v>
          </cell>
          <cell r="D73">
            <v>71</v>
          </cell>
          <cell r="E73" t="str">
            <v>GLUR 08 140 12 RZK KOPYA FREZE TAKIM TUTUCU</v>
          </cell>
          <cell r="F73">
            <v>1</v>
          </cell>
          <cell r="G73">
            <v>9</v>
          </cell>
          <cell r="H73">
            <v>0</v>
          </cell>
          <cell r="I73">
            <v>6.1289999999999996</v>
          </cell>
          <cell r="J73">
            <v>51.669096000000003</v>
          </cell>
          <cell r="K73">
            <v>51.669096000000003</v>
          </cell>
          <cell r="L73">
            <v>0</v>
          </cell>
          <cell r="M73">
            <v>0</v>
          </cell>
        </row>
        <row r="74">
          <cell r="B74" t="str">
            <v>25502</v>
          </cell>
          <cell r="C74">
            <v>1997</v>
          </cell>
          <cell r="D74">
            <v>86</v>
          </cell>
          <cell r="E74" t="str">
            <v>PENTIUM 120 UPGRADE 1.3 GB HDD (5x$635)</v>
          </cell>
          <cell r="F74">
            <v>1</v>
          </cell>
          <cell r="G74">
            <v>11</v>
          </cell>
          <cell r="H74">
            <v>10</v>
          </cell>
          <cell r="I74">
            <v>82.460400000000007</v>
          </cell>
          <cell r="J74">
            <v>532.95405600000004</v>
          </cell>
          <cell r="K74">
            <v>532.95405600000004</v>
          </cell>
          <cell r="L74">
            <v>0</v>
          </cell>
          <cell r="M74">
            <v>7.1484610000000002</v>
          </cell>
        </row>
        <row r="75">
          <cell r="B75" t="str">
            <v>25502</v>
          </cell>
          <cell r="C75">
            <v>1998</v>
          </cell>
          <cell r="D75">
            <v>119</v>
          </cell>
          <cell r="E75" t="str">
            <v>SES KARTI</v>
          </cell>
          <cell r="F75">
            <v>1</v>
          </cell>
          <cell r="G75">
            <v>11</v>
          </cell>
          <cell r="H75">
            <v>0</v>
          </cell>
          <cell r="I75">
            <v>10.353199999999999</v>
          </cell>
          <cell r="J75">
            <v>37.634590000000003</v>
          </cell>
          <cell r="K75">
            <v>32.757147000000003</v>
          </cell>
          <cell r="L75">
            <v>4.8774429999999995</v>
          </cell>
          <cell r="M75">
            <v>0</v>
          </cell>
        </row>
        <row r="76">
          <cell r="B76" t="str">
            <v>25501</v>
          </cell>
          <cell r="C76">
            <v>1992</v>
          </cell>
          <cell r="D76">
            <v>543</v>
          </cell>
          <cell r="E76" t="str">
            <v>AK 40-MK4 TAKIM TUTUCU</v>
          </cell>
          <cell r="F76">
            <v>1</v>
          </cell>
          <cell r="G76">
            <v>9</v>
          </cell>
          <cell r="H76">
            <v>0</v>
          </cell>
          <cell r="I76">
            <v>0.76</v>
          </cell>
          <cell r="J76">
            <v>4.9858479999999998</v>
          </cell>
          <cell r="K76">
            <v>4.9858479999999998</v>
          </cell>
          <cell r="L76">
            <v>0</v>
          </cell>
          <cell r="M76">
            <v>0</v>
          </cell>
        </row>
        <row r="77">
          <cell r="B77" t="str">
            <v>25501</v>
          </cell>
          <cell r="C77">
            <v>1992</v>
          </cell>
          <cell r="D77">
            <v>538</v>
          </cell>
          <cell r="E77" t="str">
            <v>AK 50-MK2 TAKIM TUTUCU</v>
          </cell>
          <cell r="F77">
            <v>5</v>
          </cell>
          <cell r="G77">
            <v>9</v>
          </cell>
          <cell r="H77">
            <v>0</v>
          </cell>
          <cell r="I77">
            <v>5.5</v>
          </cell>
          <cell r="J77">
            <v>36.081792999999998</v>
          </cell>
          <cell r="K77">
            <v>36.081792999999998</v>
          </cell>
          <cell r="L77">
            <v>0</v>
          </cell>
          <cell r="M77">
            <v>0</v>
          </cell>
        </row>
        <row r="78">
          <cell r="B78" t="str">
            <v>25501</v>
          </cell>
          <cell r="C78">
            <v>1992</v>
          </cell>
          <cell r="D78">
            <v>540</v>
          </cell>
          <cell r="E78" t="str">
            <v>AK 50-MK4 TAKIM TUTUCU</v>
          </cell>
          <cell r="F78">
            <v>2</v>
          </cell>
          <cell r="G78">
            <v>9</v>
          </cell>
          <cell r="H78">
            <v>0</v>
          </cell>
          <cell r="I78">
            <v>3.2</v>
          </cell>
          <cell r="J78">
            <v>20.993044000000001</v>
          </cell>
          <cell r="K78">
            <v>20.993044000000001</v>
          </cell>
          <cell r="L78">
            <v>0</v>
          </cell>
          <cell r="M78">
            <v>0</v>
          </cell>
        </row>
        <row r="79">
          <cell r="B79" t="str">
            <v>25501</v>
          </cell>
          <cell r="C79">
            <v>1992</v>
          </cell>
          <cell r="D79">
            <v>927</v>
          </cell>
          <cell r="E79" t="str">
            <v>MODEL TAKIM TUTUCULARI(AKS ILE)</v>
          </cell>
          <cell r="F79">
            <v>1</v>
          </cell>
          <cell r="G79">
            <v>9</v>
          </cell>
          <cell r="H79">
            <v>0</v>
          </cell>
          <cell r="I79">
            <v>113.14095500000001</v>
          </cell>
          <cell r="J79">
            <v>742.24155900000005</v>
          </cell>
          <cell r="K79">
            <v>742.24155900000005</v>
          </cell>
          <cell r="L79">
            <v>0</v>
          </cell>
          <cell r="M79">
            <v>0</v>
          </cell>
        </row>
        <row r="80">
          <cell r="B80" t="str">
            <v>25501</v>
          </cell>
          <cell r="C80">
            <v>1993</v>
          </cell>
          <cell r="D80">
            <v>33</v>
          </cell>
          <cell r="E80" t="str">
            <v>SY40-MA22 TAKIM TUTUCU</v>
          </cell>
          <cell r="F80">
            <v>1</v>
          </cell>
          <cell r="G80">
            <v>9</v>
          </cell>
          <cell r="H80">
            <v>0</v>
          </cell>
          <cell r="I80">
            <v>0.48</v>
          </cell>
          <cell r="J80">
            <v>3.4352260000000001</v>
          </cell>
          <cell r="K80">
            <v>3.4352260000000001</v>
          </cell>
          <cell r="L80">
            <v>0</v>
          </cell>
          <cell r="M80">
            <v>0</v>
          </cell>
        </row>
        <row r="81">
          <cell r="B81" t="str">
            <v>25501</v>
          </cell>
          <cell r="C81">
            <v>1993</v>
          </cell>
          <cell r="D81">
            <v>388</v>
          </cell>
          <cell r="E81" t="str">
            <v>YUVALI TAKIM TUTUCU</v>
          </cell>
          <cell r="F81">
            <v>1</v>
          </cell>
          <cell r="G81">
            <v>9</v>
          </cell>
          <cell r="H81">
            <v>0</v>
          </cell>
          <cell r="I81">
            <v>4</v>
          </cell>
          <cell r="J81">
            <v>28.626877</v>
          </cell>
          <cell r="K81">
            <v>28.626877</v>
          </cell>
          <cell r="L81">
            <v>0</v>
          </cell>
          <cell r="M81">
            <v>0</v>
          </cell>
        </row>
        <row r="82">
          <cell r="B82" t="str">
            <v>25502</v>
          </cell>
          <cell r="C82">
            <v>1994</v>
          </cell>
          <cell r="D82">
            <v>13</v>
          </cell>
          <cell r="E82" t="str">
            <v>ANA TAKIM TUTUCU</v>
          </cell>
          <cell r="F82">
            <v>1</v>
          </cell>
          <cell r="G82">
            <v>9</v>
          </cell>
          <cell r="H82">
            <v>0</v>
          </cell>
          <cell r="I82">
            <v>5.5071000000000003</v>
          </cell>
          <cell r="J82">
            <v>34.248862000000003</v>
          </cell>
          <cell r="K82">
            <v>34.248862000000003</v>
          </cell>
          <cell r="L82">
            <v>0</v>
          </cell>
          <cell r="M82">
            <v>0</v>
          </cell>
        </row>
        <row r="83">
          <cell r="B83" t="str">
            <v>25502</v>
          </cell>
          <cell r="C83">
            <v>1997</v>
          </cell>
          <cell r="D83">
            <v>26</v>
          </cell>
          <cell r="E83" t="str">
            <v>POWER SOUND SES KARTI + SPEAKER + MIC.</v>
          </cell>
          <cell r="F83">
            <v>1</v>
          </cell>
          <cell r="G83">
            <v>11</v>
          </cell>
          <cell r="H83">
            <v>0</v>
          </cell>
          <cell r="I83">
            <v>3.9402599999999999</v>
          </cell>
          <cell r="J83">
            <v>25.466495999999999</v>
          </cell>
          <cell r="K83">
            <v>25.466495999999999</v>
          </cell>
          <cell r="L83">
            <v>0</v>
          </cell>
          <cell r="M83">
            <v>0</v>
          </cell>
        </row>
        <row r="84">
          <cell r="B84" t="str">
            <v>25502</v>
          </cell>
          <cell r="C84">
            <v>1997</v>
          </cell>
          <cell r="D84">
            <v>29</v>
          </cell>
          <cell r="E84" t="str">
            <v>SAMSUNG 8x CD-ROM</v>
          </cell>
          <cell r="F84">
            <v>1</v>
          </cell>
          <cell r="G84">
            <v>11</v>
          </cell>
          <cell r="H84">
            <v>0</v>
          </cell>
          <cell r="I84">
            <v>13.211460000000001</v>
          </cell>
          <cell r="J84">
            <v>85.387666999999993</v>
          </cell>
          <cell r="K84">
            <v>85.387666999999993</v>
          </cell>
          <cell r="L84">
            <v>0</v>
          </cell>
          <cell r="M84">
            <v>1.145297</v>
          </cell>
        </row>
        <row r="85">
          <cell r="B85" t="str">
            <v>25502</v>
          </cell>
          <cell r="C85">
            <v>1997</v>
          </cell>
          <cell r="D85">
            <v>247</v>
          </cell>
          <cell r="E85" t="str">
            <v>SENSOR 166 MBPENTIUM BILGISAYAR (2*958$)</v>
          </cell>
          <cell r="F85">
            <v>1</v>
          </cell>
          <cell r="G85">
            <v>11</v>
          </cell>
          <cell r="H85">
            <v>10</v>
          </cell>
          <cell r="I85">
            <v>156.51804000000001</v>
          </cell>
          <cell r="J85">
            <v>1011.5998</v>
          </cell>
          <cell r="K85">
            <v>1011.5998</v>
          </cell>
          <cell r="L85">
            <v>0</v>
          </cell>
          <cell r="M85">
            <v>13.568490000000001</v>
          </cell>
        </row>
        <row r="86">
          <cell r="B86" t="str">
            <v>25502</v>
          </cell>
          <cell r="C86">
            <v>1998</v>
          </cell>
          <cell r="D86">
            <v>118</v>
          </cell>
          <cell r="E86" t="str">
            <v>CD-ROM DRIVE</v>
          </cell>
          <cell r="F86">
            <v>1</v>
          </cell>
          <cell r="G86">
            <v>11</v>
          </cell>
          <cell r="H86">
            <v>0</v>
          </cell>
          <cell r="I86">
            <v>20.235800000000001</v>
          </cell>
          <cell r="J86">
            <v>73.558515999999997</v>
          </cell>
          <cell r="K86">
            <v>64.025332000000006</v>
          </cell>
          <cell r="L86">
            <v>9.5331839999999914</v>
          </cell>
          <cell r="M86">
            <v>1.6429240000000001</v>
          </cell>
        </row>
        <row r="87">
          <cell r="B87" t="str">
            <v>25401</v>
          </cell>
          <cell r="C87">
            <v>1998</v>
          </cell>
          <cell r="D87">
            <v>4</v>
          </cell>
          <cell r="E87" t="str">
            <v>34 VZ 2415 KARTAL 1999 MODEL</v>
          </cell>
          <cell r="F87">
            <v>1</v>
          </cell>
          <cell r="G87">
            <v>7</v>
          </cell>
          <cell r="H87">
            <v>4455.4455449999996</v>
          </cell>
          <cell r="I87">
            <v>2756.1398600000002</v>
          </cell>
          <cell r="J87">
            <v>10018.75669</v>
          </cell>
          <cell r="K87">
            <v>7926.8402930000002</v>
          </cell>
          <cell r="L87">
            <v>2091.916397</v>
          </cell>
          <cell r="M87">
            <v>360.515421</v>
          </cell>
        </row>
        <row r="88">
          <cell r="B88" t="str">
            <v>25401</v>
          </cell>
          <cell r="C88">
            <v>1998</v>
          </cell>
          <cell r="D88">
            <v>3</v>
          </cell>
          <cell r="E88" t="str">
            <v>34 VZ 2414 KARTAL 1999 MODEL</v>
          </cell>
          <cell r="F88">
            <v>1</v>
          </cell>
          <cell r="G88">
            <v>11</v>
          </cell>
          <cell r="H88">
            <v>4207.9207930000002</v>
          </cell>
          <cell r="I88">
            <v>2756.1398600000002</v>
          </cell>
          <cell r="J88">
            <v>10018.75669</v>
          </cell>
          <cell r="K88">
            <v>7926.8402930000002</v>
          </cell>
          <cell r="L88">
            <v>2091.916397</v>
          </cell>
          <cell r="M88">
            <v>360.515421</v>
          </cell>
        </row>
        <row r="89">
          <cell r="B89" t="str">
            <v>25501</v>
          </cell>
          <cell r="C89">
            <v>1986</v>
          </cell>
          <cell r="D89">
            <v>1699</v>
          </cell>
          <cell r="E89" t="str">
            <v>MONITOR</v>
          </cell>
          <cell r="F89">
            <v>1</v>
          </cell>
          <cell r="G89">
            <v>11</v>
          </cell>
          <cell r="H89">
            <v>5</v>
          </cell>
          <cell r="I89">
            <v>0.20673800000000001</v>
          </cell>
          <cell r="J89">
            <v>1.1541600000000001</v>
          </cell>
          <cell r="K89">
            <v>1.1541600000000001</v>
          </cell>
          <cell r="L89">
            <v>0</v>
          </cell>
          <cell r="M89">
            <v>0</v>
          </cell>
        </row>
        <row r="90">
          <cell r="B90" t="str">
            <v>25501</v>
          </cell>
          <cell r="C90">
            <v>1986</v>
          </cell>
          <cell r="D90">
            <v>2770</v>
          </cell>
          <cell r="E90" t="str">
            <v>PHILIPS MONO MONITOR</v>
          </cell>
          <cell r="F90">
            <v>1</v>
          </cell>
          <cell r="G90">
            <v>11</v>
          </cell>
          <cell r="H90">
            <v>5</v>
          </cell>
          <cell r="I90">
            <v>0.1217</v>
          </cell>
          <cell r="J90">
            <v>0.67941499999999999</v>
          </cell>
          <cell r="K90">
            <v>0.67941499999999999</v>
          </cell>
          <cell r="L90">
            <v>0</v>
          </cell>
          <cell r="M90">
            <v>0</v>
          </cell>
        </row>
        <row r="91">
          <cell r="B91" t="str">
            <v>25501</v>
          </cell>
          <cell r="C91">
            <v>1986</v>
          </cell>
          <cell r="D91">
            <v>3009</v>
          </cell>
          <cell r="E91" t="str">
            <v>24V 800AH CEKICI AKU</v>
          </cell>
          <cell r="F91">
            <v>1</v>
          </cell>
          <cell r="G91">
            <v>10</v>
          </cell>
          <cell r="H91">
            <v>145.667236</v>
          </cell>
          <cell r="I91">
            <v>1.125583</v>
          </cell>
          <cell r="J91">
            <v>6.2838250000000002</v>
          </cell>
          <cell r="K91">
            <v>6.2838250000000002</v>
          </cell>
          <cell r="L91">
            <v>0</v>
          </cell>
          <cell r="M91">
            <v>0</v>
          </cell>
        </row>
        <row r="92">
          <cell r="B92" t="str">
            <v>25501</v>
          </cell>
          <cell r="C92">
            <v>1986</v>
          </cell>
          <cell r="D92">
            <v>3008</v>
          </cell>
          <cell r="E92" t="str">
            <v>24V 800AH CEKICI AKU</v>
          </cell>
          <cell r="F92">
            <v>1</v>
          </cell>
          <cell r="G92">
            <v>10</v>
          </cell>
          <cell r="H92">
            <v>145.667236</v>
          </cell>
          <cell r="I92">
            <v>1.125583</v>
          </cell>
          <cell r="J92">
            <v>6.2838250000000002</v>
          </cell>
          <cell r="K92">
            <v>6.2838250000000002</v>
          </cell>
          <cell r="L92">
            <v>0</v>
          </cell>
          <cell r="M92">
            <v>0</v>
          </cell>
        </row>
        <row r="93">
          <cell r="B93" t="str">
            <v>25501</v>
          </cell>
          <cell r="C93">
            <v>1989</v>
          </cell>
          <cell r="D93">
            <v>792</v>
          </cell>
          <cell r="E93" t="str">
            <v>1 AD. BILGISAYAR</v>
          </cell>
          <cell r="F93">
            <v>1</v>
          </cell>
          <cell r="G93">
            <v>11</v>
          </cell>
          <cell r="H93">
            <v>10</v>
          </cell>
          <cell r="I93">
            <v>6.1063999999999998</v>
          </cell>
          <cell r="J93">
            <v>23.631474999999998</v>
          </cell>
          <cell r="K93">
            <v>23.631474999999998</v>
          </cell>
          <cell r="L93">
            <v>0</v>
          </cell>
          <cell r="M93">
            <v>0</v>
          </cell>
        </row>
        <row r="94">
          <cell r="B94" t="str">
            <v>25501</v>
          </cell>
          <cell r="C94">
            <v>1991</v>
          </cell>
          <cell r="D94">
            <v>162</v>
          </cell>
          <cell r="E94" t="str">
            <v>TAKMA UCLU FREZE FK.15.17 3040</v>
          </cell>
          <cell r="F94">
            <v>1</v>
          </cell>
          <cell r="G94">
            <v>9</v>
          </cell>
          <cell r="H94">
            <v>0</v>
          </cell>
          <cell r="I94">
            <v>0.24817</v>
          </cell>
          <cell r="J94">
            <v>1.3179670000000001</v>
          </cell>
          <cell r="K94">
            <v>1.3179670000000001</v>
          </cell>
          <cell r="L94">
            <v>0</v>
          </cell>
          <cell r="M94">
            <v>0</v>
          </cell>
        </row>
        <row r="95">
          <cell r="B95" t="str">
            <v>25501</v>
          </cell>
          <cell r="C95">
            <v>1991</v>
          </cell>
          <cell r="D95">
            <v>172</v>
          </cell>
          <cell r="E95" t="str">
            <v>SERT UCLU HELIS FREZE C144 1601 M</v>
          </cell>
          <cell r="F95">
            <v>1</v>
          </cell>
          <cell r="G95">
            <v>9</v>
          </cell>
          <cell r="H95">
            <v>0</v>
          </cell>
          <cell r="I95">
            <v>0.66</v>
          </cell>
          <cell r="J95">
            <v>3.5050889999999999</v>
          </cell>
          <cell r="K95">
            <v>3.5050889999999999</v>
          </cell>
          <cell r="L95">
            <v>0</v>
          </cell>
          <cell r="M95">
            <v>0</v>
          </cell>
        </row>
        <row r="96">
          <cell r="B96" t="str">
            <v>25501</v>
          </cell>
          <cell r="C96">
            <v>1991</v>
          </cell>
          <cell r="D96">
            <v>456</v>
          </cell>
          <cell r="E96" t="str">
            <v>ELEKTRIKLI FREZE MAKITA</v>
          </cell>
          <cell r="F96">
            <v>1</v>
          </cell>
          <cell r="G96">
            <v>9</v>
          </cell>
          <cell r="H96">
            <v>0</v>
          </cell>
          <cell r="I96">
            <v>1.1200000000000001</v>
          </cell>
          <cell r="J96">
            <v>5.948029</v>
          </cell>
          <cell r="K96">
            <v>5.948029</v>
          </cell>
          <cell r="L96">
            <v>0</v>
          </cell>
          <cell r="M96">
            <v>0</v>
          </cell>
        </row>
        <row r="97">
          <cell r="B97" t="str">
            <v>25501</v>
          </cell>
          <cell r="C97">
            <v>1991</v>
          </cell>
          <cell r="D97">
            <v>592</v>
          </cell>
          <cell r="E97" t="str">
            <v>MUHTEL[F FREZELER</v>
          </cell>
          <cell r="F97">
            <v>13</v>
          </cell>
          <cell r="G97">
            <v>9</v>
          </cell>
          <cell r="H97">
            <v>0</v>
          </cell>
          <cell r="I97">
            <v>2.608225</v>
          </cell>
          <cell r="J97">
            <v>13.851603000000001</v>
          </cell>
          <cell r="K97">
            <v>13.851603000000001</v>
          </cell>
          <cell r="L97">
            <v>0</v>
          </cell>
          <cell r="M97">
            <v>0</v>
          </cell>
        </row>
        <row r="98">
          <cell r="B98" t="str">
            <v>25501</v>
          </cell>
          <cell r="C98">
            <v>1991</v>
          </cell>
          <cell r="D98">
            <v>667</v>
          </cell>
          <cell r="E98" t="str">
            <v>VHM PARMAK FREZE P40 Nr.3219</v>
          </cell>
          <cell r="F98">
            <v>1</v>
          </cell>
          <cell r="G98">
            <v>9</v>
          </cell>
          <cell r="H98">
            <v>0</v>
          </cell>
          <cell r="I98">
            <v>0.38460800000000001</v>
          </cell>
          <cell r="J98">
            <v>2.042554</v>
          </cell>
          <cell r="K98">
            <v>2.042554</v>
          </cell>
          <cell r="L98">
            <v>0</v>
          </cell>
          <cell r="M98">
            <v>0</v>
          </cell>
        </row>
        <row r="99">
          <cell r="B99" t="str">
            <v>25501</v>
          </cell>
          <cell r="C99">
            <v>1991</v>
          </cell>
          <cell r="D99">
            <v>669</v>
          </cell>
          <cell r="E99" t="str">
            <v>VHM PARMAK FREZE P40 Nr.3219</v>
          </cell>
          <cell r="F99">
            <v>1</v>
          </cell>
          <cell r="G99">
            <v>9</v>
          </cell>
          <cell r="H99">
            <v>0</v>
          </cell>
          <cell r="I99">
            <v>0.330457</v>
          </cell>
          <cell r="J99">
            <v>1.754972</v>
          </cell>
          <cell r="K99">
            <v>1.754972</v>
          </cell>
          <cell r="L99">
            <v>0</v>
          </cell>
          <cell r="M99">
            <v>0</v>
          </cell>
        </row>
        <row r="100">
          <cell r="B100" t="str">
            <v>25501</v>
          </cell>
          <cell r="C100">
            <v>1991</v>
          </cell>
          <cell r="D100">
            <v>722</v>
          </cell>
          <cell r="E100" t="str">
            <v>UZUN DELIK PARMAK FREZE 32 mm</v>
          </cell>
          <cell r="F100">
            <v>2</v>
          </cell>
          <cell r="G100">
            <v>9</v>
          </cell>
          <cell r="H100">
            <v>0</v>
          </cell>
          <cell r="I100">
            <v>1.25</v>
          </cell>
          <cell r="J100">
            <v>6.6384249999999998</v>
          </cell>
          <cell r="K100">
            <v>6.6384249999999998</v>
          </cell>
          <cell r="L100">
            <v>0</v>
          </cell>
          <cell r="M100">
            <v>0</v>
          </cell>
        </row>
        <row r="101">
          <cell r="B101" t="str">
            <v>25301</v>
          </cell>
          <cell r="C101">
            <v>1990</v>
          </cell>
          <cell r="D101">
            <v>574</v>
          </cell>
          <cell r="E101" t="str">
            <v>KONIK KURESEL FREZE 20 MM</v>
          </cell>
          <cell r="F101">
            <v>2</v>
          </cell>
          <cell r="G101">
            <v>9</v>
          </cell>
          <cell r="H101">
            <v>0</v>
          </cell>
          <cell r="I101">
            <v>0.432</v>
          </cell>
          <cell r="J101">
            <v>1.702998</v>
          </cell>
          <cell r="K101">
            <v>1.702998</v>
          </cell>
          <cell r="L101">
            <v>0</v>
          </cell>
          <cell r="M101">
            <v>0</v>
          </cell>
        </row>
        <row r="102">
          <cell r="B102" t="str">
            <v>25301</v>
          </cell>
          <cell r="C102">
            <v>1990</v>
          </cell>
          <cell r="D102">
            <v>576</v>
          </cell>
          <cell r="E102" t="str">
            <v>KALIPCI FREZE KURESEL 8 MM</v>
          </cell>
          <cell r="F102">
            <v>1</v>
          </cell>
          <cell r="G102">
            <v>9</v>
          </cell>
          <cell r="H102">
            <v>0</v>
          </cell>
          <cell r="I102">
            <v>0.14399999999999999</v>
          </cell>
          <cell r="J102">
            <v>0.567666</v>
          </cell>
          <cell r="K102">
            <v>0.567666</v>
          </cell>
          <cell r="L102">
            <v>0</v>
          </cell>
          <cell r="M102">
            <v>0</v>
          </cell>
        </row>
        <row r="103">
          <cell r="B103" t="str">
            <v>25301</v>
          </cell>
          <cell r="C103">
            <v>1990</v>
          </cell>
          <cell r="D103">
            <v>578</v>
          </cell>
          <cell r="E103" t="str">
            <v>KONIK KURESEL FREZE 12 MM</v>
          </cell>
          <cell r="F103">
            <v>4</v>
          </cell>
          <cell r="G103">
            <v>9</v>
          </cell>
          <cell r="H103">
            <v>0</v>
          </cell>
          <cell r="I103">
            <v>0.54400000000000004</v>
          </cell>
          <cell r="J103">
            <v>2.1445159999999999</v>
          </cell>
          <cell r="K103">
            <v>2.1445159999999999</v>
          </cell>
          <cell r="L103">
            <v>0</v>
          </cell>
          <cell r="M103">
            <v>0</v>
          </cell>
        </row>
        <row r="104">
          <cell r="B104" t="str">
            <v>25301</v>
          </cell>
          <cell r="C104">
            <v>1990</v>
          </cell>
          <cell r="D104">
            <v>618</v>
          </cell>
          <cell r="E104" t="str">
            <v>CNC FREZE MAHO 1600S KALIP MAKINASI(AKS.[LE)</v>
          </cell>
          <cell r="F104">
            <v>1</v>
          </cell>
          <cell r="G104">
            <v>8</v>
          </cell>
          <cell r="H104">
            <v>114141.79</v>
          </cell>
          <cell r="I104">
            <v>1321.65</v>
          </cell>
          <cell r="J104">
            <v>5210.1089250000005</v>
          </cell>
          <cell r="K104">
            <v>5210.1089250000005</v>
          </cell>
          <cell r="L104">
            <v>0</v>
          </cell>
          <cell r="M104">
            <v>0</v>
          </cell>
        </row>
        <row r="105">
          <cell r="B105" t="str">
            <v>25301</v>
          </cell>
          <cell r="C105">
            <v>1991</v>
          </cell>
          <cell r="D105">
            <v>70</v>
          </cell>
          <cell r="E105" t="str">
            <v>25 mm.TITANYUM KAPLI P. FREZE</v>
          </cell>
          <cell r="F105">
            <v>4</v>
          </cell>
          <cell r="G105">
            <v>9</v>
          </cell>
          <cell r="H105">
            <v>0</v>
          </cell>
          <cell r="I105">
            <v>1.7986</v>
          </cell>
          <cell r="J105">
            <v>9.5518979999999996</v>
          </cell>
          <cell r="K105">
            <v>9.5518979999999996</v>
          </cell>
          <cell r="L105">
            <v>0</v>
          </cell>
          <cell r="M105">
            <v>0</v>
          </cell>
        </row>
        <row r="106">
          <cell r="B106" t="str">
            <v>25301</v>
          </cell>
          <cell r="C106">
            <v>1992</v>
          </cell>
          <cell r="D106">
            <v>34</v>
          </cell>
          <cell r="E106" t="str">
            <v>AK40-MK1 TAKIM TUTUCU</v>
          </cell>
          <cell r="F106">
            <v>1</v>
          </cell>
          <cell r="G106">
            <v>9</v>
          </cell>
          <cell r="H106">
            <v>0</v>
          </cell>
          <cell r="I106">
            <v>0.66</v>
          </cell>
          <cell r="J106">
            <v>4.3298139999999998</v>
          </cell>
          <cell r="K106">
            <v>4.3298139999999998</v>
          </cell>
          <cell r="L106">
            <v>0</v>
          </cell>
          <cell r="M106">
            <v>0</v>
          </cell>
        </row>
        <row r="107">
          <cell r="B107" t="str">
            <v>25301</v>
          </cell>
          <cell r="C107">
            <v>1992</v>
          </cell>
          <cell r="D107">
            <v>36</v>
          </cell>
          <cell r="E107" t="str">
            <v>AK40-MK3 TAKIM TUTUCU</v>
          </cell>
          <cell r="F107">
            <v>3</v>
          </cell>
          <cell r="G107">
            <v>9</v>
          </cell>
          <cell r="H107">
            <v>0</v>
          </cell>
          <cell r="I107">
            <v>2.58</v>
          </cell>
          <cell r="J107">
            <v>16.925642</v>
          </cell>
          <cell r="K107">
            <v>16.925642</v>
          </cell>
          <cell r="L107">
            <v>0</v>
          </cell>
          <cell r="M107">
            <v>0</v>
          </cell>
        </row>
        <row r="108">
          <cell r="B108" t="str">
            <v>25301</v>
          </cell>
          <cell r="C108">
            <v>1992</v>
          </cell>
          <cell r="D108">
            <v>128</v>
          </cell>
          <cell r="E108" t="str">
            <v>MODUL TAKIM TUTUCULARI</v>
          </cell>
          <cell r="F108">
            <v>1</v>
          </cell>
          <cell r="G108">
            <v>9</v>
          </cell>
          <cell r="H108">
            <v>0</v>
          </cell>
          <cell r="I108">
            <v>49.3</v>
          </cell>
          <cell r="J108">
            <v>323.42407500000002</v>
          </cell>
          <cell r="K108">
            <v>323.42407500000002</v>
          </cell>
          <cell r="L108">
            <v>0</v>
          </cell>
          <cell r="M108">
            <v>0</v>
          </cell>
        </row>
        <row r="109">
          <cell r="B109" t="str">
            <v>25301</v>
          </cell>
          <cell r="C109">
            <v>1992</v>
          </cell>
          <cell r="D109">
            <v>121</v>
          </cell>
          <cell r="E109" t="str">
            <v>YUZEY TASLAMA MAKINASI</v>
          </cell>
          <cell r="F109">
            <v>1</v>
          </cell>
          <cell r="G109">
            <v>8</v>
          </cell>
          <cell r="H109">
            <v>4894.8482999999997</v>
          </cell>
          <cell r="I109">
            <v>728.2</v>
          </cell>
          <cell r="J109">
            <v>4777.2294519999996</v>
          </cell>
          <cell r="K109">
            <v>4777.2294519999996</v>
          </cell>
          <cell r="L109">
            <v>0</v>
          </cell>
          <cell r="M109">
            <v>0</v>
          </cell>
        </row>
        <row r="110">
          <cell r="B110" t="str">
            <v>25301</v>
          </cell>
          <cell r="C110">
            <v>1992</v>
          </cell>
          <cell r="D110">
            <v>325</v>
          </cell>
          <cell r="E110" t="str">
            <v>KALIP ISLEME TEZGAHI-UNION</v>
          </cell>
          <cell r="F110">
            <v>1</v>
          </cell>
          <cell r="G110">
            <v>8</v>
          </cell>
          <cell r="H110">
            <v>32611.94</v>
          </cell>
          <cell r="I110">
            <v>2598.447424</v>
          </cell>
          <cell r="J110">
            <v>17046.662404999999</v>
          </cell>
          <cell r="K110">
            <v>17046.662404999999</v>
          </cell>
          <cell r="L110">
            <v>0</v>
          </cell>
          <cell r="M110">
            <v>0</v>
          </cell>
        </row>
        <row r="111">
          <cell r="B111" t="str">
            <v>25301</v>
          </cell>
          <cell r="C111">
            <v>1992</v>
          </cell>
          <cell r="D111">
            <v>314</v>
          </cell>
          <cell r="E111" t="str">
            <v>EREZYON TEZGAHI-CNC EDM INGERSOLL 1000</v>
          </cell>
          <cell r="F111">
            <v>1</v>
          </cell>
          <cell r="G111">
            <v>8</v>
          </cell>
          <cell r="H111">
            <v>81529.850000000006</v>
          </cell>
          <cell r="I111">
            <v>1658.5829200000001</v>
          </cell>
          <cell r="J111">
            <v>10880.844784000001</v>
          </cell>
          <cell r="K111">
            <v>10880.844784000001</v>
          </cell>
          <cell r="L111">
            <v>0</v>
          </cell>
          <cell r="M111">
            <v>0</v>
          </cell>
        </row>
        <row r="112">
          <cell r="B112" t="str">
            <v>25301</v>
          </cell>
          <cell r="C112">
            <v>1993</v>
          </cell>
          <cell r="D112">
            <v>161</v>
          </cell>
          <cell r="E112" t="str">
            <v>KOLON MATKAP KSB 50</v>
          </cell>
          <cell r="F112">
            <v>1</v>
          </cell>
          <cell r="G112">
            <v>9</v>
          </cell>
          <cell r="H112">
            <v>1134.5824</v>
          </cell>
          <cell r="I112">
            <v>78</v>
          </cell>
          <cell r="J112">
            <v>558.22411</v>
          </cell>
          <cell r="K112">
            <v>558.22411</v>
          </cell>
          <cell r="L112">
            <v>0</v>
          </cell>
          <cell r="M112">
            <v>0</v>
          </cell>
        </row>
        <row r="113">
          <cell r="B113" t="str">
            <v>25301</v>
          </cell>
          <cell r="C113">
            <v>1994</v>
          </cell>
          <cell r="D113">
            <v>44</v>
          </cell>
          <cell r="E113" t="str">
            <v>LC 20 VHS FIRST KALIPCI FREZE TEZ.</v>
          </cell>
          <cell r="F113">
            <v>1</v>
          </cell>
          <cell r="G113">
            <v>8</v>
          </cell>
          <cell r="H113">
            <v>3263.232</v>
          </cell>
          <cell r="I113">
            <v>475.10359999999997</v>
          </cell>
          <cell r="J113">
            <v>2954.6870749999998</v>
          </cell>
          <cell r="K113">
            <v>2954.6870749999998</v>
          </cell>
          <cell r="L113">
            <v>0</v>
          </cell>
          <cell r="M113">
            <v>0</v>
          </cell>
        </row>
        <row r="114">
          <cell r="B114" t="str">
            <v>25301</v>
          </cell>
          <cell r="C114">
            <v>1997</v>
          </cell>
          <cell r="D114">
            <v>123</v>
          </cell>
          <cell r="E114" t="str">
            <v>ZIRHLI KABA TALAS PARMAK FREZE</v>
          </cell>
          <cell r="F114">
            <v>2</v>
          </cell>
          <cell r="G114">
            <v>9</v>
          </cell>
          <cell r="H114">
            <v>0</v>
          </cell>
          <cell r="I114">
            <v>33.659999999999997</v>
          </cell>
          <cell r="J114">
            <v>217.549679</v>
          </cell>
          <cell r="K114">
            <v>217.549679</v>
          </cell>
          <cell r="L114">
            <v>0</v>
          </cell>
          <cell r="M114">
            <v>2.9179729999999999</v>
          </cell>
        </row>
        <row r="115">
          <cell r="B115" t="str">
            <v>25301</v>
          </cell>
          <cell r="C115">
            <v>1998</v>
          </cell>
          <cell r="D115">
            <v>193</v>
          </cell>
          <cell r="E115" t="str">
            <v>KALIP  ALISTIRMA  PRESI</v>
          </cell>
          <cell r="F115">
            <v>1</v>
          </cell>
          <cell r="G115">
            <v>11</v>
          </cell>
          <cell r="H115">
            <v>155425.32</v>
          </cell>
          <cell r="I115">
            <v>39840</v>
          </cell>
          <cell r="J115">
            <v>144821.121869</v>
          </cell>
          <cell r="K115">
            <v>126052.304475</v>
          </cell>
          <cell r="L115">
            <v>18768.817393999998</v>
          </cell>
          <cell r="M115">
            <v>3234.5690800000002</v>
          </cell>
        </row>
        <row r="116">
          <cell r="B116" t="str">
            <v>25301</v>
          </cell>
          <cell r="C116">
            <v>1998</v>
          </cell>
          <cell r="D116">
            <v>215</v>
          </cell>
          <cell r="E116" t="str">
            <v>YUKS. DEV. GRAFIT  ISLEME  CNC  FREZE  TEZG</v>
          </cell>
          <cell r="F116">
            <v>1</v>
          </cell>
          <cell r="G116">
            <v>11</v>
          </cell>
          <cell r="H116">
            <v>204507</v>
          </cell>
          <cell r="I116">
            <v>98590</v>
          </cell>
          <cell r="J116">
            <v>358381.38566899998</v>
          </cell>
          <cell r="K116">
            <v>311935.15808700002</v>
          </cell>
          <cell r="L116">
            <v>46446.227581999963</v>
          </cell>
          <cell r="M116">
            <v>8004.4218279999996</v>
          </cell>
        </row>
        <row r="117">
          <cell r="B117" t="str">
            <v>25401</v>
          </cell>
          <cell r="C117">
            <v>1999</v>
          </cell>
          <cell r="D117">
            <v>4</v>
          </cell>
          <cell r="E117" t="str">
            <v>34 VZ 9282 KARTAL STD</v>
          </cell>
          <cell r="F117">
            <v>1</v>
          </cell>
          <cell r="G117">
            <v>10</v>
          </cell>
          <cell r="H117">
            <v>4702.9702969999998</v>
          </cell>
          <cell r="I117">
            <v>3448.6200699999999</v>
          </cell>
          <cell r="J117">
            <v>8241.9260770000001</v>
          </cell>
          <cell r="K117">
            <v>5373.7358009999998</v>
          </cell>
          <cell r="L117">
            <v>2868.1902760000003</v>
          </cell>
          <cell r="M117">
            <v>457.152582</v>
          </cell>
        </row>
        <row r="118">
          <cell r="B118" t="str">
            <v>25401</v>
          </cell>
          <cell r="C118">
            <v>2000</v>
          </cell>
          <cell r="D118">
            <v>2</v>
          </cell>
          <cell r="E118" t="str">
            <v>34 MTK 28 FIAT MAREA 1.6 SX FULL</v>
          </cell>
          <cell r="F118">
            <v>1</v>
          </cell>
          <cell r="G118">
            <v>9</v>
          </cell>
          <cell r="H118">
            <v>10891.089109</v>
          </cell>
          <cell r="I118">
            <v>7384.2399519999999</v>
          </cell>
          <cell r="J118">
            <v>11312.655606</v>
          </cell>
          <cell r="K118">
            <v>7013.8464759999997</v>
          </cell>
          <cell r="L118">
            <v>4298.8091300000006</v>
          </cell>
          <cell r="M118">
            <v>426.311598</v>
          </cell>
        </row>
        <row r="119">
          <cell r="B119" t="str">
            <v>25502</v>
          </cell>
          <cell r="C119">
            <v>1999</v>
          </cell>
          <cell r="D119">
            <v>267</v>
          </cell>
          <cell r="E119" t="str">
            <v>PC AKT¿FLE¿T¿R¿MES¿ 31.12/159675 FT.BEKO</v>
          </cell>
          <cell r="F119">
            <v>4700</v>
          </cell>
          <cell r="G119">
            <v>12</v>
          </cell>
          <cell r="H119">
            <v>298728.81339999998</v>
          </cell>
          <cell r="I119">
            <v>2224769.3711299999</v>
          </cell>
          <cell r="J119">
            <v>5317020.8154509999</v>
          </cell>
          <cell r="K119">
            <v>3190212.4892710005</v>
          </cell>
          <cell r="L119">
            <v>2126808.3261799994</v>
          </cell>
          <cell r="M119">
            <v>282034.50037000002</v>
          </cell>
        </row>
        <row r="120">
          <cell r="B120" t="str">
            <v>25502</v>
          </cell>
          <cell r="C120">
            <v>1999</v>
          </cell>
          <cell r="D120">
            <v>270</v>
          </cell>
          <cell r="E120" t="str">
            <v>KREDI FAIZI PC AKT¿FLE¿T¿R¿MES¿ 31.12/159675 FT.BEKO</v>
          </cell>
          <cell r="F120">
            <v>4700</v>
          </cell>
          <cell r="G120">
            <v>12</v>
          </cell>
          <cell r="H120">
            <v>0</v>
          </cell>
          <cell r="I120">
            <v>54502.370502999998</v>
          </cell>
          <cell r="J120">
            <v>54502.370502999998</v>
          </cell>
          <cell r="K120">
            <v>32701.422301999999</v>
          </cell>
          <cell r="L120">
            <v>21800.948200999999</v>
          </cell>
          <cell r="M120">
            <v>0</v>
          </cell>
        </row>
        <row r="121">
          <cell r="B121" t="str">
            <v>25502</v>
          </cell>
          <cell r="C121">
            <v>1999</v>
          </cell>
          <cell r="D121">
            <v>271</v>
          </cell>
          <cell r="E121" t="str">
            <v>KUR FARKI PC AKT¿FLE¿T¿R¿MES¿ 31.12/159675 FT.BEKO</v>
          </cell>
          <cell r="F121">
            <v>4700</v>
          </cell>
          <cell r="G121">
            <v>12</v>
          </cell>
          <cell r="H121">
            <v>0</v>
          </cell>
          <cell r="I121">
            <v>331052.27373700001</v>
          </cell>
          <cell r="J121">
            <v>331052.27373700001</v>
          </cell>
          <cell r="K121">
            <v>198631.36424200001</v>
          </cell>
          <cell r="L121">
            <v>132420.909495</v>
          </cell>
          <cell r="M121">
            <v>0</v>
          </cell>
        </row>
        <row r="122">
          <cell r="B122" t="str">
            <v>25401</v>
          </cell>
          <cell r="C122">
            <v>1998</v>
          </cell>
          <cell r="D122">
            <v>2</v>
          </cell>
          <cell r="E122" t="str">
            <v>34 VZ 2413 KARTAL 1999 MODEL</v>
          </cell>
          <cell r="F122">
            <v>1</v>
          </cell>
          <cell r="G122">
            <v>12</v>
          </cell>
          <cell r="H122">
            <v>4702.9702969999998</v>
          </cell>
          <cell r="I122">
            <v>2756.1398600000002</v>
          </cell>
          <cell r="J122">
            <v>10018.75669</v>
          </cell>
          <cell r="K122">
            <v>7926.8402930000002</v>
          </cell>
          <cell r="L122">
            <v>2091.916397</v>
          </cell>
          <cell r="M122">
            <v>360.515421</v>
          </cell>
        </row>
        <row r="123">
          <cell r="B123" t="str">
            <v>25502</v>
          </cell>
          <cell r="C123">
            <v>1999</v>
          </cell>
          <cell r="D123">
            <v>266</v>
          </cell>
          <cell r="E123" t="str">
            <v>PC AKT¿FLE¿T¿R¿MES¿ 30.11/159558 FT.BEKO</v>
          </cell>
          <cell r="F123">
            <v>171</v>
          </cell>
          <cell r="G123">
            <v>12</v>
          </cell>
          <cell r="H123">
            <v>10868.644061999999</v>
          </cell>
          <cell r="I123">
            <v>72664.269585999995</v>
          </cell>
          <cell r="J123">
            <v>173661.79117000001</v>
          </cell>
          <cell r="K123">
            <v>104197.074702</v>
          </cell>
          <cell r="L123">
            <v>69464.716468000013</v>
          </cell>
          <cell r="M123">
            <v>9211.6653679999999</v>
          </cell>
        </row>
        <row r="124">
          <cell r="B124" t="str">
            <v>25502</v>
          </cell>
          <cell r="C124">
            <v>1999</v>
          </cell>
          <cell r="D124">
            <v>268</v>
          </cell>
          <cell r="E124" t="str">
            <v>KREDI FAIZI PC AKT¿FLE¿T¿R¿MES¿ 30.11/159558 FT.BEKO</v>
          </cell>
          <cell r="F124">
            <v>171</v>
          </cell>
          <cell r="G124">
            <v>12</v>
          </cell>
          <cell r="H124">
            <v>0</v>
          </cell>
          <cell r="I124">
            <v>816.66980699999999</v>
          </cell>
          <cell r="J124">
            <v>816.66980699999999</v>
          </cell>
          <cell r="K124">
            <v>490.00188400000002</v>
          </cell>
          <cell r="L124">
            <v>326.66792299999997</v>
          </cell>
          <cell r="M124">
            <v>0</v>
          </cell>
        </row>
        <row r="125">
          <cell r="B125" t="str">
            <v>25502</v>
          </cell>
          <cell r="C125">
            <v>1999</v>
          </cell>
          <cell r="D125">
            <v>269</v>
          </cell>
          <cell r="E125" t="str">
            <v>KUR FARKI PC AKT¿FLE¿T¿R¿MES¿ 30.11/159558 FT.BEKO</v>
          </cell>
          <cell r="F125">
            <v>171</v>
          </cell>
          <cell r="G125">
            <v>12</v>
          </cell>
          <cell r="H125">
            <v>0</v>
          </cell>
          <cell r="I125">
            <v>5251.8067199999996</v>
          </cell>
          <cell r="J125">
            <v>5251.8067199999996</v>
          </cell>
          <cell r="K125">
            <v>3151.0840320000002</v>
          </cell>
          <cell r="L125">
            <v>2100.7226879999994</v>
          </cell>
          <cell r="M125">
            <v>0</v>
          </cell>
        </row>
        <row r="126">
          <cell r="B126" t="str">
            <v>25502</v>
          </cell>
          <cell r="C126">
            <v>1999</v>
          </cell>
          <cell r="D126">
            <v>266</v>
          </cell>
          <cell r="E126" t="str">
            <v>PC AKT¿FLE¿T¿R¿MES¿ 30.11/159558 FT.BEKO</v>
          </cell>
          <cell r="F126">
            <v>7143</v>
          </cell>
          <cell r="G126">
            <v>11</v>
          </cell>
          <cell r="H126">
            <v>452736.599919</v>
          </cell>
          <cell r="I126">
            <v>3026851.7545110001</v>
          </cell>
          <cell r="J126">
            <v>7254188.1539730001</v>
          </cell>
          <cell r="K126">
            <v>4352512.8923849994</v>
          </cell>
          <cell r="L126">
            <v>2901675.2615880007</v>
          </cell>
          <cell r="M126">
            <v>384789.039315</v>
          </cell>
        </row>
        <row r="127">
          <cell r="B127" t="str">
            <v>25502</v>
          </cell>
          <cell r="C127">
            <v>1999</v>
          </cell>
          <cell r="D127">
            <v>268</v>
          </cell>
          <cell r="E127" t="str">
            <v>KREDI FAIZI PC AKT¿FLE¿T¿R¿MES¿ 30.11/159558 FT.BEKO</v>
          </cell>
          <cell r="F127">
            <v>7143</v>
          </cell>
          <cell r="G127">
            <v>11</v>
          </cell>
          <cell r="H127">
            <v>0</v>
          </cell>
          <cell r="I127">
            <v>34018.623641999999</v>
          </cell>
          <cell r="J127">
            <v>34113.873883</v>
          </cell>
          <cell r="K127">
            <v>20468.324329999999</v>
          </cell>
          <cell r="L127">
            <v>13645.549553000001</v>
          </cell>
          <cell r="M127">
            <v>0</v>
          </cell>
        </row>
        <row r="128">
          <cell r="B128" t="str">
            <v>25502</v>
          </cell>
          <cell r="C128">
            <v>1999</v>
          </cell>
          <cell r="D128">
            <v>269</v>
          </cell>
          <cell r="E128" t="str">
            <v>KUR FARKI PC AKT¿FLE¿T¿R¿MES¿ 30.11/159558 FT.BEKO</v>
          </cell>
          <cell r="F128">
            <v>7143</v>
          </cell>
          <cell r="G128">
            <v>11</v>
          </cell>
          <cell r="H128">
            <v>0</v>
          </cell>
          <cell r="I128">
            <v>218765.57041300001</v>
          </cell>
          <cell r="J128">
            <v>219378.10175999999</v>
          </cell>
          <cell r="K128">
            <v>131626.86105599999</v>
          </cell>
          <cell r="L128">
            <v>87751.240703999996</v>
          </cell>
          <cell r="M128">
            <v>0</v>
          </cell>
        </row>
        <row r="129">
          <cell r="B129" t="str">
            <v>25501</v>
          </cell>
          <cell r="C129">
            <v>1988</v>
          </cell>
          <cell r="D129">
            <v>364</v>
          </cell>
          <cell r="E129" t="str">
            <v>SVI 3107 14 C MONITOR</v>
          </cell>
          <cell r="F129">
            <v>1</v>
          </cell>
          <cell r="G129">
            <v>11</v>
          </cell>
          <cell r="H129">
            <v>5</v>
          </cell>
          <cell r="I129">
            <v>0.89148000000000005</v>
          </cell>
          <cell r="J129">
            <v>3.6401089999999998</v>
          </cell>
          <cell r="K129">
            <v>3.6401089999999998</v>
          </cell>
          <cell r="L129">
            <v>0</v>
          </cell>
          <cell r="M129">
            <v>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MENP"/>
      <sheetName val="A-03"/>
      <sheetName val="A-06"/>
      <sheetName val="Mz-12"/>
      <sheetName val="Mz-03"/>
      <sheetName val="Mz-06"/>
      <sheetName val="TB"/>
      <sheetName val="os"/>
      <sheetName val="MG"/>
      <sheetName val="FR-03"/>
      <sheetName val="FR-06"/>
      <sheetName val="CF_04"/>
      <sheetName val="WTB-3"/>
      <sheetName val="WTB-6"/>
      <sheetName val="AJE04"/>
      <sheetName val="RJE04"/>
      <sheetName val="DefT"/>
      <sheetName val="PL for Tax"/>
      <sheetName val="WPL"/>
      <sheetName val="RN"/>
      <sheetName val="SHE"/>
      <sheetName val="Inv"/>
      <sheetName val="AJE-RJE-2003"/>
      <sheetName val="Rec"/>
      <sheetName val="3000 C&amp;B"/>
      <sheetName val="3100 MS"/>
      <sheetName val="3200 TR"/>
      <sheetName val="3400 Inv"/>
      <sheetName val="3500 OA"/>
      <sheetName val="3700 Invest"/>
      <sheetName val="3800 FA"/>
      <sheetName val="4000 TP"/>
      <sheetName val="4100 OL"/>
      <sheetName val="4200 Bor"/>
      <sheetName val="4500 Inc Tax"/>
      <sheetName val="4800 ETB"/>
      <sheetName val="5000 Equ "/>
      <sheetName val="BD PL"/>
      <sheetName val="6000 S"/>
      <sheetName val="6100 COGS"/>
      <sheetName val="6200 non op"/>
      <sheetName val="6300 opex"/>
      <sheetName val="6500 Finex"/>
      <sheetName val="6600 Extra"/>
      <sheetName val="aje&amp;rje"/>
      <sheetName val="equity mov 3112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0903"/>
    </sheetNames>
    <definedNames>
      <definedName name="REPOSIRALAMA"/>
    </defined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P&amp;L"/>
      <sheetName val="KeyFigures"/>
      <sheetName val="Bal.Sheet"/>
      <sheetName val="sapactivexlhiddensheet"/>
    </sheetNames>
    <sheetDataSet>
      <sheetData sheetId="0" refreshError="1">
        <row r="19">
          <cell r="E19" t="str">
            <v>MU Austria FT</v>
          </cell>
        </row>
      </sheetData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ank Soft Copy"/>
      <sheetName val="Bank Adv-Print"/>
      <sheetName val="Sheet3"/>
    </sheetNames>
    <sheetDataSet>
      <sheetData sheetId="0" refreshError="1">
        <row r="4">
          <cell r="Z4">
            <v>6</v>
          </cell>
          <cell r="AA4" t="str">
            <v>VEENA KATHURIA</v>
          </cell>
          <cell r="AB4" t="str">
            <v>007101029806</v>
          </cell>
          <cell r="AC4">
            <v>19935</v>
          </cell>
          <cell r="AD4">
            <v>11961</v>
          </cell>
          <cell r="AE4">
            <v>0</v>
          </cell>
          <cell r="AF4">
            <v>800</v>
          </cell>
          <cell r="AG4">
            <v>100</v>
          </cell>
          <cell r="AH4">
            <v>1587</v>
          </cell>
          <cell r="AL4">
            <v>34383</v>
          </cell>
          <cell r="AM4">
            <v>1994</v>
          </cell>
          <cell r="AN4">
            <v>1197</v>
          </cell>
          <cell r="AT4">
            <v>3191</v>
          </cell>
          <cell r="AU4">
            <v>31192</v>
          </cell>
        </row>
        <row r="5">
          <cell r="Z5">
            <v>7</v>
          </cell>
          <cell r="AA5" t="str">
            <v>PRADIP SEN</v>
          </cell>
          <cell r="AB5" t="str">
            <v>007101029842</v>
          </cell>
          <cell r="AC5">
            <v>61855</v>
          </cell>
          <cell r="AD5">
            <v>0</v>
          </cell>
          <cell r="AE5">
            <v>0</v>
          </cell>
          <cell r="AF5">
            <v>0</v>
          </cell>
          <cell r="AG5">
            <v>100</v>
          </cell>
          <cell r="AH5">
            <v>37241</v>
          </cell>
          <cell r="AL5">
            <v>99196</v>
          </cell>
          <cell r="AM5">
            <v>6186</v>
          </cell>
          <cell r="AN5">
            <v>32793</v>
          </cell>
          <cell r="AO5">
            <v>13746</v>
          </cell>
          <cell r="AP5">
            <v>0</v>
          </cell>
          <cell r="AT5">
            <v>52725</v>
          </cell>
          <cell r="AU5">
            <v>46471</v>
          </cell>
        </row>
        <row r="6">
          <cell r="Z6">
            <v>17</v>
          </cell>
          <cell r="AA6" t="str">
            <v>K.K.GAUR</v>
          </cell>
          <cell r="AB6" t="str">
            <v>007101029707</v>
          </cell>
          <cell r="AC6">
            <v>45350</v>
          </cell>
          <cell r="AD6">
            <v>27210</v>
          </cell>
          <cell r="AE6">
            <v>0</v>
          </cell>
          <cell r="AF6">
            <v>0</v>
          </cell>
          <cell r="AG6">
            <v>100</v>
          </cell>
          <cell r="AH6">
            <v>16906</v>
          </cell>
          <cell r="AL6">
            <v>89566</v>
          </cell>
          <cell r="AM6">
            <v>4535</v>
          </cell>
          <cell r="AN6">
            <v>18312</v>
          </cell>
          <cell r="AT6">
            <v>22847</v>
          </cell>
          <cell r="AU6">
            <v>66719</v>
          </cell>
        </row>
        <row r="7">
          <cell r="Z7">
            <v>26</v>
          </cell>
          <cell r="AA7" t="str">
            <v>AMARJIT SINGH</v>
          </cell>
          <cell r="AB7" t="str">
            <v>007101029718</v>
          </cell>
          <cell r="AC7">
            <v>14965</v>
          </cell>
          <cell r="AD7">
            <v>8979</v>
          </cell>
          <cell r="AE7">
            <v>2245</v>
          </cell>
          <cell r="AF7">
            <v>800</v>
          </cell>
          <cell r="AG7">
            <v>100</v>
          </cell>
          <cell r="AH7">
            <v>0</v>
          </cell>
          <cell r="AI7">
            <v>825</v>
          </cell>
          <cell r="AL7">
            <v>27914</v>
          </cell>
          <cell r="AM7">
            <v>1497</v>
          </cell>
          <cell r="AN7">
            <v>0</v>
          </cell>
          <cell r="AT7">
            <v>1497</v>
          </cell>
          <cell r="AU7">
            <v>26417</v>
          </cell>
        </row>
        <row r="8">
          <cell r="Z8">
            <v>41</v>
          </cell>
          <cell r="AA8" t="str">
            <v>R.K.SHARMA</v>
          </cell>
          <cell r="AB8" t="str">
            <v>007101030779</v>
          </cell>
          <cell r="AC8">
            <v>14515</v>
          </cell>
          <cell r="AD8">
            <v>8709</v>
          </cell>
          <cell r="AE8">
            <v>2177</v>
          </cell>
          <cell r="AF8">
            <v>800</v>
          </cell>
          <cell r="AG8">
            <v>100</v>
          </cell>
          <cell r="AH8">
            <v>0</v>
          </cell>
          <cell r="AI8">
            <v>1400</v>
          </cell>
          <cell r="AL8">
            <v>27701</v>
          </cell>
          <cell r="AM8">
            <v>1452</v>
          </cell>
          <cell r="AN8">
            <v>0</v>
          </cell>
          <cell r="AT8">
            <v>1452</v>
          </cell>
          <cell r="AU8">
            <v>26249</v>
          </cell>
        </row>
        <row r="9">
          <cell r="Z9">
            <v>47</v>
          </cell>
          <cell r="AA9" t="str">
            <v>ATUL ARORA</v>
          </cell>
          <cell r="AB9" t="str">
            <v>007101029847</v>
          </cell>
          <cell r="AC9">
            <v>19470</v>
          </cell>
          <cell r="AD9">
            <v>11682</v>
          </cell>
          <cell r="AE9">
            <v>0</v>
          </cell>
          <cell r="AF9">
            <v>800</v>
          </cell>
          <cell r="AG9">
            <v>100</v>
          </cell>
          <cell r="AH9">
            <v>1587</v>
          </cell>
          <cell r="AL9">
            <v>33639</v>
          </cell>
          <cell r="AM9">
            <v>1947</v>
          </cell>
          <cell r="AN9">
            <v>1721</v>
          </cell>
          <cell r="AT9">
            <v>3668</v>
          </cell>
          <cell r="AU9">
            <v>29971</v>
          </cell>
        </row>
        <row r="10">
          <cell r="Z10">
            <v>49</v>
          </cell>
          <cell r="AA10" t="str">
            <v>S.G.AGGARWAL</v>
          </cell>
          <cell r="AB10" t="str">
            <v>007101029853</v>
          </cell>
          <cell r="AC10">
            <v>53075</v>
          </cell>
          <cell r="AD10">
            <v>31845</v>
          </cell>
          <cell r="AE10">
            <v>0</v>
          </cell>
          <cell r="AF10">
            <v>0</v>
          </cell>
          <cell r="AG10">
            <v>100</v>
          </cell>
          <cell r="AH10">
            <v>20128</v>
          </cell>
          <cell r="AL10">
            <v>105148</v>
          </cell>
          <cell r="AM10">
            <v>5308</v>
          </cell>
          <cell r="AN10">
            <v>28109</v>
          </cell>
          <cell r="AO10">
            <v>6106</v>
          </cell>
          <cell r="AP10">
            <v>0</v>
          </cell>
          <cell r="AT10">
            <v>39523</v>
          </cell>
          <cell r="AU10">
            <v>65625</v>
          </cell>
        </row>
        <row r="11">
          <cell r="Z11">
            <v>53</v>
          </cell>
          <cell r="AA11" t="str">
            <v>DEBASISH BOSE</v>
          </cell>
          <cell r="AB11" t="str">
            <v>007101029737</v>
          </cell>
          <cell r="AC11">
            <v>17270</v>
          </cell>
          <cell r="AD11">
            <v>10362</v>
          </cell>
          <cell r="AE11">
            <v>2591</v>
          </cell>
          <cell r="AF11">
            <v>800</v>
          </cell>
          <cell r="AG11">
            <v>100</v>
          </cell>
          <cell r="AH11">
            <v>794</v>
          </cell>
          <cell r="AL11">
            <v>31917</v>
          </cell>
          <cell r="AM11">
            <v>1727</v>
          </cell>
          <cell r="AN11">
            <v>1593</v>
          </cell>
          <cell r="AO11">
            <v>4303</v>
          </cell>
          <cell r="AT11">
            <v>7623</v>
          </cell>
          <cell r="AU11">
            <v>24294</v>
          </cell>
        </row>
        <row r="12">
          <cell r="Z12">
            <v>58</v>
          </cell>
          <cell r="AA12" t="str">
            <v>S.K.PARASHAR</v>
          </cell>
          <cell r="AB12" t="str">
            <v>007101029834</v>
          </cell>
          <cell r="AC12">
            <v>13885</v>
          </cell>
          <cell r="AD12">
            <v>8331</v>
          </cell>
          <cell r="AE12">
            <v>2083</v>
          </cell>
          <cell r="AF12">
            <v>800</v>
          </cell>
          <cell r="AG12">
            <v>100</v>
          </cell>
          <cell r="AH12">
            <v>0</v>
          </cell>
          <cell r="AL12">
            <v>25199</v>
          </cell>
          <cell r="AM12">
            <v>1389</v>
          </cell>
          <cell r="AN12">
            <v>0</v>
          </cell>
          <cell r="AT12">
            <v>1389</v>
          </cell>
          <cell r="AU12">
            <v>23810</v>
          </cell>
        </row>
        <row r="13">
          <cell r="Z13">
            <v>67</v>
          </cell>
          <cell r="AA13" t="str">
            <v>RAJ TIWARI</v>
          </cell>
          <cell r="AB13" t="str">
            <v>002901014193</v>
          </cell>
          <cell r="AC13">
            <v>29125</v>
          </cell>
          <cell r="AD13">
            <v>17475</v>
          </cell>
          <cell r="AE13">
            <v>0</v>
          </cell>
          <cell r="AF13">
            <v>800</v>
          </cell>
          <cell r="AG13">
            <v>100</v>
          </cell>
          <cell r="AH13">
            <v>7924</v>
          </cell>
          <cell r="AL13">
            <v>55424</v>
          </cell>
          <cell r="AM13">
            <v>2913</v>
          </cell>
          <cell r="AN13">
            <v>6186</v>
          </cell>
          <cell r="AT13">
            <v>9099</v>
          </cell>
          <cell r="AU13">
            <v>46325</v>
          </cell>
        </row>
        <row r="14">
          <cell r="Z14">
            <v>68</v>
          </cell>
          <cell r="AA14" t="str">
            <v>RICHPAL SINGH</v>
          </cell>
          <cell r="AB14" t="str">
            <v>007101030102</v>
          </cell>
          <cell r="AC14">
            <v>24310</v>
          </cell>
          <cell r="AD14">
            <v>14586</v>
          </cell>
          <cell r="AE14">
            <v>0</v>
          </cell>
          <cell r="AF14">
            <v>800</v>
          </cell>
          <cell r="AG14">
            <v>100</v>
          </cell>
          <cell r="AH14">
            <v>3881</v>
          </cell>
          <cell r="AL14">
            <v>43677</v>
          </cell>
          <cell r="AM14">
            <v>2431</v>
          </cell>
          <cell r="AN14">
            <v>3515</v>
          </cell>
          <cell r="AT14">
            <v>5946</v>
          </cell>
          <cell r="AU14">
            <v>37731</v>
          </cell>
        </row>
        <row r="15">
          <cell r="Z15">
            <v>69</v>
          </cell>
          <cell r="AA15" t="str">
            <v>D.P.BHADULA</v>
          </cell>
          <cell r="AB15" t="str">
            <v>007101031178</v>
          </cell>
          <cell r="AC15">
            <v>14020</v>
          </cell>
          <cell r="AD15">
            <v>8412</v>
          </cell>
          <cell r="AE15">
            <v>2103</v>
          </cell>
          <cell r="AF15">
            <v>800</v>
          </cell>
          <cell r="AG15">
            <v>100</v>
          </cell>
          <cell r="AH15">
            <v>0</v>
          </cell>
          <cell r="AL15">
            <v>25435</v>
          </cell>
          <cell r="AM15">
            <v>1402</v>
          </cell>
          <cell r="AN15">
            <v>0</v>
          </cell>
          <cell r="AT15">
            <v>1402</v>
          </cell>
          <cell r="AU15">
            <v>24033</v>
          </cell>
        </row>
        <row r="16">
          <cell r="Z16">
            <v>75</v>
          </cell>
          <cell r="AA16" t="str">
            <v>ASHWANI KUMAR</v>
          </cell>
          <cell r="AB16" t="str">
            <v>007101029844</v>
          </cell>
          <cell r="AC16">
            <v>14805</v>
          </cell>
          <cell r="AD16">
            <v>8883</v>
          </cell>
          <cell r="AE16">
            <v>2221</v>
          </cell>
          <cell r="AF16">
            <v>800</v>
          </cell>
          <cell r="AG16">
            <v>100</v>
          </cell>
          <cell r="AH16">
            <v>0</v>
          </cell>
          <cell r="AL16">
            <v>26809</v>
          </cell>
          <cell r="AM16">
            <v>1481</v>
          </cell>
          <cell r="AN16">
            <v>821</v>
          </cell>
          <cell r="AT16">
            <v>2302</v>
          </cell>
          <cell r="AU16">
            <v>24507</v>
          </cell>
        </row>
        <row r="17">
          <cell r="Z17">
            <v>88</v>
          </cell>
          <cell r="AA17" t="str">
            <v>INDIRA DHAR</v>
          </cell>
          <cell r="AB17" t="str">
            <v>007101029799</v>
          </cell>
          <cell r="AC17">
            <v>11580</v>
          </cell>
          <cell r="AD17">
            <v>6948</v>
          </cell>
          <cell r="AE17">
            <v>1737</v>
          </cell>
          <cell r="AF17">
            <v>800</v>
          </cell>
          <cell r="AG17">
            <v>0</v>
          </cell>
          <cell r="AH17">
            <v>0</v>
          </cell>
          <cell r="AI17">
            <v>1909</v>
          </cell>
          <cell r="AL17">
            <v>22974</v>
          </cell>
          <cell r="AM17">
            <v>1158</v>
          </cell>
          <cell r="AN17">
            <v>0</v>
          </cell>
          <cell r="AT17">
            <v>1158</v>
          </cell>
          <cell r="AU17">
            <v>21816</v>
          </cell>
        </row>
        <row r="18">
          <cell r="Z18">
            <v>96</v>
          </cell>
          <cell r="AA18" t="str">
            <v>KULDEEP SINGH</v>
          </cell>
          <cell r="AB18" t="str">
            <v>007101029742</v>
          </cell>
          <cell r="AC18">
            <v>9960</v>
          </cell>
          <cell r="AD18">
            <v>5976</v>
          </cell>
          <cell r="AE18">
            <v>1494</v>
          </cell>
          <cell r="AF18">
            <v>800</v>
          </cell>
          <cell r="AG18">
            <v>0</v>
          </cell>
          <cell r="AH18">
            <v>0</v>
          </cell>
          <cell r="AL18">
            <v>18230</v>
          </cell>
          <cell r="AM18">
            <v>996</v>
          </cell>
          <cell r="AN18">
            <v>0</v>
          </cell>
          <cell r="AT18">
            <v>996</v>
          </cell>
          <cell r="AU18">
            <v>17234</v>
          </cell>
        </row>
        <row r="19">
          <cell r="Z19">
            <v>100</v>
          </cell>
          <cell r="AA19" t="str">
            <v>M.G.K.MURTHY</v>
          </cell>
          <cell r="AB19" t="str">
            <v>007101029734</v>
          </cell>
          <cell r="AC19">
            <v>26510</v>
          </cell>
          <cell r="AD19">
            <v>15906</v>
          </cell>
          <cell r="AE19">
            <v>0</v>
          </cell>
          <cell r="AF19">
            <v>800</v>
          </cell>
          <cell r="AG19">
            <v>100</v>
          </cell>
          <cell r="AH19">
            <v>12454</v>
          </cell>
          <cell r="AL19">
            <v>55770</v>
          </cell>
          <cell r="AM19">
            <v>2651</v>
          </cell>
          <cell r="AN19">
            <v>8821</v>
          </cell>
          <cell r="AO19">
            <v>3443</v>
          </cell>
          <cell r="AP19">
            <v>216</v>
          </cell>
          <cell r="AT19">
            <v>15131</v>
          </cell>
          <cell r="AU19">
            <v>40639</v>
          </cell>
        </row>
        <row r="20">
          <cell r="Z20">
            <v>103</v>
          </cell>
          <cell r="AA20" t="str">
            <v>S.K.BOSE</v>
          </cell>
          <cell r="AB20" t="str">
            <v>007101031397</v>
          </cell>
          <cell r="AC20">
            <v>41960</v>
          </cell>
          <cell r="AD20">
            <v>25176</v>
          </cell>
          <cell r="AE20">
            <v>0</v>
          </cell>
          <cell r="AF20">
            <v>0</v>
          </cell>
          <cell r="AG20">
            <v>100</v>
          </cell>
          <cell r="AH20">
            <v>16906</v>
          </cell>
          <cell r="AL20">
            <v>84142</v>
          </cell>
          <cell r="AM20">
            <v>4196</v>
          </cell>
          <cell r="AN20">
            <v>14081</v>
          </cell>
          <cell r="AT20">
            <v>18277</v>
          </cell>
          <cell r="AU20">
            <v>65865</v>
          </cell>
        </row>
        <row r="21">
          <cell r="Z21">
            <v>107</v>
          </cell>
          <cell r="AA21" t="str">
            <v>P.K.BHATTARYA</v>
          </cell>
          <cell r="AB21" t="str">
            <v>007101030778</v>
          </cell>
          <cell r="AC21">
            <v>27335</v>
          </cell>
          <cell r="AD21">
            <v>16401</v>
          </cell>
          <cell r="AE21">
            <v>0</v>
          </cell>
          <cell r="AF21">
            <v>800</v>
          </cell>
          <cell r="AG21">
            <v>100</v>
          </cell>
          <cell r="AH21">
            <v>4652</v>
          </cell>
          <cell r="AL21">
            <v>49288</v>
          </cell>
          <cell r="AM21">
            <v>2734</v>
          </cell>
          <cell r="AN21">
            <v>5722</v>
          </cell>
          <cell r="AT21">
            <v>8456</v>
          </cell>
          <cell r="AU21">
            <v>40832</v>
          </cell>
        </row>
        <row r="22">
          <cell r="Z22">
            <v>121</v>
          </cell>
          <cell r="AA22" t="str">
            <v>K.B.MALODE</v>
          </cell>
          <cell r="AB22" t="str">
            <v>007101030777</v>
          </cell>
          <cell r="AC22">
            <v>28555</v>
          </cell>
          <cell r="AD22">
            <v>17133</v>
          </cell>
          <cell r="AE22">
            <v>0</v>
          </cell>
          <cell r="AF22">
            <v>800</v>
          </cell>
          <cell r="AG22">
            <v>100</v>
          </cell>
          <cell r="AH22">
            <v>7924</v>
          </cell>
          <cell r="AL22">
            <v>54512</v>
          </cell>
          <cell r="AM22">
            <v>2856</v>
          </cell>
          <cell r="AN22">
            <v>5012</v>
          </cell>
          <cell r="AT22">
            <v>7868</v>
          </cell>
          <cell r="AU22">
            <v>46644</v>
          </cell>
        </row>
        <row r="23">
          <cell r="Z23">
            <v>123</v>
          </cell>
          <cell r="AA23" t="str">
            <v>RAMESH AYYA</v>
          </cell>
          <cell r="AB23" t="str">
            <v>007101029904</v>
          </cell>
          <cell r="AC23">
            <v>31370</v>
          </cell>
          <cell r="AD23">
            <v>18822</v>
          </cell>
          <cell r="AE23">
            <v>0</v>
          </cell>
          <cell r="AF23">
            <v>800</v>
          </cell>
          <cell r="AG23">
            <v>100</v>
          </cell>
          <cell r="AH23">
            <v>12454</v>
          </cell>
          <cell r="AI23">
            <v>29985</v>
          </cell>
          <cell r="AL23">
            <v>93531</v>
          </cell>
          <cell r="AM23">
            <v>3137</v>
          </cell>
          <cell r="AN23">
            <v>9076</v>
          </cell>
          <cell r="AT23">
            <v>12213</v>
          </cell>
          <cell r="AU23">
            <v>81318</v>
          </cell>
        </row>
        <row r="24">
          <cell r="Z24">
            <v>125</v>
          </cell>
          <cell r="AA24" t="str">
            <v>RAJIV SAXENA</v>
          </cell>
          <cell r="AB24" t="str">
            <v>007101029817</v>
          </cell>
          <cell r="AC24">
            <v>23795</v>
          </cell>
          <cell r="AD24">
            <v>14277</v>
          </cell>
          <cell r="AE24">
            <v>0</v>
          </cell>
          <cell r="AF24">
            <v>800</v>
          </cell>
          <cell r="AG24">
            <v>100</v>
          </cell>
          <cell r="AH24">
            <v>1587</v>
          </cell>
          <cell r="AL24">
            <v>40559</v>
          </cell>
          <cell r="AM24">
            <v>2380</v>
          </cell>
          <cell r="AN24">
            <v>5041</v>
          </cell>
          <cell r="AT24">
            <v>7421</v>
          </cell>
          <cell r="AU24">
            <v>33138</v>
          </cell>
        </row>
        <row r="25">
          <cell r="Z25">
            <v>127</v>
          </cell>
          <cell r="AA25" t="str">
            <v>RAKESH PURI</v>
          </cell>
          <cell r="AB25" t="str">
            <v>007101029807</v>
          </cell>
          <cell r="AC25">
            <v>22170</v>
          </cell>
          <cell r="AD25">
            <v>13302</v>
          </cell>
          <cell r="AE25">
            <v>0</v>
          </cell>
          <cell r="AF25">
            <v>800</v>
          </cell>
          <cell r="AG25">
            <v>100</v>
          </cell>
          <cell r="AH25">
            <v>1587</v>
          </cell>
          <cell r="AL25">
            <v>37959</v>
          </cell>
          <cell r="AM25">
            <v>2217</v>
          </cell>
          <cell r="AN25">
            <v>2464</v>
          </cell>
          <cell r="AT25">
            <v>4681</v>
          </cell>
          <cell r="AU25">
            <v>33278</v>
          </cell>
        </row>
        <row r="26">
          <cell r="Z26">
            <v>132</v>
          </cell>
          <cell r="AA26" t="str">
            <v>S. DIPAK</v>
          </cell>
          <cell r="AB26" t="str">
            <v>007101029818</v>
          </cell>
          <cell r="AC26">
            <v>19540</v>
          </cell>
          <cell r="AD26">
            <v>11724</v>
          </cell>
          <cell r="AE26">
            <v>0</v>
          </cell>
          <cell r="AF26">
            <v>800</v>
          </cell>
          <cell r="AG26">
            <v>100</v>
          </cell>
          <cell r="AH26">
            <v>1587</v>
          </cell>
          <cell r="AL26">
            <v>33751</v>
          </cell>
          <cell r="AM26">
            <v>1954</v>
          </cell>
          <cell r="AN26">
            <v>1133</v>
          </cell>
          <cell r="AT26">
            <v>3087</v>
          </cell>
          <cell r="AU26">
            <v>30664</v>
          </cell>
        </row>
        <row r="27">
          <cell r="Z27">
            <v>191</v>
          </cell>
          <cell r="AA27" t="str">
            <v>GULAB SINGH</v>
          </cell>
          <cell r="AB27" t="str">
            <v>007101029845</v>
          </cell>
          <cell r="AC27">
            <v>10565</v>
          </cell>
          <cell r="AD27">
            <v>6339</v>
          </cell>
          <cell r="AE27">
            <v>1585</v>
          </cell>
          <cell r="AF27">
            <v>800</v>
          </cell>
          <cell r="AG27">
            <v>0</v>
          </cell>
          <cell r="AH27">
            <v>0</v>
          </cell>
          <cell r="AL27">
            <v>19289</v>
          </cell>
          <cell r="AM27">
            <v>1057</v>
          </cell>
          <cell r="AN27">
            <v>0</v>
          </cell>
          <cell r="AT27">
            <v>1057</v>
          </cell>
          <cell r="AU27">
            <v>18232</v>
          </cell>
        </row>
        <row r="28">
          <cell r="Z28">
            <v>197</v>
          </cell>
          <cell r="AA28" t="str">
            <v>S.K.TALUKDAR</v>
          </cell>
          <cell r="AB28" t="str">
            <v>007101029703</v>
          </cell>
          <cell r="AC28">
            <v>34275</v>
          </cell>
          <cell r="AD28">
            <v>20565</v>
          </cell>
          <cell r="AE28">
            <v>0</v>
          </cell>
          <cell r="AF28">
            <v>800</v>
          </cell>
          <cell r="AG28">
            <v>100</v>
          </cell>
          <cell r="AH28">
            <v>7924</v>
          </cell>
          <cell r="AL28">
            <v>63664</v>
          </cell>
          <cell r="AM28">
            <v>3428</v>
          </cell>
          <cell r="AN28">
            <v>8474</v>
          </cell>
          <cell r="AT28">
            <v>11902</v>
          </cell>
          <cell r="AU28">
            <v>51762</v>
          </cell>
        </row>
        <row r="29">
          <cell r="Z29">
            <v>200</v>
          </cell>
          <cell r="AA29" t="str">
            <v>GURDEEP LAMBA</v>
          </cell>
          <cell r="AB29" t="str">
            <v>007101029831</v>
          </cell>
          <cell r="AC29">
            <v>14305</v>
          </cell>
          <cell r="AD29">
            <v>8583</v>
          </cell>
          <cell r="AE29">
            <v>2146</v>
          </cell>
          <cell r="AF29">
            <v>800</v>
          </cell>
          <cell r="AG29">
            <v>100</v>
          </cell>
          <cell r="AH29">
            <v>794</v>
          </cell>
          <cell r="AL29">
            <v>26728</v>
          </cell>
          <cell r="AM29">
            <v>1431</v>
          </cell>
          <cell r="AN29">
            <v>1646</v>
          </cell>
          <cell r="AO29">
            <v>4303</v>
          </cell>
          <cell r="AT29">
            <v>7380</v>
          </cell>
          <cell r="AU29">
            <v>19348</v>
          </cell>
        </row>
        <row r="30">
          <cell r="Z30">
            <v>201</v>
          </cell>
          <cell r="AA30" t="str">
            <v>SHEESH PAL</v>
          </cell>
          <cell r="AB30" t="str">
            <v>007101031180</v>
          </cell>
          <cell r="AC30">
            <v>11060</v>
          </cell>
          <cell r="AD30">
            <v>6636</v>
          </cell>
          <cell r="AE30">
            <v>1659</v>
          </cell>
          <cell r="AF30">
            <v>800</v>
          </cell>
          <cell r="AG30">
            <v>100</v>
          </cell>
          <cell r="AH30">
            <v>0</v>
          </cell>
          <cell r="AL30">
            <v>20255</v>
          </cell>
          <cell r="AM30">
            <v>1106</v>
          </cell>
          <cell r="AN30">
            <v>0</v>
          </cell>
          <cell r="AT30">
            <v>1106</v>
          </cell>
          <cell r="AU30">
            <v>19149</v>
          </cell>
        </row>
        <row r="31">
          <cell r="Z31">
            <v>206</v>
          </cell>
          <cell r="AA31" t="str">
            <v>SANEL KUMAR</v>
          </cell>
          <cell r="AB31" t="str">
            <v>007101029727</v>
          </cell>
          <cell r="AC31">
            <v>11375</v>
          </cell>
          <cell r="AD31">
            <v>6825</v>
          </cell>
          <cell r="AE31">
            <v>1706</v>
          </cell>
          <cell r="AF31">
            <v>800</v>
          </cell>
          <cell r="AG31">
            <v>0</v>
          </cell>
          <cell r="AH31">
            <v>0</v>
          </cell>
          <cell r="AL31">
            <v>20706</v>
          </cell>
          <cell r="AM31">
            <v>1138</v>
          </cell>
          <cell r="AN31">
            <v>0</v>
          </cell>
          <cell r="AT31">
            <v>1138</v>
          </cell>
          <cell r="AU31">
            <v>19568</v>
          </cell>
        </row>
        <row r="32">
          <cell r="Z32">
            <v>209</v>
          </cell>
          <cell r="AA32" t="str">
            <v>RAJAN SACHDEVA</v>
          </cell>
          <cell r="AB32" t="str">
            <v>007101029805</v>
          </cell>
          <cell r="AC32">
            <v>13570</v>
          </cell>
          <cell r="AD32">
            <v>8142</v>
          </cell>
          <cell r="AE32">
            <v>2036</v>
          </cell>
          <cell r="AF32">
            <v>800</v>
          </cell>
          <cell r="AG32">
            <v>100</v>
          </cell>
          <cell r="AH32">
            <v>0</v>
          </cell>
          <cell r="AI32">
            <v>1200</v>
          </cell>
          <cell r="AL32">
            <v>25848</v>
          </cell>
          <cell r="AM32">
            <v>1357</v>
          </cell>
          <cell r="AN32">
            <v>0</v>
          </cell>
          <cell r="AT32">
            <v>1357</v>
          </cell>
          <cell r="AU32">
            <v>24491</v>
          </cell>
        </row>
        <row r="33">
          <cell r="Z33">
            <v>211</v>
          </cell>
          <cell r="AA33" t="str">
            <v>JAYARAM .B</v>
          </cell>
          <cell r="AB33" t="str">
            <v>007101031183</v>
          </cell>
          <cell r="AC33">
            <v>26005</v>
          </cell>
          <cell r="AD33">
            <v>15603</v>
          </cell>
          <cell r="AE33">
            <v>0</v>
          </cell>
          <cell r="AF33">
            <v>800</v>
          </cell>
          <cell r="AG33">
            <v>100</v>
          </cell>
          <cell r="AH33">
            <v>1587</v>
          </cell>
          <cell r="AI33">
            <v>1530</v>
          </cell>
          <cell r="AL33">
            <v>45625</v>
          </cell>
          <cell r="AM33">
            <v>2601</v>
          </cell>
          <cell r="AN33">
            <v>4083</v>
          </cell>
          <cell r="AT33">
            <v>6684</v>
          </cell>
          <cell r="AU33">
            <v>38941</v>
          </cell>
        </row>
        <row r="34">
          <cell r="Z34">
            <v>217</v>
          </cell>
          <cell r="AA34" t="str">
            <v>S.K.BASU</v>
          </cell>
          <cell r="AB34" t="str">
            <v>007101029706</v>
          </cell>
          <cell r="AC34">
            <v>32435</v>
          </cell>
          <cell r="AD34">
            <v>19461</v>
          </cell>
          <cell r="AE34">
            <v>0</v>
          </cell>
          <cell r="AF34">
            <v>800</v>
          </cell>
          <cell r="AG34">
            <v>100</v>
          </cell>
          <cell r="AH34">
            <v>12454</v>
          </cell>
          <cell r="AL34">
            <v>65250</v>
          </cell>
          <cell r="AM34">
            <v>3244</v>
          </cell>
          <cell r="AN34">
            <v>8380</v>
          </cell>
          <cell r="AT34">
            <v>11624</v>
          </cell>
          <cell r="AU34">
            <v>53626</v>
          </cell>
        </row>
        <row r="35">
          <cell r="Z35">
            <v>226</v>
          </cell>
          <cell r="AA35" t="str">
            <v>C.D.SUGADAN</v>
          </cell>
          <cell r="AB35" t="str">
            <v>007101029811</v>
          </cell>
          <cell r="AC35">
            <v>52385</v>
          </cell>
          <cell r="AD35">
            <v>31431</v>
          </cell>
          <cell r="AE35">
            <v>0</v>
          </cell>
          <cell r="AF35">
            <v>0</v>
          </cell>
          <cell r="AG35">
            <v>100</v>
          </cell>
          <cell r="AH35">
            <v>16906</v>
          </cell>
          <cell r="AI35">
            <v>1459</v>
          </cell>
          <cell r="AL35">
            <v>102281</v>
          </cell>
          <cell r="AM35">
            <v>5239</v>
          </cell>
          <cell r="AN35">
            <v>17388</v>
          </cell>
          <cell r="AO35">
            <v>17092</v>
          </cell>
          <cell r="AP35">
            <v>4</v>
          </cell>
          <cell r="AT35">
            <v>39723</v>
          </cell>
          <cell r="AU35">
            <v>62558</v>
          </cell>
        </row>
        <row r="36">
          <cell r="Z36">
            <v>238</v>
          </cell>
          <cell r="AA36" t="str">
            <v>S.S. BIRDI</v>
          </cell>
          <cell r="AB36" t="str">
            <v>007101031001</v>
          </cell>
          <cell r="AC36">
            <v>12135</v>
          </cell>
          <cell r="AD36">
            <v>7281</v>
          </cell>
          <cell r="AE36">
            <v>1820</v>
          </cell>
          <cell r="AF36">
            <v>800</v>
          </cell>
          <cell r="AG36">
            <v>100</v>
          </cell>
          <cell r="AH36">
            <v>0</v>
          </cell>
          <cell r="AL36">
            <v>22136</v>
          </cell>
          <cell r="AM36">
            <v>1214</v>
          </cell>
          <cell r="AN36">
            <v>0</v>
          </cell>
          <cell r="AT36">
            <v>1214</v>
          </cell>
          <cell r="AU36">
            <v>20922</v>
          </cell>
        </row>
        <row r="37">
          <cell r="Z37">
            <v>240</v>
          </cell>
          <cell r="AA37" t="str">
            <v>AJAY VERMA</v>
          </cell>
          <cell r="AB37" t="str">
            <v>007101029712</v>
          </cell>
          <cell r="AC37">
            <v>23795</v>
          </cell>
          <cell r="AD37">
            <v>14277</v>
          </cell>
          <cell r="AE37">
            <v>0</v>
          </cell>
          <cell r="AF37">
            <v>800</v>
          </cell>
          <cell r="AG37">
            <v>100</v>
          </cell>
          <cell r="AH37">
            <v>1587</v>
          </cell>
          <cell r="AL37">
            <v>40559</v>
          </cell>
          <cell r="AM37">
            <v>2380</v>
          </cell>
          <cell r="AN37">
            <v>3340</v>
          </cell>
          <cell r="AO37">
            <v>5138</v>
          </cell>
          <cell r="AT37">
            <v>10858</v>
          </cell>
          <cell r="AU37">
            <v>29701</v>
          </cell>
        </row>
        <row r="38">
          <cell r="Z38">
            <v>250</v>
          </cell>
          <cell r="AA38" t="str">
            <v>V.S.RAO</v>
          </cell>
          <cell r="AB38" t="str">
            <v>007101029827</v>
          </cell>
          <cell r="AC38">
            <v>10700</v>
          </cell>
          <cell r="AD38">
            <v>6420</v>
          </cell>
          <cell r="AE38">
            <v>1605</v>
          </cell>
          <cell r="AF38">
            <v>800</v>
          </cell>
          <cell r="AG38">
            <v>0</v>
          </cell>
          <cell r="AH38">
            <v>0</v>
          </cell>
          <cell r="AI38">
            <v>550</v>
          </cell>
          <cell r="AL38">
            <v>20075</v>
          </cell>
          <cell r="AM38">
            <v>1070</v>
          </cell>
          <cell r="AN38">
            <v>0</v>
          </cell>
          <cell r="AT38">
            <v>1070</v>
          </cell>
          <cell r="AU38">
            <v>19005</v>
          </cell>
        </row>
        <row r="39">
          <cell r="Z39">
            <v>261</v>
          </cell>
          <cell r="AA39" t="str">
            <v>VIRENDRA SINGH</v>
          </cell>
          <cell r="AB39" t="str">
            <v>007101029795</v>
          </cell>
          <cell r="AC39">
            <v>8725</v>
          </cell>
          <cell r="AD39">
            <v>5235</v>
          </cell>
          <cell r="AE39">
            <v>1309</v>
          </cell>
          <cell r="AF39">
            <v>800</v>
          </cell>
          <cell r="AG39">
            <v>0</v>
          </cell>
          <cell r="AH39">
            <v>0</v>
          </cell>
          <cell r="AI39">
            <v>1400</v>
          </cell>
          <cell r="AL39">
            <v>17469</v>
          </cell>
          <cell r="AM39">
            <v>873</v>
          </cell>
          <cell r="AN39">
            <v>0</v>
          </cell>
          <cell r="AT39">
            <v>873</v>
          </cell>
          <cell r="AU39">
            <v>16596</v>
          </cell>
        </row>
        <row r="40">
          <cell r="Z40">
            <v>262</v>
          </cell>
          <cell r="AA40" t="str">
            <v>RAKESH NEGI</v>
          </cell>
          <cell r="AB40" t="str">
            <v>007101031179</v>
          </cell>
          <cell r="AC40">
            <v>8375</v>
          </cell>
          <cell r="AD40">
            <v>5025</v>
          </cell>
          <cell r="AE40">
            <v>1256</v>
          </cell>
          <cell r="AF40">
            <v>800</v>
          </cell>
          <cell r="AG40">
            <v>0</v>
          </cell>
          <cell r="AH40">
            <v>0</v>
          </cell>
          <cell r="AI40">
            <v>1400</v>
          </cell>
          <cell r="AL40">
            <v>16856</v>
          </cell>
          <cell r="AM40">
            <v>838</v>
          </cell>
          <cell r="AN40">
            <v>0</v>
          </cell>
          <cell r="AT40">
            <v>838</v>
          </cell>
          <cell r="AU40">
            <v>16018</v>
          </cell>
        </row>
        <row r="41">
          <cell r="Z41">
            <v>268</v>
          </cell>
          <cell r="AA41" t="str">
            <v>A.K.MITRA</v>
          </cell>
          <cell r="AB41" t="str">
            <v>007101029797</v>
          </cell>
          <cell r="AC41">
            <v>28635</v>
          </cell>
          <cell r="AD41">
            <v>17181</v>
          </cell>
          <cell r="AE41">
            <v>0</v>
          </cell>
          <cell r="AF41">
            <v>800</v>
          </cell>
          <cell r="AG41">
            <v>100</v>
          </cell>
          <cell r="AH41">
            <v>3881</v>
          </cell>
          <cell r="AL41">
            <v>50597</v>
          </cell>
          <cell r="AM41">
            <v>2864</v>
          </cell>
          <cell r="AN41">
            <v>4976</v>
          </cell>
          <cell r="AT41">
            <v>7840</v>
          </cell>
          <cell r="AU41">
            <v>42757</v>
          </cell>
        </row>
        <row r="42">
          <cell r="Z42">
            <v>282</v>
          </cell>
          <cell r="AA42" t="str">
            <v>VINOD KUMAR</v>
          </cell>
          <cell r="AB42" t="str">
            <v>007101029798</v>
          </cell>
          <cell r="AC42">
            <v>12310</v>
          </cell>
          <cell r="AD42">
            <v>7386</v>
          </cell>
          <cell r="AE42">
            <v>1847</v>
          </cell>
          <cell r="AF42">
            <v>800</v>
          </cell>
          <cell r="AG42">
            <v>100</v>
          </cell>
          <cell r="AH42">
            <v>0</v>
          </cell>
          <cell r="AL42">
            <v>22443</v>
          </cell>
          <cell r="AM42">
            <v>1231</v>
          </cell>
          <cell r="AN42">
            <v>0</v>
          </cell>
          <cell r="AT42">
            <v>1231</v>
          </cell>
          <cell r="AU42">
            <v>21212</v>
          </cell>
        </row>
        <row r="43">
          <cell r="Z43">
            <v>283</v>
          </cell>
          <cell r="AA43" t="str">
            <v>R.K.MEHROTRA</v>
          </cell>
          <cell r="AB43" t="str">
            <v>007101030111</v>
          </cell>
          <cell r="AC43">
            <v>29745</v>
          </cell>
          <cell r="AD43">
            <v>17847</v>
          </cell>
          <cell r="AE43">
            <v>0</v>
          </cell>
          <cell r="AF43">
            <v>800</v>
          </cell>
          <cell r="AG43">
            <v>100</v>
          </cell>
          <cell r="AH43">
            <v>12454</v>
          </cell>
          <cell r="AL43">
            <v>60946</v>
          </cell>
          <cell r="AM43">
            <v>2975</v>
          </cell>
          <cell r="AN43">
            <v>7894</v>
          </cell>
          <cell r="AT43">
            <v>10869</v>
          </cell>
          <cell r="AU43">
            <v>50077</v>
          </cell>
        </row>
        <row r="44">
          <cell r="Z44">
            <v>290</v>
          </cell>
          <cell r="AA44" t="str">
            <v>SAURABH KUMAR</v>
          </cell>
          <cell r="AB44" t="str">
            <v>007101031398</v>
          </cell>
          <cell r="AC44">
            <v>22100</v>
          </cell>
          <cell r="AD44">
            <v>13260</v>
          </cell>
          <cell r="AE44">
            <v>0</v>
          </cell>
          <cell r="AF44">
            <v>800</v>
          </cell>
          <cell r="AG44">
            <v>100</v>
          </cell>
          <cell r="AH44">
            <v>1587</v>
          </cell>
          <cell r="AL44">
            <v>37847</v>
          </cell>
          <cell r="AM44">
            <v>2210</v>
          </cell>
          <cell r="AN44">
            <v>2901</v>
          </cell>
          <cell r="AT44">
            <v>5111</v>
          </cell>
          <cell r="AU44">
            <v>32736</v>
          </cell>
        </row>
        <row r="45">
          <cell r="Z45">
            <v>291</v>
          </cell>
          <cell r="AA45" t="str">
            <v>S.K.GARG</v>
          </cell>
          <cell r="AB45" t="str">
            <v>007101029796</v>
          </cell>
          <cell r="AC45">
            <v>8845</v>
          </cell>
          <cell r="AD45">
            <v>5307</v>
          </cell>
          <cell r="AE45">
            <v>1327</v>
          </cell>
          <cell r="AF45">
            <v>800</v>
          </cell>
          <cell r="AG45">
            <v>0</v>
          </cell>
          <cell r="AH45">
            <v>0</v>
          </cell>
          <cell r="AI45">
            <v>300</v>
          </cell>
          <cell r="AL45">
            <v>16579</v>
          </cell>
          <cell r="AM45">
            <v>885</v>
          </cell>
          <cell r="AN45">
            <v>0</v>
          </cell>
          <cell r="AT45">
            <v>885</v>
          </cell>
          <cell r="AU45">
            <v>15694</v>
          </cell>
        </row>
        <row r="46">
          <cell r="Z46">
            <v>293</v>
          </cell>
          <cell r="AA46" t="str">
            <v>SARAMMA MAMACHAN</v>
          </cell>
          <cell r="AB46" t="str">
            <v>007101029843</v>
          </cell>
          <cell r="AC46">
            <v>11580</v>
          </cell>
          <cell r="AD46">
            <v>6948</v>
          </cell>
          <cell r="AE46">
            <v>1737</v>
          </cell>
          <cell r="AF46">
            <v>800</v>
          </cell>
          <cell r="AG46">
            <v>0</v>
          </cell>
          <cell r="AH46">
            <v>0</v>
          </cell>
          <cell r="AI46">
            <v>450</v>
          </cell>
          <cell r="AL46">
            <v>21515</v>
          </cell>
          <cell r="AM46">
            <v>1158</v>
          </cell>
          <cell r="AN46">
            <v>0</v>
          </cell>
          <cell r="AT46">
            <v>1158</v>
          </cell>
          <cell r="AU46">
            <v>20357</v>
          </cell>
        </row>
        <row r="47">
          <cell r="Z47">
            <v>294</v>
          </cell>
          <cell r="AA47" t="str">
            <v>G.K.NARULA</v>
          </cell>
          <cell r="AB47" t="str">
            <v>007101029813</v>
          </cell>
          <cell r="AC47">
            <v>30370</v>
          </cell>
          <cell r="AD47">
            <v>18222</v>
          </cell>
          <cell r="AE47">
            <v>0</v>
          </cell>
          <cell r="AF47">
            <v>800</v>
          </cell>
          <cell r="AG47">
            <v>100</v>
          </cell>
          <cell r="AH47">
            <v>12454</v>
          </cell>
          <cell r="AL47">
            <v>61946</v>
          </cell>
          <cell r="AM47">
            <v>3037</v>
          </cell>
          <cell r="AN47">
            <v>13311</v>
          </cell>
          <cell r="AO47">
            <v>3078</v>
          </cell>
          <cell r="AT47">
            <v>19426</v>
          </cell>
          <cell r="AU47">
            <v>42520</v>
          </cell>
        </row>
        <row r="48">
          <cell r="Z48">
            <v>313</v>
          </cell>
          <cell r="AA48" t="str">
            <v>K.R. ASHIM KUMAR</v>
          </cell>
          <cell r="AB48" t="str">
            <v>008701009919</v>
          </cell>
          <cell r="AC48">
            <v>24310</v>
          </cell>
          <cell r="AD48">
            <v>14586</v>
          </cell>
          <cell r="AE48">
            <v>0</v>
          </cell>
          <cell r="AF48">
            <v>800</v>
          </cell>
          <cell r="AG48">
            <v>100</v>
          </cell>
          <cell r="AH48">
            <v>3881</v>
          </cell>
          <cell r="AL48">
            <v>43677</v>
          </cell>
          <cell r="AM48">
            <v>2431</v>
          </cell>
          <cell r="AN48">
            <v>3821</v>
          </cell>
          <cell r="AT48">
            <v>6252</v>
          </cell>
          <cell r="AU48">
            <v>37425</v>
          </cell>
        </row>
        <row r="49">
          <cell r="Z49">
            <v>314</v>
          </cell>
          <cell r="AA49" t="str">
            <v>MANOJ KOTHARI</v>
          </cell>
          <cell r="AB49" t="str">
            <v>007101029830</v>
          </cell>
          <cell r="AC49">
            <v>9615</v>
          </cell>
          <cell r="AD49">
            <v>5769</v>
          </cell>
          <cell r="AE49">
            <v>1442</v>
          </cell>
          <cell r="AF49">
            <v>800</v>
          </cell>
          <cell r="AG49">
            <v>100</v>
          </cell>
          <cell r="AH49">
            <v>0</v>
          </cell>
          <cell r="AL49">
            <v>17726</v>
          </cell>
          <cell r="AM49">
            <v>962</v>
          </cell>
          <cell r="AN49">
            <v>0</v>
          </cell>
          <cell r="AT49">
            <v>962</v>
          </cell>
          <cell r="AU49">
            <v>16764</v>
          </cell>
        </row>
        <row r="50">
          <cell r="Z50">
            <v>320</v>
          </cell>
          <cell r="AA50" t="str">
            <v>A.JOHN LOUIS</v>
          </cell>
          <cell r="AB50" t="str">
            <v>001401011025</v>
          </cell>
          <cell r="AC50">
            <v>20550</v>
          </cell>
          <cell r="AD50">
            <v>12330</v>
          </cell>
          <cell r="AE50">
            <v>0</v>
          </cell>
          <cell r="AF50">
            <v>800</v>
          </cell>
          <cell r="AG50">
            <v>100</v>
          </cell>
          <cell r="AH50">
            <v>1587</v>
          </cell>
          <cell r="AI50">
            <v>9750</v>
          </cell>
          <cell r="AL50">
            <v>45117</v>
          </cell>
          <cell r="AM50">
            <v>2055</v>
          </cell>
          <cell r="AN50">
            <v>1268</v>
          </cell>
          <cell r="AT50">
            <v>3323</v>
          </cell>
          <cell r="AU50">
            <v>41794</v>
          </cell>
        </row>
        <row r="51">
          <cell r="Z51">
            <v>321</v>
          </cell>
          <cell r="AA51" t="str">
            <v>LAXMI NARAYAN BHATT</v>
          </cell>
          <cell r="AB51" t="str">
            <v>007101029794</v>
          </cell>
          <cell r="AC51">
            <v>10120</v>
          </cell>
          <cell r="AD51">
            <v>6072</v>
          </cell>
          <cell r="AE51">
            <v>1518</v>
          </cell>
          <cell r="AF51">
            <v>800</v>
          </cell>
          <cell r="AG51">
            <v>100</v>
          </cell>
          <cell r="AH51">
            <v>0</v>
          </cell>
          <cell r="AI51">
            <v>2325</v>
          </cell>
          <cell r="AL51">
            <v>20935</v>
          </cell>
          <cell r="AM51">
            <v>1012</v>
          </cell>
          <cell r="AN51">
            <v>0</v>
          </cell>
          <cell r="AT51">
            <v>1012</v>
          </cell>
          <cell r="AU51">
            <v>19923</v>
          </cell>
        </row>
        <row r="52">
          <cell r="Z52">
            <v>327</v>
          </cell>
          <cell r="AA52" t="str">
            <v>RAJPAL SINGH</v>
          </cell>
          <cell r="AB52" t="str">
            <v>007101027042</v>
          </cell>
          <cell r="AC52">
            <v>9920</v>
          </cell>
          <cell r="AD52">
            <v>5952</v>
          </cell>
          <cell r="AE52">
            <v>1488</v>
          </cell>
          <cell r="AF52">
            <v>800</v>
          </cell>
          <cell r="AG52">
            <v>0</v>
          </cell>
          <cell r="AH52">
            <v>0</v>
          </cell>
          <cell r="AI52">
            <v>1050</v>
          </cell>
          <cell r="AL52">
            <v>19210</v>
          </cell>
          <cell r="AM52">
            <v>992</v>
          </cell>
          <cell r="AN52">
            <v>0</v>
          </cell>
          <cell r="AO52">
            <v>5138</v>
          </cell>
          <cell r="AT52">
            <v>6130</v>
          </cell>
          <cell r="AU52">
            <v>13080</v>
          </cell>
        </row>
        <row r="53">
          <cell r="Z53">
            <v>330</v>
          </cell>
          <cell r="AA53" t="str">
            <v>BASUDEB SIRCAR</v>
          </cell>
          <cell r="AB53" t="str">
            <v>007101029800</v>
          </cell>
          <cell r="AC53">
            <v>25535</v>
          </cell>
          <cell r="AD53">
            <v>15321</v>
          </cell>
          <cell r="AE53">
            <v>0</v>
          </cell>
          <cell r="AF53">
            <v>800</v>
          </cell>
          <cell r="AG53">
            <v>100</v>
          </cell>
          <cell r="AH53">
            <v>3881</v>
          </cell>
          <cell r="AL53">
            <v>45637</v>
          </cell>
          <cell r="AM53">
            <v>2554</v>
          </cell>
          <cell r="AN53">
            <v>2898</v>
          </cell>
          <cell r="AT53">
            <v>5452</v>
          </cell>
          <cell r="AU53">
            <v>40185</v>
          </cell>
        </row>
        <row r="54">
          <cell r="Z54">
            <v>332</v>
          </cell>
          <cell r="AA54" t="str">
            <v>A. D. NATH</v>
          </cell>
          <cell r="AB54" t="str">
            <v>007101029705</v>
          </cell>
          <cell r="AC54">
            <v>24310</v>
          </cell>
          <cell r="AD54">
            <v>14586</v>
          </cell>
          <cell r="AE54">
            <v>0</v>
          </cell>
          <cell r="AF54">
            <v>800</v>
          </cell>
          <cell r="AG54">
            <v>100</v>
          </cell>
          <cell r="AH54">
            <v>3881</v>
          </cell>
          <cell r="AL54">
            <v>43677</v>
          </cell>
          <cell r="AM54">
            <v>2431</v>
          </cell>
          <cell r="AN54">
            <v>4586</v>
          </cell>
          <cell r="AT54">
            <v>7017</v>
          </cell>
          <cell r="AU54">
            <v>36660</v>
          </cell>
        </row>
        <row r="55">
          <cell r="Z55">
            <v>340</v>
          </cell>
          <cell r="AA55" t="str">
            <v>C. B. S. S. SRINIVAS</v>
          </cell>
          <cell r="AB55" t="str">
            <v>007101029850</v>
          </cell>
          <cell r="AC55">
            <v>24335</v>
          </cell>
          <cell r="AD55">
            <v>14601</v>
          </cell>
          <cell r="AE55">
            <v>0</v>
          </cell>
          <cell r="AF55">
            <v>800</v>
          </cell>
          <cell r="AG55">
            <v>100</v>
          </cell>
          <cell r="AH55">
            <v>1587</v>
          </cell>
          <cell r="AL55">
            <v>41423</v>
          </cell>
          <cell r="AM55">
            <v>2434</v>
          </cell>
          <cell r="AN55">
            <v>2385</v>
          </cell>
          <cell r="AT55">
            <v>4819</v>
          </cell>
          <cell r="AU55">
            <v>36604</v>
          </cell>
        </row>
        <row r="56">
          <cell r="Z56">
            <v>349</v>
          </cell>
          <cell r="AA56" t="str">
            <v>BHAVESH JOSHI</v>
          </cell>
          <cell r="AB56" t="str">
            <v>007101029848</v>
          </cell>
          <cell r="AC56">
            <v>24335</v>
          </cell>
          <cell r="AD56">
            <v>14601</v>
          </cell>
          <cell r="AE56">
            <v>0</v>
          </cell>
          <cell r="AF56">
            <v>800</v>
          </cell>
          <cell r="AG56">
            <v>100</v>
          </cell>
          <cell r="AH56">
            <v>1587</v>
          </cell>
          <cell r="AL56">
            <v>41423</v>
          </cell>
          <cell r="AM56">
            <v>2434</v>
          </cell>
          <cell r="AN56">
            <v>4251</v>
          </cell>
          <cell r="AT56">
            <v>6685</v>
          </cell>
          <cell r="AU56">
            <v>34738</v>
          </cell>
        </row>
        <row r="57">
          <cell r="Z57">
            <v>361</v>
          </cell>
          <cell r="AA57" t="str">
            <v>R.K.GARG</v>
          </cell>
          <cell r="AB57" t="str">
            <v>007101029823</v>
          </cell>
          <cell r="AC57">
            <v>21630</v>
          </cell>
          <cell r="AD57">
            <v>12978</v>
          </cell>
          <cell r="AE57">
            <v>0</v>
          </cell>
          <cell r="AF57">
            <v>800</v>
          </cell>
          <cell r="AG57">
            <v>100</v>
          </cell>
          <cell r="AH57">
            <v>1587</v>
          </cell>
          <cell r="AL57">
            <v>37095</v>
          </cell>
          <cell r="AM57">
            <v>2163</v>
          </cell>
          <cell r="AN57">
            <v>2184</v>
          </cell>
          <cell r="AT57">
            <v>4347</v>
          </cell>
          <cell r="AU57">
            <v>32748</v>
          </cell>
        </row>
        <row r="58">
          <cell r="Z58">
            <v>368</v>
          </cell>
          <cell r="AA58" t="str">
            <v>LALIT  KUMAR</v>
          </cell>
          <cell r="AB58" t="str">
            <v>007101029723</v>
          </cell>
          <cell r="AC58">
            <v>11815</v>
          </cell>
          <cell r="AD58">
            <v>7089</v>
          </cell>
          <cell r="AE58">
            <v>1772</v>
          </cell>
          <cell r="AF58">
            <v>800</v>
          </cell>
          <cell r="AG58">
            <v>100</v>
          </cell>
          <cell r="AH58">
            <v>0</v>
          </cell>
          <cell r="AI58">
            <v>5863</v>
          </cell>
          <cell r="AL58">
            <v>27439</v>
          </cell>
          <cell r="AM58">
            <v>1182</v>
          </cell>
          <cell r="AN58">
            <v>0</v>
          </cell>
          <cell r="AP58">
            <v>5000</v>
          </cell>
          <cell r="AT58">
            <v>6182</v>
          </cell>
          <cell r="AU58">
            <v>21257</v>
          </cell>
        </row>
        <row r="59">
          <cell r="Z59">
            <v>373</v>
          </cell>
          <cell r="AA59" t="str">
            <v>PANKAJ KUMAR</v>
          </cell>
          <cell r="AB59" t="str">
            <v>007101030999</v>
          </cell>
          <cell r="AC59">
            <v>14910</v>
          </cell>
          <cell r="AD59">
            <v>8946</v>
          </cell>
          <cell r="AE59">
            <v>2237</v>
          </cell>
          <cell r="AF59">
            <v>800</v>
          </cell>
          <cell r="AG59">
            <v>100</v>
          </cell>
          <cell r="AH59">
            <v>0</v>
          </cell>
          <cell r="AL59">
            <v>26993</v>
          </cell>
          <cell r="AM59">
            <v>1491</v>
          </cell>
          <cell r="AN59">
            <v>907</v>
          </cell>
          <cell r="AT59">
            <v>2398</v>
          </cell>
          <cell r="AU59">
            <v>24595</v>
          </cell>
        </row>
        <row r="60">
          <cell r="Z60">
            <v>378</v>
          </cell>
          <cell r="AA60" t="str">
            <v>RAKESH GOYAL</v>
          </cell>
          <cell r="AB60" t="str">
            <v>007101029722</v>
          </cell>
          <cell r="AC60">
            <v>14920</v>
          </cell>
          <cell r="AD60">
            <v>8952</v>
          </cell>
          <cell r="AE60">
            <v>2238</v>
          </cell>
          <cell r="AF60">
            <v>800</v>
          </cell>
          <cell r="AG60">
            <v>100</v>
          </cell>
          <cell r="AH60">
            <v>0</v>
          </cell>
          <cell r="AL60">
            <v>27010</v>
          </cell>
          <cell r="AM60">
            <v>1492</v>
          </cell>
          <cell r="AN60">
            <v>269</v>
          </cell>
          <cell r="AT60">
            <v>1761</v>
          </cell>
          <cell r="AU60">
            <v>25249</v>
          </cell>
        </row>
        <row r="61">
          <cell r="Z61">
            <v>389</v>
          </cell>
          <cell r="AA61" t="str">
            <v>S.FAZLE ALI</v>
          </cell>
          <cell r="AB61" t="str">
            <v>007101029716</v>
          </cell>
          <cell r="AC61">
            <v>17765</v>
          </cell>
          <cell r="AD61">
            <v>10659</v>
          </cell>
          <cell r="AE61">
            <v>0</v>
          </cell>
          <cell r="AF61">
            <v>800</v>
          </cell>
          <cell r="AG61">
            <v>100</v>
          </cell>
          <cell r="AH61">
            <v>1587</v>
          </cell>
          <cell r="AL61">
            <v>30911</v>
          </cell>
          <cell r="AM61">
            <v>1777</v>
          </cell>
          <cell r="AN61">
            <v>1073</v>
          </cell>
          <cell r="AT61">
            <v>2850</v>
          </cell>
          <cell r="AU61">
            <v>28061</v>
          </cell>
        </row>
        <row r="62">
          <cell r="Z62">
            <v>396</v>
          </cell>
          <cell r="AA62" t="str">
            <v>NEERAJ SHARMA</v>
          </cell>
          <cell r="AB62" t="str">
            <v>007101029745</v>
          </cell>
          <cell r="AC62">
            <v>9420</v>
          </cell>
          <cell r="AD62">
            <v>5652</v>
          </cell>
          <cell r="AE62">
            <v>1413</v>
          </cell>
          <cell r="AF62">
            <v>800</v>
          </cell>
          <cell r="AG62">
            <v>100</v>
          </cell>
          <cell r="AH62">
            <v>0</v>
          </cell>
          <cell r="AL62">
            <v>17385</v>
          </cell>
          <cell r="AM62">
            <v>942</v>
          </cell>
          <cell r="AN62">
            <v>0</v>
          </cell>
          <cell r="AT62">
            <v>942</v>
          </cell>
          <cell r="AU62">
            <v>16443</v>
          </cell>
        </row>
        <row r="63">
          <cell r="Z63">
            <v>403</v>
          </cell>
          <cell r="AA63" t="str">
            <v>SURESH KUMAR DHANKHAR</v>
          </cell>
          <cell r="AB63" t="str">
            <v>007101029710</v>
          </cell>
          <cell r="AC63">
            <v>11055</v>
          </cell>
          <cell r="AD63">
            <v>6633</v>
          </cell>
          <cell r="AE63">
            <v>1658</v>
          </cell>
          <cell r="AF63">
            <v>800</v>
          </cell>
          <cell r="AG63">
            <v>100</v>
          </cell>
          <cell r="AH63">
            <v>0</v>
          </cell>
          <cell r="AI63">
            <v>150</v>
          </cell>
          <cell r="AL63">
            <v>20396</v>
          </cell>
          <cell r="AM63">
            <v>1106</v>
          </cell>
          <cell r="AN63">
            <v>0</v>
          </cell>
          <cell r="AT63">
            <v>1106</v>
          </cell>
          <cell r="AU63">
            <v>19290</v>
          </cell>
        </row>
        <row r="64">
          <cell r="Z64">
            <v>420</v>
          </cell>
          <cell r="AA64" t="str">
            <v>DURGADAS MANNA</v>
          </cell>
          <cell r="AB64" t="str">
            <v>007101030104</v>
          </cell>
          <cell r="AC64">
            <v>10970</v>
          </cell>
          <cell r="AD64">
            <v>6582</v>
          </cell>
          <cell r="AE64">
            <v>1646</v>
          </cell>
          <cell r="AF64">
            <v>800</v>
          </cell>
          <cell r="AG64">
            <v>100</v>
          </cell>
          <cell r="AH64">
            <v>0</v>
          </cell>
          <cell r="AI64">
            <v>3075</v>
          </cell>
          <cell r="AL64">
            <v>23173</v>
          </cell>
          <cell r="AM64">
            <v>1097</v>
          </cell>
          <cell r="AN64">
            <v>0</v>
          </cell>
          <cell r="AT64">
            <v>1097</v>
          </cell>
          <cell r="AU64">
            <v>22076</v>
          </cell>
        </row>
        <row r="65">
          <cell r="Z65">
            <v>424</v>
          </cell>
          <cell r="AA65" t="str">
            <v>S. DURAIKKANNU</v>
          </cell>
          <cell r="AB65" t="str">
            <v>007101029786</v>
          </cell>
          <cell r="AC65">
            <v>12225</v>
          </cell>
          <cell r="AD65">
            <v>7335</v>
          </cell>
          <cell r="AE65">
            <v>1834</v>
          </cell>
          <cell r="AF65">
            <v>800</v>
          </cell>
          <cell r="AG65">
            <v>100</v>
          </cell>
          <cell r="AH65">
            <v>0</v>
          </cell>
          <cell r="AL65">
            <v>22294</v>
          </cell>
          <cell r="AM65">
            <v>1223</v>
          </cell>
          <cell r="AN65">
            <v>0</v>
          </cell>
          <cell r="AT65">
            <v>1223</v>
          </cell>
          <cell r="AU65">
            <v>21071</v>
          </cell>
        </row>
        <row r="66">
          <cell r="Z66">
            <v>432</v>
          </cell>
          <cell r="AA66" t="str">
            <v>SURESH KUMAR</v>
          </cell>
          <cell r="AB66" t="str">
            <v>007101030106</v>
          </cell>
          <cell r="AC66">
            <v>9520</v>
          </cell>
          <cell r="AD66">
            <v>5712</v>
          </cell>
          <cell r="AE66">
            <v>1428</v>
          </cell>
          <cell r="AF66">
            <v>800</v>
          </cell>
          <cell r="AG66">
            <v>0</v>
          </cell>
          <cell r="AH66">
            <v>0</v>
          </cell>
          <cell r="AL66">
            <v>17460</v>
          </cell>
          <cell r="AM66">
            <v>952</v>
          </cell>
          <cell r="AN66">
            <v>0</v>
          </cell>
          <cell r="AT66">
            <v>952</v>
          </cell>
          <cell r="AU66">
            <v>16508</v>
          </cell>
        </row>
        <row r="67">
          <cell r="Z67">
            <v>449</v>
          </cell>
          <cell r="AA67" t="str">
            <v>BRAJESH KUMAR MITTAL</v>
          </cell>
          <cell r="AB67" t="str">
            <v>007101030997</v>
          </cell>
          <cell r="AC67">
            <v>31410</v>
          </cell>
          <cell r="AD67">
            <v>18846</v>
          </cell>
          <cell r="AE67">
            <v>0</v>
          </cell>
          <cell r="AF67">
            <v>800</v>
          </cell>
          <cell r="AG67">
            <v>100</v>
          </cell>
          <cell r="AH67">
            <v>12454</v>
          </cell>
          <cell r="AL67">
            <v>63610</v>
          </cell>
          <cell r="AM67">
            <v>3141</v>
          </cell>
          <cell r="AN67">
            <v>8913</v>
          </cell>
          <cell r="AT67">
            <v>12054</v>
          </cell>
          <cell r="AU67">
            <v>51556</v>
          </cell>
        </row>
        <row r="68">
          <cell r="Z68">
            <v>451</v>
          </cell>
          <cell r="AA68" t="str">
            <v>D.K.SHARMA.</v>
          </cell>
          <cell r="AB68" t="str">
            <v>007101029724</v>
          </cell>
          <cell r="AC68">
            <v>15645</v>
          </cell>
          <cell r="AD68">
            <v>9387</v>
          </cell>
          <cell r="AE68">
            <v>2347</v>
          </cell>
          <cell r="AF68">
            <v>800</v>
          </cell>
          <cell r="AG68">
            <v>100</v>
          </cell>
          <cell r="AH68">
            <v>0</v>
          </cell>
          <cell r="AI68">
            <v>1000</v>
          </cell>
          <cell r="AL68">
            <v>29279</v>
          </cell>
          <cell r="AM68">
            <v>1565</v>
          </cell>
          <cell r="AN68">
            <v>1310</v>
          </cell>
          <cell r="AP68">
            <v>3060</v>
          </cell>
          <cell r="AT68">
            <v>5935</v>
          </cell>
          <cell r="AU68">
            <v>23344</v>
          </cell>
        </row>
        <row r="69">
          <cell r="Z69">
            <v>475</v>
          </cell>
          <cell r="AA69" t="str">
            <v>A.D. KELKAR</v>
          </cell>
          <cell r="AB69" t="str">
            <v>007101030783</v>
          </cell>
          <cell r="AC69">
            <v>47800</v>
          </cell>
          <cell r="AD69">
            <v>28680</v>
          </cell>
          <cell r="AE69">
            <v>0</v>
          </cell>
          <cell r="AF69">
            <v>0</v>
          </cell>
          <cell r="AG69">
            <v>100</v>
          </cell>
          <cell r="AH69">
            <v>16906</v>
          </cell>
          <cell r="AI69">
            <v>40000</v>
          </cell>
          <cell r="AL69">
            <v>133486</v>
          </cell>
          <cell r="AM69">
            <v>4780</v>
          </cell>
          <cell r="AN69">
            <v>43048</v>
          </cell>
          <cell r="AT69">
            <v>47828</v>
          </cell>
          <cell r="AU69">
            <v>85658</v>
          </cell>
        </row>
        <row r="70">
          <cell r="Z70">
            <v>476</v>
          </cell>
          <cell r="AA70" t="str">
            <v>ASHIM KUMAR BANERJEE</v>
          </cell>
          <cell r="AB70" t="str">
            <v>007101029849</v>
          </cell>
          <cell r="AC70">
            <v>25990</v>
          </cell>
          <cell r="AD70">
            <v>15594</v>
          </cell>
          <cell r="AE70">
            <v>0</v>
          </cell>
          <cell r="AF70">
            <v>800</v>
          </cell>
          <cell r="AG70">
            <v>100</v>
          </cell>
          <cell r="AH70">
            <v>12454</v>
          </cell>
          <cell r="AL70">
            <v>54938</v>
          </cell>
          <cell r="AM70">
            <v>2599</v>
          </cell>
          <cell r="AN70">
            <v>5984</v>
          </cell>
          <cell r="AT70">
            <v>8583</v>
          </cell>
          <cell r="AU70">
            <v>46355</v>
          </cell>
        </row>
        <row r="71">
          <cell r="Z71">
            <v>478</v>
          </cell>
          <cell r="AA71" t="str">
            <v>M.K. HARTMANN</v>
          </cell>
          <cell r="AC71">
            <v>76042</v>
          </cell>
          <cell r="AD71">
            <v>0</v>
          </cell>
          <cell r="AE71">
            <v>139647</v>
          </cell>
          <cell r="AF71">
            <v>0</v>
          </cell>
          <cell r="AG71">
            <v>0</v>
          </cell>
          <cell r="AH71">
            <v>0</v>
          </cell>
          <cell r="AL71">
            <v>215689</v>
          </cell>
          <cell r="AM71">
            <v>0</v>
          </cell>
          <cell r="AN71">
            <v>126548</v>
          </cell>
          <cell r="AT71">
            <v>126548</v>
          </cell>
          <cell r="AU71">
            <v>89141</v>
          </cell>
        </row>
        <row r="72">
          <cell r="Z72">
            <v>482</v>
          </cell>
          <cell r="AA72" t="str">
            <v>ABHIJIT BANERJEE</v>
          </cell>
          <cell r="AB72" t="str">
            <v>007101029816</v>
          </cell>
          <cell r="AC72">
            <v>31720</v>
          </cell>
          <cell r="AD72">
            <v>19032</v>
          </cell>
          <cell r="AE72">
            <v>0</v>
          </cell>
          <cell r="AF72">
            <v>800</v>
          </cell>
          <cell r="AG72">
            <v>100</v>
          </cell>
          <cell r="AH72">
            <v>7924</v>
          </cell>
          <cell r="AL72">
            <v>59576</v>
          </cell>
          <cell r="AM72">
            <v>3172</v>
          </cell>
          <cell r="AN72">
            <v>8248</v>
          </cell>
          <cell r="AP72">
            <v>348</v>
          </cell>
          <cell r="AT72">
            <v>11768</v>
          </cell>
          <cell r="AU72">
            <v>47808</v>
          </cell>
        </row>
        <row r="73">
          <cell r="Z73">
            <v>484</v>
          </cell>
          <cell r="AA73" t="str">
            <v>SANTANU RUDRA</v>
          </cell>
          <cell r="AB73" t="str">
            <v>007101030994</v>
          </cell>
          <cell r="AC73">
            <v>14640</v>
          </cell>
          <cell r="AD73">
            <v>8784</v>
          </cell>
          <cell r="AE73">
            <v>2196</v>
          </cell>
          <cell r="AF73">
            <v>800</v>
          </cell>
          <cell r="AG73">
            <v>100</v>
          </cell>
          <cell r="AH73">
            <v>0</v>
          </cell>
          <cell r="AL73">
            <v>26520</v>
          </cell>
          <cell r="AM73">
            <v>1464</v>
          </cell>
          <cell r="AN73">
            <v>0</v>
          </cell>
          <cell r="AT73">
            <v>1464</v>
          </cell>
          <cell r="AU73">
            <v>25056</v>
          </cell>
        </row>
        <row r="74">
          <cell r="Z74">
            <v>491</v>
          </cell>
          <cell r="AA74" t="str">
            <v>ANIL JAIN</v>
          </cell>
          <cell r="AB74" t="str">
            <v>007101030108</v>
          </cell>
          <cell r="AC74">
            <v>16635</v>
          </cell>
          <cell r="AD74">
            <v>9981</v>
          </cell>
          <cell r="AE74">
            <v>2495</v>
          </cell>
          <cell r="AF74">
            <v>800</v>
          </cell>
          <cell r="AG74">
            <v>100</v>
          </cell>
          <cell r="AH74">
            <v>0</v>
          </cell>
          <cell r="AI74">
            <v>775</v>
          </cell>
          <cell r="AL74">
            <v>30786</v>
          </cell>
          <cell r="AM74">
            <v>1664</v>
          </cell>
          <cell r="AN74">
            <v>686</v>
          </cell>
          <cell r="AT74">
            <v>2350</v>
          </cell>
          <cell r="AU74">
            <v>28436</v>
          </cell>
        </row>
        <row r="75">
          <cell r="Z75">
            <v>493</v>
          </cell>
          <cell r="AA75" t="str">
            <v>DAYAKANT</v>
          </cell>
          <cell r="AB75" t="str">
            <v>007101030782</v>
          </cell>
          <cell r="AC75">
            <v>14805</v>
          </cell>
          <cell r="AD75">
            <v>8883</v>
          </cell>
          <cell r="AE75">
            <v>2221</v>
          </cell>
          <cell r="AF75">
            <v>800</v>
          </cell>
          <cell r="AG75">
            <v>100</v>
          </cell>
          <cell r="AH75">
            <v>0</v>
          </cell>
          <cell r="AL75">
            <v>26809</v>
          </cell>
          <cell r="AM75">
            <v>1481</v>
          </cell>
          <cell r="AN75">
            <v>1174</v>
          </cell>
          <cell r="AP75">
            <v>3060</v>
          </cell>
          <cell r="AT75">
            <v>5715</v>
          </cell>
          <cell r="AU75">
            <v>21094</v>
          </cell>
        </row>
        <row r="76">
          <cell r="Z76">
            <v>495</v>
          </cell>
          <cell r="AA76" t="str">
            <v>TAPAS SARKAR</v>
          </cell>
          <cell r="AB76" t="str">
            <v>007101030993</v>
          </cell>
          <cell r="AC76">
            <v>30650</v>
          </cell>
          <cell r="AD76">
            <v>18390</v>
          </cell>
          <cell r="AE76">
            <v>0</v>
          </cell>
          <cell r="AF76">
            <v>800</v>
          </cell>
          <cell r="AG76">
            <v>100</v>
          </cell>
          <cell r="AH76">
            <v>4652</v>
          </cell>
          <cell r="AL76">
            <v>54592</v>
          </cell>
          <cell r="AM76">
            <v>3065</v>
          </cell>
          <cell r="AN76">
            <v>5978</v>
          </cell>
          <cell r="AT76">
            <v>9043</v>
          </cell>
          <cell r="AU76">
            <v>45549</v>
          </cell>
        </row>
        <row r="77">
          <cell r="Z77">
            <v>496</v>
          </cell>
          <cell r="AA77" t="str">
            <v>P.R.V. NAIR</v>
          </cell>
          <cell r="AB77" t="str">
            <v>000601006077</v>
          </cell>
          <cell r="AC77">
            <v>46075</v>
          </cell>
          <cell r="AD77">
            <v>27645</v>
          </cell>
          <cell r="AE77">
            <v>0</v>
          </cell>
          <cell r="AF77">
            <v>0</v>
          </cell>
          <cell r="AG77">
            <v>100</v>
          </cell>
          <cell r="AH77">
            <v>20128</v>
          </cell>
          <cell r="AL77">
            <v>93948</v>
          </cell>
          <cell r="AM77">
            <v>4608</v>
          </cell>
          <cell r="AN77">
            <v>24648</v>
          </cell>
          <cell r="AT77">
            <v>29256</v>
          </cell>
          <cell r="AU77">
            <v>64692</v>
          </cell>
        </row>
        <row r="78">
          <cell r="Z78">
            <v>497</v>
          </cell>
          <cell r="AA78" t="str">
            <v>D.K. DEY</v>
          </cell>
          <cell r="AB78" t="str">
            <v>007101029808</v>
          </cell>
          <cell r="AC78">
            <v>29785</v>
          </cell>
          <cell r="AD78">
            <v>17871</v>
          </cell>
          <cell r="AE78">
            <v>0</v>
          </cell>
          <cell r="AF78">
            <v>800</v>
          </cell>
          <cell r="AG78">
            <v>100</v>
          </cell>
          <cell r="AH78">
            <v>7924</v>
          </cell>
          <cell r="AI78">
            <v>16470</v>
          </cell>
          <cell r="AL78">
            <v>72950</v>
          </cell>
          <cell r="AM78">
            <v>2979</v>
          </cell>
          <cell r="AN78">
            <v>6223</v>
          </cell>
          <cell r="AT78">
            <v>9202</v>
          </cell>
          <cell r="AU78">
            <v>63748</v>
          </cell>
        </row>
        <row r="79">
          <cell r="Z79">
            <v>498</v>
          </cell>
          <cell r="AA79" t="str">
            <v>R.N. JENA</v>
          </cell>
          <cell r="AB79" t="str">
            <v>007101029829</v>
          </cell>
          <cell r="AC79">
            <v>26985</v>
          </cell>
          <cell r="AD79">
            <v>16191</v>
          </cell>
          <cell r="AE79">
            <v>0</v>
          </cell>
          <cell r="AF79">
            <v>800</v>
          </cell>
          <cell r="AG79">
            <v>100</v>
          </cell>
          <cell r="AH79">
            <v>12454</v>
          </cell>
          <cell r="AL79">
            <v>56530</v>
          </cell>
          <cell r="AM79">
            <v>2699</v>
          </cell>
          <cell r="AN79">
            <v>6229</v>
          </cell>
          <cell r="AT79">
            <v>8928</v>
          </cell>
          <cell r="AU79">
            <v>47602</v>
          </cell>
        </row>
        <row r="80">
          <cell r="Z80">
            <v>501</v>
          </cell>
          <cell r="AA80" t="str">
            <v>S.D. MEHER</v>
          </cell>
          <cell r="AB80" t="str">
            <v>007101030109</v>
          </cell>
          <cell r="AC80">
            <v>33625</v>
          </cell>
          <cell r="AD80">
            <v>20175</v>
          </cell>
          <cell r="AE80">
            <v>0</v>
          </cell>
          <cell r="AF80">
            <v>800</v>
          </cell>
          <cell r="AG80">
            <v>100</v>
          </cell>
          <cell r="AH80">
            <v>12454</v>
          </cell>
          <cell r="AL80">
            <v>67154</v>
          </cell>
          <cell r="AM80">
            <v>3363</v>
          </cell>
          <cell r="AN80">
            <v>6000</v>
          </cell>
          <cell r="AT80">
            <v>9363</v>
          </cell>
          <cell r="AU80">
            <v>57791</v>
          </cell>
        </row>
        <row r="81">
          <cell r="Z81">
            <v>503</v>
          </cell>
          <cell r="AA81" t="str">
            <v>ALOK GUPTA</v>
          </cell>
          <cell r="AB81" t="str">
            <v>007101029841</v>
          </cell>
          <cell r="AC81">
            <v>22655</v>
          </cell>
          <cell r="AD81">
            <v>13593</v>
          </cell>
          <cell r="AE81">
            <v>0</v>
          </cell>
          <cell r="AF81">
            <v>800</v>
          </cell>
          <cell r="AG81">
            <v>100</v>
          </cell>
          <cell r="AH81">
            <v>1587</v>
          </cell>
          <cell r="AL81">
            <v>38735</v>
          </cell>
          <cell r="AM81">
            <v>2266</v>
          </cell>
          <cell r="AN81">
            <v>2214</v>
          </cell>
          <cell r="AT81">
            <v>4480</v>
          </cell>
          <cell r="AU81">
            <v>34255</v>
          </cell>
        </row>
        <row r="82">
          <cell r="Z82">
            <v>504</v>
          </cell>
          <cell r="AA82" t="str">
            <v>DIPANKAR DAS</v>
          </cell>
          <cell r="AB82" t="str">
            <v>007101029809</v>
          </cell>
          <cell r="AC82">
            <v>11270</v>
          </cell>
          <cell r="AD82">
            <v>6762</v>
          </cell>
          <cell r="AE82">
            <v>1691</v>
          </cell>
          <cell r="AF82">
            <v>800</v>
          </cell>
          <cell r="AG82">
            <v>100</v>
          </cell>
          <cell r="AH82">
            <v>0</v>
          </cell>
          <cell r="AL82">
            <v>20623</v>
          </cell>
          <cell r="AM82">
            <v>1127</v>
          </cell>
          <cell r="AN82">
            <v>0</v>
          </cell>
          <cell r="AT82">
            <v>1127</v>
          </cell>
          <cell r="AU82">
            <v>19496</v>
          </cell>
        </row>
        <row r="83">
          <cell r="Z83">
            <v>507</v>
          </cell>
          <cell r="AA83" t="str">
            <v>ABHIJIT BHATTACHARYA</v>
          </cell>
          <cell r="AB83" t="str">
            <v>007101031000</v>
          </cell>
          <cell r="AC83">
            <v>24310</v>
          </cell>
          <cell r="AD83">
            <v>14586</v>
          </cell>
          <cell r="AE83">
            <v>0</v>
          </cell>
          <cell r="AF83">
            <v>800</v>
          </cell>
          <cell r="AG83">
            <v>100</v>
          </cell>
          <cell r="AH83">
            <v>3881</v>
          </cell>
          <cell r="AL83">
            <v>43677</v>
          </cell>
          <cell r="AM83">
            <v>2431</v>
          </cell>
          <cell r="AN83">
            <v>5138</v>
          </cell>
          <cell r="AT83">
            <v>7569</v>
          </cell>
          <cell r="AU83">
            <v>36108</v>
          </cell>
        </row>
        <row r="84">
          <cell r="Z84">
            <v>508</v>
          </cell>
          <cell r="AA84" t="str">
            <v>SHAILENDRA DUBEY</v>
          </cell>
          <cell r="AB84" t="str">
            <v>007101046312</v>
          </cell>
          <cell r="AC84">
            <v>10360</v>
          </cell>
          <cell r="AD84">
            <v>6216</v>
          </cell>
          <cell r="AE84">
            <v>1554</v>
          </cell>
          <cell r="AF84">
            <v>800</v>
          </cell>
          <cell r="AG84">
            <v>100</v>
          </cell>
          <cell r="AH84">
            <v>0</v>
          </cell>
          <cell r="AL84">
            <v>19030</v>
          </cell>
          <cell r="AM84">
            <v>1036</v>
          </cell>
          <cell r="AN84">
            <v>0</v>
          </cell>
          <cell r="AT84">
            <v>1036</v>
          </cell>
          <cell r="AU84">
            <v>17994</v>
          </cell>
        </row>
        <row r="85">
          <cell r="Z85">
            <v>509</v>
          </cell>
          <cell r="AA85" t="str">
            <v>ROOPALI SINGH</v>
          </cell>
          <cell r="AB85" t="str">
            <v>007101046313</v>
          </cell>
          <cell r="AC85">
            <v>13835</v>
          </cell>
          <cell r="AD85">
            <v>8301</v>
          </cell>
          <cell r="AE85">
            <v>2075</v>
          </cell>
          <cell r="AF85">
            <v>800</v>
          </cell>
          <cell r="AG85">
            <v>100</v>
          </cell>
          <cell r="AH85">
            <v>0</v>
          </cell>
          <cell r="AL85">
            <v>25111</v>
          </cell>
          <cell r="AM85">
            <v>1384</v>
          </cell>
          <cell r="AN85">
            <v>0</v>
          </cell>
          <cell r="AT85">
            <v>1384</v>
          </cell>
          <cell r="AU85">
            <v>23727</v>
          </cell>
        </row>
        <row r="86">
          <cell r="Z86">
            <v>515</v>
          </cell>
          <cell r="AA86" t="str">
            <v>RAJESH UPADHYAY</v>
          </cell>
          <cell r="AB86" t="str">
            <v>007101503603</v>
          </cell>
          <cell r="AC86">
            <v>9865</v>
          </cell>
          <cell r="AD86">
            <v>5919</v>
          </cell>
          <cell r="AE86">
            <v>1480</v>
          </cell>
          <cell r="AF86">
            <v>800</v>
          </cell>
          <cell r="AG86">
            <v>100</v>
          </cell>
          <cell r="AH86">
            <v>0</v>
          </cell>
          <cell r="AL86">
            <v>18164</v>
          </cell>
          <cell r="AM86">
            <v>987</v>
          </cell>
          <cell r="AN86">
            <v>0</v>
          </cell>
          <cell r="AT86">
            <v>987</v>
          </cell>
          <cell r="AU86">
            <v>17177</v>
          </cell>
        </row>
        <row r="87">
          <cell r="Z87">
            <v>517</v>
          </cell>
          <cell r="AA87" t="str">
            <v>GIRISH KUMAR SHARMA</v>
          </cell>
          <cell r="AB87" t="str">
            <v>006501062463</v>
          </cell>
          <cell r="AC87">
            <v>22655</v>
          </cell>
          <cell r="AD87">
            <v>13593</v>
          </cell>
          <cell r="AE87">
            <v>0</v>
          </cell>
          <cell r="AF87">
            <v>800</v>
          </cell>
          <cell r="AG87">
            <v>100</v>
          </cell>
          <cell r="AH87">
            <v>1587</v>
          </cell>
          <cell r="AL87">
            <v>38735</v>
          </cell>
          <cell r="AM87">
            <v>2266</v>
          </cell>
          <cell r="AN87">
            <v>3071</v>
          </cell>
          <cell r="AT87">
            <v>5337</v>
          </cell>
          <cell r="AU87">
            <v>33398</v>
          </cell>
        </row>
        <row r="88">
          <cell r="Z88">
            <v>518</v>
          </cell>
          <cell r="AA88" t="str">
            <v>RAKESH KUMAR GUPTA</v>
          </cell>
          <cell r="AB88" t="str">
            <v>007101507850</v>
          </cell>
          <cell r="AC88">
            <v>17095</v>
          </cell>
          <cell r="AD88">
            <v>10257</v>
          </cell>
          <cell r="AE88">
            <v>2564</v>
          </cell>
          <cell r="AF88">
            <v>800</v>
          </cell>
          <cell r="AG88">
            <v>100</v>
          </cell>
          <cell r="AH88">
            <v>794</v>
          </cell>
          <cell r="AI88">
            <v>9750</v>
          </cell>
          <cell r="AL88">
            <v>41360</v>
          </cell>
          <cell r="AM88">
            <v>1710</v>
          </cell>
          <cell r="AN88">
            <v>2690</v>
          </cell>
          <cell r="AT88">
            <v>4400</v>
          </cell>
          <cell r="AU88">
            <v>36960</v>
          </cell>
        </row>
        <row r="89">
          <cell r="Z89">
            <v>520</v>
          </cell>
          <cell r="AA89" t="str">
            <v>N.S. MALHAN</v>
          </cell>
          <cell r="AB89" t="str">
            <v>008901023613</v>
          </cell>
          <cell r="AC89">
            <v>12425</v>
          </cell>
          <cell r="AD89">
            <v>7455</v>
          </cell>
          <cell r="AE89">
            <v>1864</v>
          </cell>
          <cell r="AF89">
            <v>800</v>
          </cell>
          <cell r="AG89">
            <v>100</v>
          </cell>
          <cell r="AH89">
            <v>0</v>
          </cell>
          <cell r="AI89">
            <v>9750</v>
          </cell>
          <cell r="AL89">
            <v>32394</v>
          </cell>
          <cell r="AM89">
            <v>1243</v>
          </cell>
          <cell r="AN89">
            <v>0</v>
          </cell>
          <cell r="AT89">
            <v>1243</v>
          </cell>
          <cell r="AU89">
            <v>31151</v>
          </cell>
        </row>
        <row r="90">
          <cell r="Z90">
            <v>521</v>
          </cell>
          <cell r="AA90" t="str">
            <v>JASBIR SINGH</v>
          </cell>
          <cell r="AB90" t="str">
            <v>003101010928</v>
          </cell>
          <cell r="AC90">
            <v>8235</v>
          </cell>
          <cell r="AD90">
            <v>4941</v>
          </cell>
          <cell r="AE90">
            <v>1235</v>
          </cell>
          <cell r="AF90">
            <v>800</v>
          </cell>
          <cell r="AG90">
            <v>0</v>
          </cell>
          <cell r="AH90">
            <v>0</v>
          </cell>
          <cell r="AL90">
            <v>15211</v>
          </cell>
          <cell r="AM90">
            <v>824</v>
          </cell>
          <cell r="AN90">
            <v>0</v>
          </cell>
          <cell r="AT90">
            <v>824</v>
          </cell>
          <cell r="AU90">
            <v>14387</v>
          </cell>
        </row>
        <row r="91">
          <cell r="Z91">
            <v>522</v>
          </cell>
          <cell r="AA91" t="str">
            <v>VENUGOPALAN I.</v>
          </cell>
          <cell r="AB91" t="str">
            <v>007101030988</v>
          </cell>
          <cell r="AC91">
            <v>19820</v>
          </cell>
          <cell r="AD91">
            <v>11892</v>
          </cell>
          <cell r="AE91">
            <v>2973</v>
          </cell>
          <cell r="AF91">
            <v>800</v>
          </cell>
          <cell r="AG91">
            <v>100</v>
          </cell>
          <cell r="AH91">
            <v>794</v>
          </cell>
          <cell r="AL91">
            <v>36379</v>
          </cell>
          <cell r="AM91">
            <v>1982</v>
          </cell>
          <cell r="AN91">
            <v>700</v>
          </cell>
          <cell r="AT91">
            <v>2682</v>
          </cell>
          <cell r="AU91">
            <v>33697</v>
          </cell>
        </row>
        <row r="92">
          <cell r="Z92">
            <v>524</v>
          </cell>
          <cell r="AA92" t="str">
            <v>AVINASH CHANDRA</v>
          </cell>
          <cell r="AB92" t="str">
            <v>015401004138</v>
          </cell>
          <cell r="AC92">
            <v>11270</v>
          </cell>
          <cell r="AD92">
            <v>6762</v>
          </cell>
          <cell r="AE92">
            <v>1691</v>
          </cell>
          <cell r="AF92">
            <v>800</v>
          </cell>
          <cell r="AG92">
            <v>100</v>
          </cell>
          <cell r="AH92">
            <v>0</v>
          </cell>
          <cell r="AL92">
            <v>20623</v>
          </cell>
          <cell r="AM92">
            <v>1127</v>
          </cell>
          <cell r="AN92">
            <v>0</v>
          </cell>
          <cell r="AT92">
            <v>1127</v>
          </cell>
          <cell r="AU92">
            <v>19496</v>
          </cell>
        </row>
        <row r="93">
          <cell r="Z93">
            <v>526</v>
          </cell>
          <cell r="AA93" t="str">
            <v>MANISH ASHOK GANGWAL</v>
          </cell>
          <cell r="AB93" t="str">
            <v>007101507862</v>
          </cell>
          <cell r="AC93">
            <v>12000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L93">
            <v>12000</v>
          </cell>
          <cell r="AM93">
            <v>1200</v>
          </cell>
          <cell r="AN93">
            <v>0</v>
          </cell>
          <cell r="AT93">
            <v>1200</v>
          </cell>
          <cell r="AU93">
            <v>10800</v>
          </cell>
        </row>
        <row r="94">
          <cell r="Z94">
            <v>527</v>
          </cell>
          <cell r="AA94" t="str">
            <v>BIKRAM SARMA</v>
          </cell>
          <cell r="AB94" t="str">
            <v>007101507569</v>
          </cell>
          <cell r="AC94">
            <v>12000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3450</v>
          </cell>
          <cell r="AL94">
            <v>15450</v>
          </cell>
          <cell r="AM94">
            <v>1200</v>
          </cell>
          <cell r="AN94">
            <v>0</v>
          </cell>
          <cell r="AT94">
            <v>1200</v>
          </cell>
          <cell r="AU94">
            <v>14250</v>
          </cell>
        </row>
        <row r="95">
          <cell r="Z95">
            <v>528</v>
          </cell>
          <cell r="AA95" t="str">
            <v>RAHUL KANT GUPTA</v>
          </cell>
          <cell r="AB95" t="str">
            <v>007101507889</v>
          </cell>
          <cell r="AC95">
            <v>12000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L95">
            <v>12000</v>
          </cell>
          <cell r="AM95">
            <v>1200</v>
          </cell>
          <cell r="AN95">
            <v>0</v>
          </cell>
          <cell r="AT95">
            <v>1200</v>
          </cell>
          <cell r="AU95">
            <v>10800</v>
          </cell>
        </row>
        <row r="96">
          <cell r="Z96">
            <v>529</v>
          </cell>
          <cell r="AA96" t="str">
            <v>S.K. MOHANTY</v>
          </cell>
          <cell r="AB96" t="str">
            <v>634201012193</v>
          </cell>
          <cell r="AC96">
            <v>17220</v>
          </cell>
          <cell r="AD96">
            <v>10332</v>
          </cell>
          <cell r="AE96">
            <v>2583</v>
          </cell>
          <cell r="AF96">
            <v>800</v>
          </cell>
          <cell r="AG96">
            <v>100</v>
          </cell>
          <cell r="AH96">
            <v>794</v>
          </cell>
          <cell r="AI96">
            <v>9750</v>
          </cell>
          <cell r="AL96">
            <v>41579</v>
          </cell>
          <cell r="AM96">
            <v>1722</v>
          </cell>
          <cell r="AN96">
            <v>796</v>
          </cell>
          <cell r="AT96">
            <v>2518</v>
          </cell>
          <cell r="AU96">
            <v>39061</v>
          </cell>
        </row>
        <row r="97">
          <cell r="Z97">
            <v>530</v>
          </cell>
          <cell r="AA97" t="str">
            <v>NIRMAL KUMAR SAHA</v>
          </cell>
          <cell r="AB97" t="str">
            <v>007101508216</v>
          </cell>
          <cell r="AC97">
            <v>19825</v>
          </cell>
          <cell r="AD97">
            <v>11895</v>
          </cell>
          <cell r="AE97">
            <v>0</v>
          </cell>
          <cell r="AF97">
            <v>800</v>
          </cell>
          <cell r="AG97">
            <v>100</v>
          </cell>
          <cell r="AH97">
            <v>3881</v>
          </cell>
          <cell r="AL97">
            <v>36501</v>
          </cell>
          <cell r="AM97">
            <v>1983</v>
          </cell>
          <cell r="AN97">
            <v>2481</v>
          </cell>
          <cell r="AT97">
            <v>4464</v>
          </cell>
          <cell r="AU97">
            <v>32037</v>
          </cell>
        </row>
        <row r="98">
          <cell r="Z98">
            <v>531</v>
          </cell>
          <cell r="AA98" t="str">
            <v>VARUN TALWAR</v>
          </cell>
          <cell r="AB98" t="str">
            <v>007101501922</v>
          </cell>
          <cell r="AC98">
            <v>10970</v>
          </cell>
          <cell r="AD98">
            <v>6582</v>
          </cell>
          <cell r="AE98">
            <v>1646</v>
          </cell>
          <cell r="AF98">
            <v>800</v>
          </cell>
          <cell r="AG98">
            <v>100</v>
          </cell>
          <cell r="AH98">
            <v>0</v>
          </cell>
          <cell r="AL98">
            <v>20098</v>
          </cell>
          <cell r="AM98">
            <v>1097</v>
          </cell>
          <cell r="AN98">
            <v>0</v>
          </cell>
          <cell r="AT98">
            <v>1097</v>
          </cell>
          <cell r="AU98">
            <v>19001</v>
          </cell>
        </row>
        <row r="99">
          <cell r="Z99">
            <v>532</v>
          </cell>
          <cell r="AA99" t="str">
            <v>MAHESH PRASAD</v>
          </cell>
          <cell r="AB99" t="str">
            <v>005201016706</v>
          </cell>
          <cell r="AC99">
            <v>30785</v>
          </cell>
          <cell r="AD99">
            <v>18471</v>
          </cell>
          <cell r="AE99">
            <v>0</v>
          </cell>
          <cell r="AF99">
            <v>800</v>
          </cell>
          <cell r="AG99">
            <v>100</v>
          </cell>
          <cell r="AH99">
            <v>4652</v>
          </cell>
          <cell r="AL99">
            <v>54808</v>
          </cell>
          <cell r="AM99">
            <v>3079</v>
          </cell>
          <cell r="AN99">
            <v>7119</v>
          </cell>
          <cell r="AT99">
            <v>10198</v>
          </cell>
          <cell r="AU99">
            <v>44610</v>
          </cell>
        </row>
        <row r="100">
          <cell r="Z100">
            <v>533</v>
          </cell>
          <cell r="AA100" t="str">
            <v>PINAKI RANJAN CHOWDHURY</v>
          </cell>
          <cell r="AB100" t="str">
            <v>007101508014</v>
          </cell>
          <cell r="AC100">
            <v>11660</v>
          </cell>
          <cell r="AD100">
            <v>6996</v>
          </cell>
          <cell r="AE100">
            <v>1749</v>
          </cell>
          <cell r="AF100">
            <v>800</v>
          </cell>
          <cell r="AG100">
            <v>100</v>
          </cell>
          <cell r="AH100">
            <v>0</v>
          </cell>
          <cell r="AI100">
            <v>9750</v>
          </cell>
          <cell r="AL100">
            <v>31055</v>
          </cell>
          <cell r="AM100">
            <v>1166</v>
          </cell>
          <cell r="AN100">
            <v>0</v>
          </cell>
          <cell r="AT100">
            <v>1166</v>
          </cell>
          <cell r="AU100">
            <v>29889</v>
          </cell>
        </row>
        <row r="101">
          <cell r="Z101">
            <v>535</v>
          </cell>
          <cell r="AA101" t="str">
            <v>RAJIV DAMODARAN</v>
          </cell>
          <cell r="AB101" t="str">
            <v>629401503393</v>
          </cell>
          <cell r="AC101">
            <v>12000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L101">
            <v>12000</v>
          </cell>
          <cell r="AM101">
            <v>1200</v>
          </cell>
          <cell r="AN101">
            <v>0</v>
          </cell>
          <cell r="AT101">
            <v>1200</v>
          </cell>
          <cell r="AU101">
            <v>10800</v>
          </cell>
        </row>
        <row r="102">
          <cell r="Z102">
            <v>536</v>
          </cell>
          <cell r="AA102" t="str">
            <v>DEEPAK RANJAN SAMALLA</v>
          </cell>
          <cell r="AB102" t="str">
            <v>008901509427</v>
          </cell>
          <cell r="AC102">
            <v>20535</v>
          </cell>
          <cell r="AD102">
            <v>12321</v>
          </cell>
          <cell r="AE102">
            <v>0</v>
          </cell>
          <cell r="AF102">
            <v>800</v>
          </cell>
          <cell r="AG102">
            <v>100</v>
          </cell>
          <cell r="AH102">
            <v>1587</v>
          </cell>
          <cell r="AI102">
            <v>9750</v>
          </cell>
          <cell r="AL102">
            <v>45093</v>
          </cell>
          <cell r="AM102">
            <v>2054</v>
          </cell>
          <cell r="AN102">
            <v>1580</v>
          </cell>
          <cell r="AT102">
            <v>3634</v>
          </cell>
          <cell r="AU102">
            <v>41459</v>
          </cell>
        </row>
        <row r="103">
          <cell r="Z103">
            <v>537</v>
          </cell>
          <cell r="AA103" t="str">
            <v>S.N. SINGH</v>
          </cell>
          <cell r="AB103" t="str">
            <v>008901509236</v>
          </cell>
          <cell r="AC103">
            <v>10515</v>
          </cell>
          <cell r="AD103">
            <v>6309</v>
          </cell>
          <cell r="AE103">
            <v>1577</v>
          </cell>
          <cell r="AF103">
            <v>800</v>
          </cell>
          <cell r="AG103">
            <v>100</v>
          </cell>
          <cell r="AH103">
            <v>0</v>
          </cell>
          <cell r="AI103">
            <v>9750</v>
          </cell>
          <cell r="AL103">
            <v>29051</v>
          </cell>
          <cell r="AM103">
            <v>1052</v>
          </cell>
          <cell r="AN103">
            <v>0</v>
          </cell>
          <cell r="AT103">
            <v>1052</v>
          </cell>
          <cell r="AU103">
            <v>27999</v>
          </cell>
        </row>
        <row r="104">
          <cell r="Z104">
            <v>539</v>
          </cell>
          <cell r="AA104" t="str">
            <v>M.K. VIJAYAKUMAR</v>
          </cell>
          <cell r="AB104" t="str">
            <v>007101509045</v>
          </cell>
          <cell r="AC104">
            <v>17215</v>
          </cell>
          <cell r="AD104">
            <v>10329</v>
          </cell>
          <cell r="AE104">
            <v>2582</v>
          </cell>
          <cell r="AF104">
            <v>800</v>
          </cell>
          <cell r="AG104">
            <v>100</v>
          </cell>
          <cell r="AH104">
            <v>794</v>
          </cell>
          <cell r="AI104">
            <v>9750</v>
          </cell>
          <cell r="AL104">
            <v>41570</v>
          </cell>
          <cell r="AM104">
            <v>1722</v>
          </cell>
          <cell r="AN104">
            <v>2233</v>
          </cell>
          <cell r="AT104">
            <v>3955</v>
          </cell>
          <cell r="AU104">
            <v>37615</v>
          </cell>
        </row>
        <row r="105">
          <cell r="Z105">
            <v>541</v>
          </cell>
          <cell r="AA105" t="str">
            <v>ANSHUMAN MALAVIYA</v>
          </cell>
          <cell r="AB105" t="str">
            <v>007101509715</v>
          </cell>
          <cell r="AC105">
            <v>12000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L105">
            <v>12000</v>
          </cell>
          <cell r="AM105">
            <v>1200</v>
          </cell>
          <cell r="AN105">
            <v>0</v>
          </cell>
          <cell r="AT105">
            <v>1200</v>
          </cell>
          <cell r="AU105">
            <v>10800</v>
          </cell>
        </row>
        <row r="106">
          <cell r="Z106">
            <v>542</v>
          </cell>
          <cell r="AA106" t="str">
            <v>AMITAVA SAMADDER</v>
          </cell>
          <cell r="AB106" t="str">
            <v>007101509716</v>
          </cell>
          <cell r="AC106">
            <v>23550</v>
          </cell>
          <cell r="AD106">
            <v>14130</v>
          </cell>
          <cell r="AE106">
            <v>0</v>
          </cell>
          <cell r="AF106">
            <v>800</v>
          </cell>
          <cell r="AG106">
            <v>100</v>
          </cell>
          <cell r="AH106">
            <v>3881</v>
          </cell>
          <cell r="AL106">
            <v>42461</v>
          </cell>
          <cell r="AM106">
            <v>2355</v>
          </cell>
          <cell r="AN106">
            <v>2354</v>
          </cell>
          <cell r="AT106">
            <v>4709</v>
          </cell>
          <cell r="AU106">
            <v>37752</v>
          </cell>
        </row>
        <row r="107">
          <cell r="Z107">
            <v>545</v>
          </cell>
          <cell r="AA107" t="str">
            <v>DHANRAJ</v>
          </cell>
          <cell r="AB107" t="str">
            <v>007101510273</v>
          </cell>
          <cell r="AC107">
            <v>7340</v>
          </cell>
          <cell r="AD107">
            <v>4404</v>
          </cell>
          <cell r="AE107">
            <v>1101</v>
          </cell>
          <cell r="AF107">
            <v>800</v>
          </cell>
          <cell r="AG107">
            <v>0</v>
          </cell>
          <cell r="AH107">
            <v>0</v>
          </cell>
          <cell r="AI107">
            <v>1700</v>
          </cell>
          <cell r="AL107">
            <v>15345</v>
          </cell>
          <cell r="AM107">
            <v>734</v>
          </cell>
          <cell r="AN107">
            <v>0</v>
          </cell>
          <cell r="AT107">
            <v>734</v>
          </cell>
          <cell r="AU107">
            <v>14611</v>
          </cell>
        </row>
        <row r="108">
          <cell r="Z108">
            <v>546</v>
          </cell>
          <cell r="AA108" t="str">
            <v>RAKESH KUMAR VERMA</v>
          </cell>
          <cell r="AB108" t="str">
            <v>008301029714</v>
          </cell>
          <cell r="AC108">
            <v>6300</v>
          </cell>
          <cell r="AD108">
            <v>3780</v>
          </cell>
          <cell r="AE108">
            <v>945</v>
          </cell>
          <cell r="AF108">
            <v>800</v>
          </cell>
          <cell r="AG108">
            <v>0</v>
          </cell>
          <cell r="AH108">
            <v>0</v>
          </cell>
          <cell r="AL108">
            <v>11825</v>
          </cell>
          <cell r="AM108">
            <v>630</v>
          </cell>
          <cell r="AN108">
            <v>0</v>
          </cell>
          <cell r="AT108">
            <v>630</v>
          </cell>
          <cell r="AU108">
            <v>11195</v>
          </cell>
        </row>
        <row r="109">
          <cell r="Z109">
            <v>547</v>
          </cell>
          <cell r="AA109" t="str">
            <v>B.M. PANDEY</v>
          </cell>
          <cell r="AB109" t="str">
            <v>007101030995</v>
          </cell>
          <cell r="AC109">
            <v>21630</v>
          </cell>
          <cell r="AD109">
            <v>12978</v>
          </cell>
          <cell r="AE109">
            <v>0</v>
          </cell>
          <cell r="AF109">
            <v>800</v>
          </cell>
          <cell r="AG109">
            <v>100</v>
          </cell>
          <cell r="AH109">
            <v>1587</v>
          </cell>
          <cell r="AI109">
            <v>15501</v>
          </cell>
          <cell r="AL109">
            <v>52596</v>
          </cell>
          <cell r="AM109">
            <v>2163</v>
          </cell>
          <cell r="AN109">
            <v>1537</v>
          </cell>
          <cell r="AT109">
            <v>3700</v>
          </cell>
          <cell r="AU109">
            <v>48896</v>
          </cell>
        </row>
        <row r="110">
          <cell r="Z110">
            <v>548</v>
          </cell>
          <cell r="AA110" t="str">
            <v>MANOJ KUMAR SAHU</v>
          </cell>
          <cell r="AB110" t="str">
            <v>008901506432</v>
          </cell>
          <cell r="AC110">
            <v>16765</v>
          </cell>
          <cell r="AD110">
            <v>10059</v>
          </cell>
          <cell r="AE110">
            <v>0</v>
          </cell>
          <cell r="AF110">
            <v>800</v>
          </cell>
          <cell r="AG110">
            <v>100</v>
          </cell>
          <cell r="AH110">
            <v>1587</v>
          </cell>
          <cell r="AI110">
            <v>9750</v>
          </cell>
          <cell r="AL110">
            <v>39061</v>
          </cell>
          <cell r="AM110">
            <v>1677</v>
          </cell>
          <cell r="AN110">
            <v>1000</v>
          </cell>
          <cell r="AT110">
            <v>2677</v>
          </cell>
          <cell r="AU110">
            <v>36384</v>
          </cell>
        </row>
        <row r="111">
          <cell r="Z111">
            <v>550</v>
          </cell>
          <cell r="AA111" t="str">
            <v>JITENDRA SHARMA</v>
          </cell>
          <cell r="AB111" t="str">
            <v>007101029714</v>
          </cell>
          <cell r="AC111">
            <v>11000</v>
          </cell>
          <cell r="AD111">
            <v>6600</v>
          </cell>
          <cell r="AE111">
            <v>1650</v>
          </cell>
          <cell r="AF111">
            <v>800</v>
          </cell>
          <cell r="AG111">
            <v>100</v>
          </cell>
          <cell r="AH111">
            <v>0</v>
          </cell>
          <cell r="AL111">
            <v>20150</v>
          </cell>
          <cell r="AM111">
            <v>1100</v>
          </cell>
          <cell r="AN111">
            <v>0</v>
          </cell>
          <cell r="AT111">
            <v>1100</v>
          </cell>
          <cell r="AU111">
            <v>19050</v>
          </cell>
        </row>
        <row r="112">
          <cell r="Z112">
            <v>551</v>
          </cell>
          <cell r="AA112" t="str">
            <v>RANDHIR SINGH</v>
          </cell>
          <cell r="AB112" t="str">
            <v>007101512593</v>
          </cell>
          <cell r="AC112">
            <v>5555</v>
          </cell>
          <cell r="AD112">
            <v>3333</v>
          </cell>
          <cell r="AE112">
            <v>833</v>
          </cell>
          <cell r="AF112">
            <v>800</v>
          </cell>
          <cell r="AG112">
            <v>0</v>
          </cell>
          <cell r="AH112">
            <v>0</v>
          </cell>
          <cell r="AI112">
            <v>2200</v>
          </cell>
          <cell r="AL112">
            <v>12721</v>
          </cell>
          <cell r="AM112">
            <v>556</v>
          </cell>
          <cell r="AN112">
            <v>0</v>
          </cell>
          <cell r="AT112">
            <v>556</v>
          </cell>
          <cell r="AU112">
            <v>12165</v>
          </cell>
        </row>
        <row r="113">
          <cell r="Z113">
            <v>552</v>
          </cell>
          <cell r="AA113" t="str">
            <v>SUBHASH P. WANKHEDE</v>
          </cell>
          <cell r="AB113" t="str">
            <v>000501010774</v>
          </cell>
          <cell r="AC113">
            <v>28080</v>
          </cell>
          <cell r="AD113">
            <v>16848</v>
          </cell>
          <cell r="AE113">
            <v>0</v>
          </cell>
          <cell r="AF113">
            <v>800</v>
          </cell>
          <cell r="AG113">
            <v>100</v>
          </cell>
          <cell r="AH113">
            <v>4652</v>
          </cell>
          <cell r="AJ113">
            <v>8424</v>
          </cell>
          <cell r="AL113">
            <v>58904</v>
          </cell>
          <cell r="AM113">
            <v>2808</v>
          </cell>
          <cell r="AN113">
            <v>5436</v>
          </cell>
          <cell r="AT113">
            <v>8244</v>
          </cell>
          <cell r="AU113">
            <v>50660</v>
          </cell>
        </row>
        <row r="114">
          <cell r="Z114">
            <v>553</v>
          </cell>
          <cell r="AA114" t="str">
            <v>SUDIPTA RAY</v>
          </cell>
          <cell r="AB114" t="str">
            <v>007101512982</v>
          </cell>
          <cell r="AC114">
            <v>21605</v>
          </cell>
          <cell r="AD114">
            <v>12963</v>
          </cell>
          <cell r="AE114">
            <v>0</v>
          </cell>
          <cell r="AF114">
            <v>800</v>
          </cell>
          <cell r="AG114">
            <v>100</v>
          </cell>
          <cell r="AH114">
            <v>3880</v>
          </cell>
          <cell r="AL114">
            <v>39348</v>
          </cell>
          <cell r="AM114">
            <v>2161</v>
          </cell>
          <cell r="AN114">
            <v>1815</v>
          </cell>
          <cell r="AT114">
            <v>3976</v>
          </cell>
          <cell r="AU114">
            <v>35372</v>
          </cell>
        </row>
        <row r="115">
          <cell r="Z115">
            <v>554</v>
          </cell>
          <cell r="AA115" t="str">
            <v>ALOK JAIN</v>
          </cell>
          <cell r="AB115" t="str">
            <v>007101513051</v>
          </cell>
          <cell r="AC115">
            <v>15325</v>
          </cell>
          <cell r="AD115">
            <v>9195</v>
          </cell>
          <cell r="AE115">
            <v>2299</v>
          </cell>
          <cell r="AF115">
            <v>800</v>
          </cell>
          <cell r="AG115">
            <v>100</v>
          </cell>
          <cell r="AH115">
            <v>790</v>
          </cell>
          <cell r="AL115">
            <v>28509</v>
          </cell>
          <cell r="AM115">
            <v>1533</v>
          </cell>
          <cell r="AN115">
            <v>0</v>
          </cell>
          <cell r="AT115">
            <v>1533</v>
          </cell>
          <cell r="AU115">
            <v>26976</v>
          </cell>
        </row>
        <row r="116">
          <cell r="Z116">
            <v>555</v>
          </cell>
          <cell r="AA116" t="str">
            <v>RAJESH SINGAL</v>
          </cell>
          <cell r="AB116" t="str">
            <v>007101029820</v>
          </cell>
          <cell r="AC116">
            <v>22150</v>
          </cell>
          <cell r="AD116">
            <v>13290</v>
          </cell>
          <cell r="AE116">
            <v>0</v>
          </cell>
          <cell r="AF116">
            <v>800</v>
          </cell>
          <cell r="AG116">
            <v>100</v>
          </cell>
          <cell r="AH116">
            <v>3880</v>
          </cell>
          <cell r="AL116">
            <v>40220</v>
          </cell>
          <cell r="AM116">
            <v>2215</v>
          </cell>
          <cell r="AN116">
            <v>5350</v>
          </cell>
          <cell r="AT116">
            <v>7565</v>
          </cell>
          <cell r="AU116">
            <v>32655</v>
          </cell>
        </row>
        <row r="117">
          <cell r="Z117">
            <v>556</v>
          </cell>
          <cell r="AA117" t="str">
            <v>VIVEK GUPTA</v>
          </cell>
          <cell r="AB117" t="str">
            <v>007101513882</v>
          </cell>
          <cell r="AC117">
            <v>10685</v>
          </cell>
          <cell r="AD117">
            <v>6411</v>
          </cell>
          <cell r="AE117">
            <v>1603</v>
          </cell>
          <cell r="AF117">
            <v>800</v>
          </cell>
          <cell r="AG117">
            <v>100</v>
          </cell>
          <cell r="AH117">
            <v>0</v>
          </cell>
          <cell r="AL117">
            <v>19599</v>
          </cell>
          <cell r="AM117">
            <v>1069</v>
          </cell>
          <cell r="AN117">
            <v>0</v>
          </cell>
          <cell r="AT117">
            <v>1069</v>
          </cell>
          <cell r="AU117">
            <v>18530</v>
          </cell>
        </row>
        <row r="118">
          <cell r="Z118">
            <v>557</v>
          </cell>
          <cell r="AA118" t="str">
            <v>RAJIV MEHROTRA</v>
          </cell>
          <cell r="AB118" t="str">
            <v>007101029826</v>
          </cell>
          <cell r="AC118">
            <v>28635</v>
          </cell>
          <cell r="AD118">
            <v>17181</v>
          </cell>
          <cell r="AE118">
            <v>0</v>
          </cell>
          <cell r="AF118">
            <v>800</v>
          </cell>
          <cell r="AG118">
            <v>100</v>
          </cell>
          <cell r="AH118">
            <v>3880</v>
          </cell>
          <cell r="AL118">
            <v>50596</v>
          </cell>
          <cell r="AM118">
            <v>2864</v>
          </cell>
          <cell r="AN118">
            <v>8438</v>
          </cell>
          <cell r="AT118">
            <v>11302</v>
          </cell>
          <cell r="AU118">
            <v>39294</v>
          </cell>
        </row>
        <row r="119">
          <cell r="Z119">
            <v>558</v>
          </cell>
          <cell r="AA119" t="str">
            <v>RAJ KUMAR TANWAR</v>
          </cell>
          <cell r="AB119" t="str">
            <v>007101029822</v>
          </cell>
          <cell r="AC119">
            <v>7045</v>
          </cell>
          <cell r="AD119">
            <v>4227</v>
          </cell>
          <cell r="AE119">
            <v>1057</v>
          </cell>
          <cell r="AF119">
            <v>800</v>
          </cell>
          <cell r="AG119">
            <v>0</v>
          </cell>
          <cell r="AH119">
            <v>0</v>
          </cell>
          <cell r="AL119">
            <v>13129</v>
          </cell>
          <cell r="AM119">
            <v>705</v>
          </cell>
          <cell r="AN119">
            <v>0</v>
          </cell>
          <cell r="AT119">
            <v>705</v>
          </cell>
          <cell r="AU119">
            <v>12424</v>
          </cell>
        </row>
        <row r="120">
          <cell r="Z120">
            <v>559</v>
          </cell>
          <cell r="AA120" t="str">
            <v>SACHIN AGGARWAL</v>
          </cell>
          <cell r="AB120" t="str">
            <v>007101514282</v>
          </cell>
          <cell r="AC120">
            <v>9650</v>
          </cell>
          <cell r="AD120">
            <v>5790</v>
          </cell>
          <cell r="AE120">
            <v>1448</v>
          </cell>
          <cell r="AF120">
            <v>800</v>
          </cell>
          <cell r="AG120">
            <v>100</v>
          </cell>
          <cell r="AH120">
            <v>0</v>
          </cell>
          <cell r="AL120">
            <v>17788</v>
          </cell>
          <cell r="AM120">
            <v>965</v>
          </cell>
          <cell r="AN120">
            <v>0</v>
          </cell>
          <cell r="AT120">
            <v>965</v>
          </cell>
          <cell r="AU120">
            <v>16823</v>
          </cell>
        </row>
        <row r="121">
          <cell r="Z121">
            <v>560</v>
          </cell>
          <cell r="AA121" t="str">
            <v>KUMAR PRAVEEN</v>
          </cell>
          <cell r="AB121" t="str">
            <v>007101514312</v>
          </cell>
          <cell r="AC121">
            <v>11725</v>
          </cell>
          <cell r="AD121">
            <v>7035</v>
          </cell>
          <cell r="AE121">
            <v>1759</v>
          </cell>
          <cell r="AF121">
            <v>800</v>
          </cell>
          <cell r="AG121">
            <v>100</v>
          </cell>
          <cell r="AH121">
            <v>0</v>
          </cell>
          <cell r="AL121">
            <v>21419</v>
          </cell>
          <cell r="AM121">
            <v>1173</v>
          </cell>
          <cell r="AN121">
            <v>0</v>
          </cell>
          <cell r="AT121">
            <v>1173</v>
          </cell>
          <cell r="AU121">
            <v>20246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structions"/>
      <sheetName val="F1.1"/>
      <sheetName val="F1.2"/>
      <sheetName val="F2.1"/>
      <sheetName val="F2.2"/>
      <sheetName val="F3"/>
      <sheetName val="F4.1"/>
      <sheetName val="F4.2"/>
      <sheetName val="F5"/>
      <sheetName val="F6.1"/>
      <sheetName val="F6.2"/>
      <sheetName val="F7.1-7.2"/>
      <sheetName val="F7.3"/>
      <sheetName val="F8"/>
      <sheetName val="F9.1"/>
      <sheetName val="F9.2"/>
      <sheetName val="F9.3"/>
      <sheetName val="F9.4"/>
      <sheetName val="F9.5"/>
      <sheetName val="F9.6"/>
      <sheetName val="F9.7"/>
      <sheetName val="F9.8"/>
      <sheetName val="F9.9"/>
      <sheetName val="F9.10"/>
      <sheetName val="F9.11"/>
      <sheetName val="F9.12"/>
      <sheetName val="F9.13"/>
      <sheetName val="F9.14"/>
      <sheetName val="F9.15"/>
      <sheetName val="F9.16"/>
      <sheetName val="F9.17"/>
      <sheetName val="F10"/>
      <sheetName val="F11.1"/>
      <sheetName val="F11.2A-B"/>
      <sheetName val="F12"/>
      <sheetName val="F13"/>
      <sheetName val="F14"/>
      <sheetName val="F15"/>
      <sheetName val="F16"/>
      <sheetName val="F17.1"/>
      <sheetName val="F17.2"/>
      <sheetName val="F18.1"/>
      <sheetName val="F18.2"/>
      <sheetName val="F19"/>
      <sheetName val="F20"/>
      <sheetName val="F21"/>
      <sheetName val="F22"/>
      <sheetName val="F23"/>
      <sheetName val="F24"/>
      <sheetName val="F25"/>
      <sheetName val="F26"/>
      <sheetName val="F27"/>
      <sheetName val="F28.1"/>
      <sheetName val="F28.2"/>
      <sheetName val="F29"/>
      <sheetName val="F30"/>
      <sheetName val="F 31 Product Groups"/>
      <sheetName val="F 32 Cons. Kabi rel. parties"/>
      <sheetName val="F 33 Non-cons. Kabi rel. part."/>
      <sheetName val="F 34 Other Fres. group comp."/>
      <sheetName val="F 35 Currency code"/>
      <sheetName val="IC gains"/>
      <sheetName val="Upload 1"/>
      <sheetName val="Upload 2"/>
      <sheetName val="sapactivexlhidden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SERV"/>
      <sheetName val="AE SERVICE"/>
      <sheetName val="START TS"/>
      <sheetName val="AE TS"/>
      <sheetName val="AE SP"/>
      <sheetName val="Ums SERV"/>
      <sheetName val="START SP"/>
      <sheetName val="Ums TS"/>
      <sheetName val="Ums SP"/>
    </sheetNames>
    <sheetDataSet>
      <sheetData sheetId="0" refreshError="1">
        <row r="4">
          <cell r="A4">
            <v>38869</v>
          </cell>
        </row>
        <row r="11">
          <cell r="A11" t="str">
            <v>ZB   Service</v>
          </cell>
        </row>
      </sheetData>
      <sheetData sheetId="1"/>
      <sheetData sheetId="2" refreshError="1">
        <row r="11">
          <cell r="A11" t="str">
            <v>ZB   Technical Service</v>
          </cell>
        </row>
      </sheetData>
      <sheetData sheetId="3"/>
      <sheetData sheetId="4"/>
      <sheetData sheetId="5"/>
      <sheetData sheetId="6" refreshError="1">
        <row r="11">
          <cell r="A11" t="str">
            <v>ZB   Spare Parts</v>
          </cell>
        </row>
      </sheetData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35 calc"/>
      <sheetName val="8035--CALCUL"/>
      <sheetName val="8002"/>
      <sheetName val="8015"/>
      <sheetName val="8003"/>
      <sheetName val="8004"/>
      <sheetName val="8016"/>
      <sheetName val="8025 (2)"/>
      <sheetName val="8033"/>
      <sheetName val="8040"/>
      <sheetName val="8035"/>
      <sheetName val="8022"/>
      <sheetName val="8021"/>
      <sheetName val="8011"/>
      <sheetName val="cash pledge"/>
      <sheetName val="daily transactions"/>
      <sheetName val="DAILY DOWNLOAD"/>
      <sheetName val="8001"/>
      <sheetName val="8025"/>
      <sheetName val="8027 CALCUL"/>
      <sheetName val="8023 CALCUL"/>
      <sheetName val="8011 CALCULATION"/>
      <sheetName val="8017"/>
      <sheetName val="pl adjustments"/>
      <sheetName val="PL RAW DATA"/>
      <sheetName val="25% TESTING"/>
      <sheetName val="BS"/>
      <sheetName val="PL"/>
      <sheetName val="INT MARGIN"/>
      <sheetName val="BS MATURITY"/>
      <sheetName val="fixed costs"/>
      <sheetName val="C-CASHFLOW"/>
      <sheetName val="fx rates"/>
      <sheetName val="SWAPS"/>
      <sheetName val="transaction types"/>
      <sheetName val="CUSTOMERS"/>
      <sheetName val="COMISSIONS"/>
      <sheetName val="FIXED ASSETS"/>
      <sheetName val="MONTH END ADJUSTMENTS "/>
      <sheetName val="Sheet 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B"/>
      <sheetName val="Inhalt"/>
      <sheetName val="Eckdaten"/>
      <sheetName val="LOI's"/>
      <sheetName val="heiße Projekte "/>
      <sheetName val="verlorene"/>
      <sheetName val="AE"/>
      <sheetName val="Umsatz"/>
      <sheetName val="Bestand"/>
      <sheetName val="Personal"/>
      <sheetName val="Konstruktion"/>
      <sheetName val="GuV Ges"/>
      <sheetName val="GuV Div"/>
      <sheetName val="GuV E&amp;A"/>
      <sheetName val="GuV ET"/>
      <sheetName val="A2Sta"/>
      <sheetName val="A2 Str"/>
    </sheetNames>
    <sheetDataSet>
      <sheetData sheetId="0" refreshError="1">
        <row r="11">
          <cell r="A11" t="str">
            <v>Division: Steel/Continuous Casters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Warnings"/>
      <sheetName val="Comment"/>
      <sheetName val="FinKey"/>
      <sheetName val="Sales Planning"/>
      <sheetName val="Assumption"/>
      <sheetName val="OI PG"/>
      <sheetName val="Input1"/>
      <sheetName val="Input2"/>
      <sheetName val="ProdTot"/>
      <sheetName val="P&amp;L"/>
      <sheetName val="P&amp;L II"/>
      <sheetName val="Exp"/>
      <sheetName val="NonOp"/>
      <sheetName val="VarAct-FC II (GKV)"/>
      <sheetName val="VarFC II-Plan (GKV)"/>
      <sheetName val="VarPlan-Aim (GKV)"/>
      <sheetName val="calcu. P&amp;L"/>
      <sheetName val="Pers"/>
      <sheetName val="Ass"/>
      <sheetName val="LiabEq"/>
      <sheetName val="AssAct"/>
      <sheetName val="Accruals"/>
      <sheetName val="CCC"/>
      <sheetName val="CE"/>
      <sheetName val="FinPlan"/>
      <sheetName val="AdBud"/>
      <sheetName val="Budget total"/>
      <sheetName val="List tangible"/>
      <sheetName val="Budget tangible"/>
      <sheetName val="List intangible"/>
      <sheetName val="Budget intangible"/>
      <sheetName val="R&amp;D"/>
      <sheetName val="Translation2005"/>
      <sheetName val="Translation"/>
      <sheetName val="Comp."/>
      <sheetName val="Comp.-Database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mmentary"/>
      <sheetName val="PLUNIT5"/>
      <sheetName val="BUDGET"/>
      <sheetName val="INCOME"/>
      <sheetName val="EXPENSES"/>
      <sheetName val="INTEREST"/>
      <sheetName val="BALANCESHEET"/>
      <sheetName val="FIXEDASSETS"/>
      <sheetName val="FINANCE PLAN"/>
      <sheetName val="Personnel"/>
      <sheetName val="IFRS"/>
      <sheetName val="ADJ"/>
      <sheetName val="REC"/>
      <sheetName val="BF"/>
      <sheetName val="REV"/>
      <sheetName val="TB"/>
    </sheetNames>
    <sheetDataSet>
      <sheetData sheetId="0">
        <row r="6">
          <cell r="I6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Deckblatt"/>
      <sheetName val="Inhalt"/>
      <sheetName val="Zusammenfassung"/>
      <sheetName val="Eckdaten"/>
      <sheetName val="LOI"/>
      <sheetName val="Projektvolumen"/>
      <sheetName val="Trefferquote verlorene Projekte"/>
      <sheetName val="AE"/>
      <sheetName val="UM"/>
      <sheetName val="AB"/>
      <sheetName val="MI"/>
      <sheetName val="Auslastung Konstruktion"/>
      <sheetName val="Auslastung Fertigung"/>
      <sheetName val="Ergebnis"/>
      <sheetName val="Ergebnis EU"/>
      <sheetName val="Ergebnis SpA"/>
      <sheetName val="Ergebnis Inc"/>
      <sheetName val="Ergebnisanalyse"/>
      <sheetName val="Ergebnisanalyse D"/>
      <sheetName val="Ergebnisanalyse USA"/>
      <sheetName val="Ergebnisanalyse I"/>
      <sheetName val="Bilanz"/>
      <sheetName val="LI"/>
      <sheetName val="Finanzkennzahlen PuS"/>
      <sheetName val="Finanzkennzahlen D"/>
      <sheetName val="Finanzkennzahlen USA"/>
      <sheetName val="Finanzkennzahlen I"/>
      <sheetName val="AE (2)"/>
      <sheetName val="Chancen.Risiken"/>
      <sheetName val="(Definitionen)"/>
    </sheetNames>
    <sheetDataSet>
      <sheetData sheetId="0" refreshError="1">
        <row r="9">
          <cell r="D9">
            <v>38077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PORT(OUT)"/>
      <sheetName val="PORT"/>
      <sheetName val="RRM"/>
      <sheetName val="YATIRIM"/>
      <sheetName val="SERBEST"/>
      <sheetName val="MİLYAR"/>
      <sheetName val="Gate P"/>
      <sheetName val="Gate IRR"/>
      <sheetName val="YATIRIM12"/>
      <sheetName val="YATIRIM12 ICVERIM"/>
      <sheetName val="SERBEST12"/>
      <sheetName val="SERBEST12 IC VER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H3">
            <v>24864</v>
          </cell>
        </row>
        <row r="4">
          <cell r="H4">
            <v>27393</v>
          </cell>
        </row>
        <row r="5">
          <cell r="H5">
            <v>27549</v>
          </cell>
        </row>
        <row r="6">
          <cell r="H6">
            <v>27658</v>
          </cell>
        </row>
        <row r="7">
          <cell r="H7">
            <v>27897</v>
          </cell>
        </row>
        <row r="8">
          <cell r="H8">
            <v>28196</v>
          </cell>
        </row>
        <row r="9">
          <cell r="H9">
            <v>28294</v>
          </cell>
        </row>
        <row r="10">
          <cell r="H10">
            <v>28548</v>
          </cell>
        </row>
        <row r="11">
          <cell r="H11">
            <v>28826</v>
          </cell>
        </row>
        <row r="12">
          <cell r="H12">
            <v>28961</v>
          </cell>
        </row>
        <row r="13">
          <cell r="H13">
            <v>29111</v>
          </cell>
        </row>
        <row r="14">
          <cell r="H14">
            <v>29124</v>
          </cell>
        </row>
        <row r="15">
          <cell r="H15">
            <v>29797</v>
          </cell>
        </row>
        <row r="16">
          <cell r="H16">
            <v>30062</v>
          </cell>
        </row>
        <row r="17">
          <cell r="H17">
            <v>30069</v>
          </cell>
        </row>
        <row r="18">
          <cell r="H18">
            <v>30277</v>
          </cell>
        </row>
        <row r="19">
          <cell r="H19">
            <v>30278</v>
          </cell>
        </row>
        <row r="20">
          <cell r="H20">
            <v>30408</v>
          </cell>
        </row>
        <row r="21">
          <cell r="H21">
            <v>30472</v>
          </cell>
        </row>
        <row r="22">
          <cell r="H22">
            <v>30543</v>
          </cell>
        </row>
        <row r="23">
          <cell r="H23">
            <v>30560</v>
          </cell>
        </row>
        <row r="24">
          <cell r="H24">
            <v>30570</v>
          </cell>
        </row>
        <row r="25">
          <cell r="H25">
            <v>30605</v>
          </cell>
        </row>
        <row r="26">
          <cell r="H26">
            <v>30629</v>
          </cell>
        </row>
        <row r="27">
          <cell r="H27">
            <v>30641</v>
          </cell>
        </row>
        <row r="28">
          <cell r="H28">
            <v>30672</v>
          </cell>
        </row>
        <row r="29">
          <cell r="H29">
            <v>30802</v>
          </cell>
        </row>
        <row r="30">
          <cell r="H30">
            <v>30808</v>
          </cell>
        </row>
        <row r="31">
          <cell r="H31">
            <v>30813</v>
          </cell>
        </row>
        <row r="32">
          <cell r="H32">
            <v>30861</v>
          </cell>
        </row>
        <row r="33">
          <cell r="H33">
            <v>30866</v>
          </cell>
        </row>
        <row r="34">
          <cell r="H34">
            <v>30874</v>
          </cell>
        </row>
        <row r="35">
          <cell r="H35">
            <v>30879</v>
          </cell>
        </row>
        <row r="36">
          <cell r="H36">
            <v>30894</v>
          </cell>
        </row>
        <row r="37">
          <cell r="H37">
            <v>30919</v>
          </cell>
        </row>
        <row r="38">
          <cell r="H38">
            <v>30920</v>
          </cell>
        </row>
        <row r="39">
          <cell r="H39">
            <v>30922</v>
          </cell>
        </row>
        <row r="40">
          <cell r="H40">
            <v>30923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brication"/>
      <sheetName val="Machining"/>
      <sheetName val="Assembly"/>
      <sheetName val="IRON MAKING"/>
      <sheetName val="Sheet1"/>
      <sheetName val="TS"/>
      <sheetName val="NPK"/>
      <sheetName val="SUMMARY-MFG"/>
      <sheetName val="FAB"/>
      <sheetName val="Mach"/>
      <sheetName val="Assy"/>
      <sheetName val="Tabelle1"/>
      <sheetName val="Plan Vs Actua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>
            <v>1644.9463688092731</v>
          </cell>
        </row>
        <row r="9">
          <cell r="D9">
            <v>51778.144931506853</v>
          </cell>
        </row>
        <row r="11">
          <cell r="D11">
            <v>9028.7311876712338</v>
          </cell>
        </row>
        <row r="16">
          <cell r="D16">
            <v>5604.3328767123257</v>
          </cell>
        </row>
        <row r="18">
          <cell r="D18">
            <v>2340.1581336986296</v>
          </cell>
        </row>
        <row r="19">
          <cell r="D19">
            <v>2522.4708493150683</v>
          </cell>
        </row>
      </sheetData>
      <sheetData sheetId="7">
        <row r="6">
          <cell r="D6">
            <v>52535</v>
          </cell>
          <cell r="E6">
            <v>52485</v>
          </cell>
        </row>
        <row r="12">
          <cell r="D12">
            <v>8947</v>
          </cell>
          <cell r="E12">
            <v>9129</v>
          </cell>
        </row>
        <row r="20">
          <cell r="D20">
            <v>5686</v>
          </cell>
          <cell r="E20">
            <v>5630</v>
          </cell>
        </row>
        <row r="22">
          <cell r="D22">
            <v>1600</v>
          </cell>
          <cell r="E22">
            <v>1500</v>
          </cell>
        </row>
        <row r="23">
          <cell r="D23">
            <v>1300</v>
          </cell>
          <cell r="E23">
            <v>1300</v>
          </cell>
        </row>
        <row r="36">
          <cell r="D36">
            <v>50107.882191780824</v>
          </cell>
          <cell r="E36">
            <v>51778.144931506853</v>
          </cell>
        </row>
        <row r="38">
          <cell r="D38">
            <v>8737.4817945205486</v>
          </cell>
          <cell r="E38">
            <v>9028.7311876712338</v>
          </cell>
        </row>
        <row r="43">
          <cell r="D43">
            <v>5423.547945205476</v>
          </cell>
          <cell r="E43">
            <v>5604.3328767123257</v>
          </cell>
        </row>
        <row r="45">
          <cell r="D45">
            <v>2340.1581336986296</v>
          </cell>
          <cell r="E45">
            <v>2264.6691616438352</v>
          </cell>
        </row>
        <row r="46">
          <cell r="D46">
            <v>2522.4708493150683</v>
          </cell>
          <cell r="E46">
            <v>2441.1008219178079</v>
          </cell>
        </row>
        <row r="51">
          <cell r="D51">
            <v>10.646000000000001</v>
          </cell>
          <cell r="E51">
            <v>8.49</v>
          </cell>
        </row>
        <row r="53">
          <cell r="D53">
            <v>11.57</v>
          </cell>
          <cell r="E53">
            <v>11.779</v>
          </cell>
        </row>
      </sheetData>
      <sheetData sheetId="8">
        <row r="3">
          <cell r="A3" t="str">
            <v>Row Labels</v>
          </cell>
        </row>
      </sheetData>
      <sheetData sheetId="9"/>
      <sheetData sheetId="10">
        <row r="3">
          <cell r="A3" t="str">
            <v>Row Labels</v>
          </cell>
        </row>
      </sheetData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era, Swetarani (SMS India Pvt. Ltd.)" refreshedDate="46225.485251736114" createdVersion="8" refreshedVersion="8" minRefreshableVersion="3" recordCount="212" xr:uid="{CD6A1A09-7F81-4E6D-B65D-D0AF5483F638}">
  <cacheSource type="worksheet">
    <worksheetSource ref="AE2:AR214" sheet="SCB-CP"/>
  </cacheSource>
  <cacheFields count="14">
    <cacheField name="Order" numFmtId="0">
      <sharedItems containsBlank="1" count="4">
        <s v="Contract"/>
        <s v="OTH"/>
        <s v="Group"/>
        <m/>
      </sharedItems>
    </cacheField>
    <cacheField name="Category" numFmtId="0">
      <sharedItems containsBlank="1"/>
    </cacheField>
    <cacheField name="Jun/26" numFmtId="0">
      <sharedItems containsString="0" containsBlank="1" containsNumber="1" minValue="24" maxValue="49831.25"/>
    </cacheField>
    <cacheField name="Jul/26" numFmtId="0">
      <sharedItems containsString="0" containsBlank="1" containsNumber="1" minValue="40" maxValue="49026.75"/>
    </cacheField>
    <cacheField name="Aug/26" numFmtId="0">
      <sharedItems containsString="0" containsBlank="1" containsNumber="1" minValue="25" maxValue="47313.75"/>
    </cacheField>
    <cacheField name="Sep/26" numFmtId="0">
      <sharedItems containsString="0" containsBlank="1" containsNumber="1" minValue="26" maxValue="44617.75"/>
    </cacheField>
    <cacheField name="Oct/26" numFmtId="0">
      <sharedItems containsString="0" containsBlank="1" containsNumber="1" minValue="127" maxValue="44183.5"/>
    </cacheField>
    <cacheField name="Nov/26" numFmtId="0">
      <sharedItems containsString="0" containsBlank="1" containsNumber="1" minValue="300" maxValue="41776.5"/>
    </cacheField>
    <cacheField name="Dec/26" numFmtId="0">
      <sharedItems containsString="0" containsBlank="1" containsNumber="1" containsInteger="1" minValue="300" maxValue="24975"/>
    </cacheField>
    <cacheField name="Jan/27" numFmtId="0">
      <sharedItems containsString="0" containsBlank="1" containsNumber="1" containsInteger="1" minValue="300" maxValue="20989"/>
    </cacheField>
    <cacheField name="Feb/27" numFmtId="0">
      <sharedItems containsString="0" containsBlank="1" containsNumber="1" containsInteger="1" minValue="100" maxValue="9300"/>
    </cacheField>
    <cacheField name="Mar/27" numFmtId="0">
      <sharedItems containsString="0" containsBlank="1" containsNumber="1" containsInteger="1" minValue="300" maxValue="6550"/>
    </cacheField>
    <cacheField name="Apr/27" numFmtId="0">
      <sharedItems containsString="0" containsBlank="1" containsNumber="1" containsInteger="1" minValue="300" maxValue="4050"/>
    </cacheField>
    <cacheField name="May/27" numFmtId="0">
      <sharedItems containsString="0" containsBlank="1" containsNumber="1" containsInteger="1" minValue="300" maxValue="4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era, Swetarani (SMS India Pvt. Ltd.)" refreshedDate="46225.485342824075" createdVersion="8" refreshedVersion="8" minRefreshableVersion="3" recordCount="212" xr:uid="{714383C2-AA52-424D-A463-14F9B72DBD5D}">
  <cacheSource type="worksheet">
    <worksheetSource ref="BX2:CK214" sheet="SCB-CP"/>
  </cacheSource>
  <cacheFields count="14">
    <cacheField name="Order" numFmtId="0">
      <sharedItems containsBlank="1" containsMixedTypes="1" containsNumber="1" containsInteger="1" minValue="50" maxValue="50" count="7">
        <s v="Contract"/>
        <s v="OTH"/>
        <s v="Group"/>
        <m/>
        <s v="TS"/>
        <s v="IRON MAKING"/>
        <n v="50" u="1"/>
      </sharedItems>
    </cacheField>
    <cacheField name="Category" numFmtId="0">
      <sharedItems containsBlank="1"/>
    </cacheField>
    <cacheField name="Jun-26" numFmtId="0">
      <sharedItems containsString="0" containsBlank="1" containsNumber="1" containsInteger="1" minValue="20" maxValue="5418"/>
    </cacheField>
    <cacheField name="Jul-26" numFmtId="0">
      <sharedItems containsString="0" containsBlank="1" containsNumber="1" containsInteger="1" minValue="20" maxValue="5533"/>
    </cacheField>
    <cacheField name="Aug-26" numFmtId="0">
      <sharedItems containsString="0" containsBlank="1" containsNumber="1" containsInteger="1" minValue="20" maxValue="5528"/>
    </cacheField>
    <cacheField name="Sep-26" numFmtId="0">
      <sharedItems containsString="0" containsBlank="1" containsNumber="1" containsInteger="1" minValue="50" maxValue="5604"/>
    </cacheField>
    <cacheField name="Oct-26" numFmtId="0">
      <sharedItems containsString="0" containsBlank="1" containsNumber="1" containsInteger="1" minValue="40" maxValue="5532"/>
    </cacheField>
    <cacheField name="Nov-26" numFmtId="0">
      <sharedItems containsString="0" containsBlank="1" containsNumber="1" containsInteger="1" minValue="15" maxValue="4775"/>
    </cacheField>
    <cacheField name="Dec-26" numFmtId="0">
      <sharedItems containsString="0" containsBlank="1" containsNumber="1" containsInteger="1" minValue="50" maxValue="4765"/>
    </cacheField>
    <cacheField name="Jan-27" numFmtId="0">
      <sharedItems containsString="0" containsBlank="1" containsNumber="1" containsInteger="1" minValue="100" maxValue="4160"/>
    </cacheField>
    <cacheField name="Feb-27" numFmtId="0">
      <sharedItems containsString="0" containsBlank="1" containsNumber="1" containsInteger="1" minValue="100" maxValue="2540"/>
    </cacheField>
    <cacheField name="Mar-27" numFmtId="0">
      <sharedItems containsString="0" containsBlank="1" containsNumber="1" containsInteger="1" minValue="100" maxValue="1620"/>
    </cacheField>
    <cacheField name="Apr-27" numFmtId="0">
      <sharedItems containsString="0" containsBlank="1" containsNumber="1" containsInteger="1" minValue="100" maxValue="100"/>
    </cacheField>
    <cacheField name="May-27" numFmtId="0">
      <sharedItems containsString="0" containsBlank="1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era, Swetarani (SMS India Pvt. Ltd.)" refreshedDate="46225.486349999999" createdVersion="8" refreshedVersion="8" minRefreshableVersion="3" recordCount="212" xr:uid="{E9AA826A-9A06-42D7-AB2E-E21A40DC526E}">
  <cacheSource type="worksheet">
    <worksheetSource ref="BI2:BV214" sheet="SCB-CP"/>
  </cacheSource>
  <cacheFields count="14">
    <cacheField name="Order" numFmtId="0">
      <sharedItems containsBlank="1" count="5">
        <s v="Contract"/>
        <s v="OTH"/>
        <s v="Group"/>
        <m/>
        <s v="TS"/>
      </sharedItems>
    </cacheField>
    <cacheField name="Category" numFmtId="0">
      <sharedItems containsBlank="1"/>
    </cacheField>
    <cacheField name="Jun-26" numFmtId="0">
      <sharedItems containsString="0" containsBlank="1" containsNumber="1" containsInteger="1" minValue="5" maxValue="4954"/>
    </cacheField>
    <cacheField name="Jul-26" numFmtId="0">
      <sharedItems containsString="0" containsBlank="1" containsNumber="1" containsInteger="1" minValue="8" maxValue="3299"/>
    </cacheField>
    <cacheField name="Aug-26" numFmtId="0">
      <sharedItems containsString="0" containsBlank="1" containsNumber="1" containsInteger="1" minValue="46" maxValue="4514"/>
    </cacheField>
    <cacheField name="Sep-26" numFmtId="0">
      <sharedItems containsString="0" containsBlank="1" containsNumber="1" containsInteger="1" minValue="8" maxValue="3754"/>
    </cacheField>
    <cacheField name="Oct-26" numFmtId="0">
      <sharedItems containsString="0" containsBlank="1" containsNumber="1" containsInteger="1" minValue="20" maxValue="4599"/>
    </cacheField>
    <cacheField name="Nov-26" numFmtId="0">
      <sharedItems containsString="0" containsBlank="1" containsNumber="1" containsInteger="1" minValue="14" maxValue="3444"/>
    </cacheField>
    <cacheField name="Dec-26" numFmtId="0">
      <sharedItems containsString="0" containsBlank="1" containsNumber="1" containsInteger="1" minValue="100" maxValue="2579"/>
    </cacheField>
    <cacheField name="Jan-27" numFmtId="0">
      <sharedItems containsString="0" containsBlank="1" containsNumber="1" containsInteger="1" minValue="100" maxValue="1971"/>
    </cacheField>
    <cacheField name="Feb-27" numFmtId="0">
      <sharedItems containsString="0" containsBlank="1" containsNumber="1" containsInteger="1" minValue="311" maxValue="1811"/>
    </cacheField>
    <cacheField name="Mar-27" numFmtId="0">
      <sharedItems containsString="0" containsBlank="1" containsNumber="1" containsInteger="1" minValue="1236" maxValue="1236"/>
    </cacheField>
    <cacheField name="Apr-27" numFmtId="0">
      <sharedItems containsString="0" containsBlank="1" containsNumber="1" containsInteger="1" minValue="150" maxValue="2582"/>
    </cacheField>
    <cacheField name="May-27" numFmtId="0">
      <sharedItems containsString="0" containsBlank="1" containsNumber="1" containsInteger="1" minValue="2432" maxValue="24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era, Swetarani (SMS India Pvt. Ltd.)" refreshedDate="46225.486365972225" createdVersion="8" refreshedVersion="8" minRefreshableVersion="3" recordCount="212" xr:uid="{D97AC9D0-FDB5-4071-B6DC-36A2F4B69F39}">
  <cacheSource type="worksheet">
    <worksheetSource ref="AT2:BG214" sheet="SCB-CP"/>
  </cacheSource>
  <cacheFields count="14">
    <cacheField name="Order" numFmtId="0">
      <sharedItems containsBlank="1" count="5">
        <s v="Contract"/>
        <s v="OTH"/>
        <s v="Group"/>
        <m/>
        <s v="TS"/>
      </sharedItems>
    </cacheField>
    <cacheField name="Category" numFmtId="0">
      <sharedItems containsBlank="1"/>
    </cacheField>
    <cacheField name="Jun-26" numFmtId="0">
      <sharedItems containsString="0" containsBlank="1" containsNumber="1" containsInteger="1" minValue="3" maxValue="3521"/>
    </cacheField>
    <cacheField name="Jul-26" numFmtId="0">
      <sharedItems containsString="0" containsBlank="1" containsNumber="1" minValue="10" maxValue="3493.5"/>
    </cacheField>
    <cacheField name="Aug-26" numFmtId="0">
      <sharedItems containsString="0" containsBlank="1" containsNumber="1" containsInteger="1" minValue="10" maxValue="3630"/>
    </cacheField>
    <cacheField name="Sep-26" numFmtId="0">
      <sharedItems containsString="0" containsBlank="1" containsNumber="1" containsInteger="1" minValue="10" maxValue="2786"/>
    </cacheField>
    <cacheField name="Oct-26" numFmtId="0">
      <sharedItems containsString="0" containsBlank="1" containsNumber="1" containsInteger="1" minValue="8" maxValue="3036"/>
    </cacheField>
    <cacheField name="Nov-26" numFmtId="0">
      <sharedItems containsString="0" containsBlank="1" containsNumber="1" containsInteger="1" minValue="10" maxValue="3106"/>
    </cacheField>
    <cacheField name="Dec-26" numFmtId="0">
      <sharedItems containsString="0" containsBlank="1" containsNumber="1" containsInteger="1" minValue="10" maxValue="3177"/>
    </cacheField>
    <cacheField name="Jan-27" numFmtId="0">
      <sharedItems containsString="0" containsBlank="1" containsNumber="1" containsInteger="1" minValue="10" maxValue="2639"/>
    </cacheField>
    <cacheField name="Feb-27" numFmtId="0">
      <sharedItems containsString="0" containsBlank="1" containsNumber="1" containsInteger="1" minValue="150" maxValue="2171"/>
    </cacheField>
    <cacheField name="Mar-27" numFmtId="0">
      <sharedItems containsString="0" containsBlank="1" containsNumber="1" containsInteger="1" minValue="1000" maxValue="1000"/>
    </cacheField>
    <cacheField name="Apr-27" numFmtId="0">
      <sharedItems containsString="0" containsBlank="1" containsNumber="1" containsInteger="1" minValue="1000" maxValue="1000"/>
    </cacheField>
    <cacheField name="May-27" numFmtId="0">
      <sharedItems containsString="0" containsBlank="1" containsNumber="1" containsInteger="1" minValue="1850" maxValue="1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s v="DIRECT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WBS"/>
    <n v="407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n v="200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2173"/>
    <n v="2172"/>
    <n v="2172"/>
    <n v="2172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3253"/>
    <n v="3253"/>
    <n v="3253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1833"/>
    <n v="1832"/>
    <n v="1832"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0"/>
    <s v="DIRECT"/>
    <n v="496.5"/>
    <n v="496.5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300"/>
    <n v="335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n v="1757"/>
    <n v="2500"/>
    <n v="2500"/>
    <n v="2500"/>
    <n v="2500"/>
    <n v="2500"/>
    <n v="2500"/>
    <n v="2500"/>
    <n v="2500"/>
    <n v="2500"/>
    <m/>
    <m/>
  </r>
  <r>
    <x v="0"/>
    <s v="DIRECT"/>
    <m/>
    <m/>
    <m/>
    <m/>
    <m/>
    <m/>
    <m/>
    <m/>
    <m/>
    <m/>
    <m/>
    <m/>
  </r>
  <r>
    <x v="1"/>
    <s v="WBS"/>
    <n v="300"/>
    <n v="300"/>
    <n v="300"/>
    <n v="300"/>
    <n v="300"/>
    <n v="300"/>
    <n v="300"/>
    <n v="300"/>
    <n v="300"/>
    <n v="300"/>
    <n v="300"/>
    <n v="300"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n v="662"/>
    <n v="660"/>
    <n v="660"/>
    <n v="66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n v="1897"/>
    <n v="1896"/>
    <m/>
    <m/>
    <m/>
    <m/>
    <m/>
    <m/>
    <m/>
    <m/>
    <m/>
    <m/>
  </r>
  <r>
    <x v="1"/>
    <s v="WBS"/>
    <n v="200"/>
    <n v="200"/>
    <n v="200"/>
    <n v="200"/>
    <n v="132"/>
    <m/>
    <m/>
    <m/>
    <m/>
    <m/>
    <m/>
    <m/>
  </r>
  <r>
    <x v="1"/>
    <s v="SERVICE"/>
    <n v="472"/>
    <n v="471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n v="300"/>
    <m/>
    <m/>
    <m/>
    <m/>
    <m/>
    <m/>
    <m/>
    <m/>
    <m/>
    <m/>
    <m/>
  </r>
  <r>
    <x v="1"/>
    <s v="SERVICE"/>
    <n v="127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1433.5"/>
    <n v="1433.5"/>
    <m/>
    <m/>
    <m/>
    <m/>
    <m/>
    <m/>
    <m/>
    <m/>
    <m/>
    <m/>
  </r>
  <r>
    <x v="1"/>
    <s v="WBS"/>
    <n v="4437"/>
    <m/>
    <m/>
    <m/>
    <m/>
    <m/>
    <m/>
    <m/>
    <m/>
    <m/>
    <m/>
    <m/>
  </r>
  <r>
    <x v="1"/>
    <s v="WBS"/>
    <n v="776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0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66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n v="10242.5"/>
    <n v="10242.5"/>
    <n v="10242.5"/>
    <n v="10242.5"/>
    <n v="10242.5"/>
    <n v="10242.5"/>
    <m/>
    <m/>
    <m/>
    <m/>
    <m/>
    <m/>
  </r>
  <r>
    <x v="1"/>
    <s v="SERVICE"/>
    <n v="1449"/>
    <n v="1449"/>
    <n v="1449"/>
    <m/>
    <m/>
    <m/>
    <m/>
    <m/>
    <m/>
    <m/>
    <m/>
    <m/>
  </r>
  <r>
    <x v="1"/>
    <s v="SERVICE"/>
    <n v="1261.25"/>
    <n v="1261.25"/>
    <n v="1261.25"/>
    <n v="1261.25"/>
    <m/>
    <m/>
    <m/>
    <m/>
    <m/>
    <m/>
    <m/>
    <m/>
  </r>
  <r>
    <x v="0"/>
    <s v="DIRECT"/>
    <m/>
    <m/>
    <m/>
    <m/>
    <m/>
    <m/>
    <m/>
    <m/>
    <m/>
    <m/>
    <m/>
    <m/>
  </r>
  <r>
    <x v="0"/>
    <s v="DIRECT"/>
    <n v="100"/>
    <n v="72"/>
    <m/>
    <m/>
    <m/>
    <m/>
    <m/>
    <m/>
    <m/>
    <m/>
    <m/>
    <m/>
  </r>
  <r>
    <x v="1"/>
    <s v="SERVICE"/>
    <n v="579"/>
    <n v="578"/>
    <n v="578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24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310"/>
    <n v="310"/>
    <m/>
    <m/>
    <m/>
    <m/>
    <m/>
    <m/>
    <m/>
    <m/>
    <m/>
    <m/>
  </r>
  <r>
    <x v="0"/>
    <s v="DIRECT"/>
    <n v="754"/>
    <n v="753"/>
    <n v="753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297"/>
    <n v="297"/>
    <n v="297"/>
    <n v="297"/>
    <n v="297"/>
    <m/>
    <m/>
    <m/>
    <m/>
    <m/>
    <m/>
    <m/>
  </r>
  <r>
    <x v="1"/>
    <s v="WBS"/>
    <n v="1000"/>
    <n v="633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037"/>
    <n v="1037"/>
    <n v="1036"/>
    <n v="1036"/>
    <m/>
    <m/>
    <m/>
    <m/>
    <m/>
    <m/>
    <m/>
    <m/>
  </r>
  <r>
    <x v="1"/>
    <s v="SERVICE"/>
    <m/>
    <n v="179"/>
    <n v="179"/>
    <m/>
    <m/>
    <m/>
    <m/>
    <m/>
    <m/>
    <m/>
    <m/>
    <m/>
  </r>
  <r>
    <x v="1"/>
    <s v="SERVICE"/>
    <n v="203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n v="862"/>
    <n v="868"/>
    <n v="868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69"/>
    <n v="200"/>
    <n v="200"/>
    <m/>
    <m/>
    <m/>
    <m/>
    <m/>
    <m/>
    <m/>
    <m/>
    <m/>
  </r>
  <r>
    <x v="2"/>
    <s v="DIRECT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n v="25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56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n v="1065"/>
    <n v="1065"/>
    <n v="1065"/>
    <n v="1064"/>
    <n v="1064"/>
    <n v="1064"/>
    <m/>
    <m/>
    <m/>
    <m/>
    <m/>
    <m/>
  </r>
  <r>
    <x v="1"/>
    <s v="SERVICE"/>
    <m/>
    <n v="40"/>
    <m/>
    <m/>
    <m/>
    <m/>
    <m/>
    <m/>
    <m/>
    <m/>
    <m/>
    <m/>
  </r>
  <r>
    <x v="1"/>
    <s v="SERVICE"/>
    <m/>
    <n v="40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n v="25"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n v="42"/>
    <m/>
    <m/>
    <m/>
    <m/>
    <m/>
    <m/>
    <m/>
    <m/>
    <m/>
    <m/>
  </r>
  <r>
    <x v="0"/>
    <s v="DIRECT"/>
    <n v="150"/>
    <n v="207"/>
    <m/>
    <m/>
    <m/>
    <m/>
    <m/>
    <m/>
    <m/>
    <m/>
    <m/>
    <m/>
  </r>
  <r>
    <x v="1"/>
    <s v="SERVICE"/>
    <m/>
    <n v="84"/>
    <m/>
    <m/>
    <m/>
    <m/>
    <m/>
    <m/>
    <m/>
    <m/>
    <m/>
    <m/>
  </r>
  <r>
    <x v="0"/>
    <s v="SERVICE"/>
    <m/>
    <m/>
    <m/>
    <m/>
    <m/>
    <m/>
    <m/>
    <m/>
    <m/>
    <m/>
    <m/>
    <m/>
  </r>
  <r>
    <x v="0"/>
    <s v="SERVICE"/>
    <m/>
    <m/>
    <m/>
    <m/>
    <m/>
    <m/>
    <m/>
    <m/>
    <m/>
    <m/>
    <m/>
    <m/>
  </r>
  <r>
    <x v="1"/>
    <s v="SERVICE"/>
    <n v="764"/>
    <n v="764"/>
    <n v="382"/>
    <n v="382"/>
    <m/>
    <m/>
    <m/>
    <m/>
    <m/>
    <m/>
    <m/>
    <m/>
  </r>
  <r>
    <x v="0"/>
    <s v="DIRECT"/>
    <m/>
    <n v="1069"/>
    <n v="1069"/>
    <n v="1069"/>
    <n v="1068"/>
    <m/>
    <m/>
    <m/>
    <m/>
    <m/>
    <m/>
    <m/>
  </r>
  <r>
    <x v="0"/>
    <s v="DIRECT"/>
    <n v="975"/>
    <m/>
    <m/>
    <m/>
    <m/>
    <m/>
    <m/>
    <m/>
    <m/>
    <m/>
    <m/>
    <m/>
  </r>
  <r>
    <x v="1"/>
    <s v="SERVICE"/>
    <n v="955"/>
    <m/>
    <m/>
    <m/>
    <m/>
    <m/>
    <m/>
    <m/>
    <m/>
    <m/>
    <m/>
    <m/>
  </r>
  <r>
    <x v="2"/>
    <s v="DIRECT"/>
    <n v="3431"/>
    <n v="3431"/>
    <n v="3431"/>
    <n v="3431"/>
    <n v="3430"/>
    <n v="3430"/>
    <n v="3430"/>
    <m/>
    <m/>
    <m/>
    <m/>
    <m/>
  </r>
  <r>
    <x v="1"/>
    <s v="SERVICE"/>
    <n v="420"/>
    <n v="340"/>
    <n v="340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n v="700"/>
    <n v="728"/>
    <m/>
    <m/>
    <m/>
    <m/>
    <m/>
    <m/>
    <m/>
    <m/>
  </r>
  <r>
    <x v="1"/>
    <s v="WBS"/>
    <m/>
    <n v="200"/>
    <n v="300"/>
    <n v="400"/>
    <n v="155"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n v="800"/>
    <n v="1200"/>
    <n v="1000"/>
    <n v="2010"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n v="200"/>
    <n v="300"/>
    <n v="500"/>
    <n v="870"/>
    <m/>
    <m/>
    <m/>
    <m/>
    <m/>
    <m/>
    <m/>
  </r>
  <r>
    <x v="1"/>
    <s v="WBS"/>
    <m/>
    <m/>
    <n v="500"/>
    <n v="500"/>
    <n v="1000"/>
    <n v="2470"/>
    <n v="2200"/>
    <n v="3000"/>
    <m/>
    <m/>
    <m/>
    <m/>
  </r>
  <r>
    <x v="1"/>
    <s v="WBS"/>
    <m/>
    <m/>
    <m/>
    <n v="500"/>
    <n v="500"/>
    <n v="900"/>
    <n v="3570"/>
    <n v="2200"/>
    <n v="2000"/>
    <m/>
    <m/>
    <m/>
  </r>
  <r>
    <x v="1"/>
    <s v="SERVICE"/>
    <n v="361.5"/>
    <m/>
    <m/>
    <m/>
    <m/>
    <m/>
    <m/>
    <m/>
    <m/>
    <m/>
    <m/>
    <m/>
  </r>
  <r>
    <x v="1"/>
    <s v="SERVICE"/>
    <m/>
    <n v="524"/>
    <n v="524"/>
    <n v="524"/>
    <m/>
    <m/>
    <m/>
    <m/>
    <m/>
    <m/>
    <m/>
    <m/>
  </r>
  <r>
    <x v="1"/>
    <s v="SERVICE"/>
    <m/>
    <m/>
    <n v="100"/>
    <n v="100"/>
    <n v="500"/>
    <n v="1406"/>
    <m/>
    <m/>
    <m/>
    <m/>
    <m/>
    <m/>
  </r>
  <r>
    <x v="1"/>
    <s v="WBS"/>
    <m/>
    <n v="443"/>
    <n v="443"/>
    <m/>
    <m/>
    <m/>
    <m/>
    <m/>
    <m/>
    <m/>
    <m/>
    <m/>
  </r>
  <r>
    <x v="1"/>
    <s v="WBS"/>
    <m/>
    <m/>
    <m/>
    <n v="1000"/>
    <n v="1000"/>
    <n v="1000"/>
    <n v="1041"/>
    <m/>
    <m/>
    <m/>
    <m/>
    <m/>
  </r>
  <r>
    <x v="1"/>
    <s v="WBS"/>
    <m/>
    <m/>
    <m/>
    <n v="2000"/>
    <n v="2000"/>
    <n v="2000"/>
    <n v="1000"/>
    <n v="2000"/>
    <m/>
    <m/>
    <m/>
    <m/>
  </r>
  <r>
    <x v="1"/>
    <s v="WBS"/>
    <m/>
    <n v="546"/>
    <n v="546"/>
    <n v="545"/>
    <n v="545"/>
    <m/>
    <m/>
    <m/>
    <m/>
    <m/>
    <m/>
    <m/>
  </r>
  <r>
    <x v="3"/>
    <m/>
    <m/>
    <m/>
    <m/>
    <m/>
    <m/>
    <m/>
    <m/>
    <m/>
    <m/>
    <m/>
    <m/>
    <m/>
  </r>
  <r>
    <x v="1"/>
    <s v="WBS"/>
    <n v="900"/>
    <n v="985"/>
    <n v="800"/>
    <n v="1000"/>
    <n v="2871"/>
    <m/>
    <m/>
    <m/>
    <m/>
    <m/>
    <m/>
    <m/>
  </r>
  <r>
    <x v="1"/>
    <s v="WBS"/>
    <m/>
    <m/>
    <n v="565"/>
    <n v="564"/>
    <n v="565"/>
    <n v="565"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600"/>
    <n v="1522"/>
    <n v="1000"/>
    <n v="400"/>
    <n v="940"/>
    <m/>
    <m/>
    <m/>
    <m/>
    <m/>
    <m/>
    <m/>
  </r>
  <r>
    <x v="1"/>
    <s v="SERVICE"/>
    <n v="400"/>
    <n v="900"/>
    <n v="900"/>
    <n v="1901"/>
    <n v="1901"/>
    <n v="2200"/>
    <n v="2200"/>
    <n v="1004"/>
    <m/>
    <m/>
    <m/>
    <m/>
  </r>
  <r>
    <x v="1"/>
    <s v="DIRECT"/>
    <n v="173"/>
    <m/>
    <m/>
    <m/>
    <m/>
    <m/>
    <m/>
    <m/>
    <m/>
    <m/>
    <m/>
    <m/>
  </r>
  <r>
    <x v="1"/>
    <s v="SERVICE"/>
    <n v="187"/>
    <n v="187"/>
    <n v="187"/>
    <n v="186"/>
    <m/>
    <m/>
    <m/>
    <m/>
    <m/>
    <m/>
    <m/>
    <m/>
  </r>
  <r>
    <x v="1"/>
    <s v="WBS"/>
    <m/>
    <n v="600"/>
    <n v="700"/>
    <n v="700"/>
    <n v="570"/>
    <m/>
    <m/>
    <m/>
    <m/>
    <m/>
    <m/>
    <m/>
  </r>
  <r>
    <x v="1"/>
    <s v="WBS"/>
    <m/>
    <n v="517"/>
    <n v="517"/>
    <n v="516"/>
    <n v="516"/>
    <m/>
    <m/>
    <m/>
    <m/>
    <m/>
    <m/>
    <m/>
  </r>
  <r>
    <x v="1"/>
    <s v="WBS"/>
    <m/>
    <n v="128"/>
    <n v="128"/>
    <n v="127"/>
    <n v="127"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n v="284"/>
    <n v="284"/>
    <m/>
    <m/>
    <m/>
    <m/>
    <m/>
    <m/>
    <m/>
    <m/>
  </r>
  <r>
    <x v="1"/>
    <s v="SERVICE"/>
    <m/>
    <m/>
    <n v="128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WBS"/>
    <m/>
    <m/>
    <m/>
    <m/>
    <m/>
    <n v="300"/>
    <n v="300"/>
    <n v="300"/>
    <n v="100"/>
    <m/>
    <m/>
    <m/>
  </r>
  <r>
    <x v="1"/>
    <s v="WBS"/>
    <m/>
    <m/>
    <n v="600"/>
    <n v="600"/>
    <n v="600"/>
    <n v="600"/>
    <n v="600"/>
    <m/>
    <m/>
    <m/>
    <m/>
    <m/>
  </r>
  <r>
    <x v="1"/>
    <s v="WBS"/>
    <m/>
    <m/>
    <m/>
    <m/>
    <m/>
    <n v="300"/>
    <n v="300"/>
    <n v="300"/>
    <n v="200"/>
    <m/>
    <m/>
    <m/>
  </r>
  <r>
    <x v="1"/>
    <s v="WBS"/>
    <m/>
    <m/>
    <n v="500"/>
    <n v="500"/>
    <n v="400"/>
    <n v="400"/>
    <n v="400"/>
    <m/>
    <m/>
    <m/>
    <m/>
    <m/>
  </r>
  <r>
    <x v="1"/>
    <s v="WBS"/>
    <m/>
    <m/>
    <n v="340"/>
    <n v="340"/>
    <n v="340"/>
    <n v="340"/>
    <n v="340"/>
    <m/>
    <m/>
    <m/>
    <m/>
    <m/>
  </r>
  <r>
    <x v="1"/>
    <s v="WBS"/>
    <m/>
    <n v="340"/>
    <n v="340"/>
    <n v="340"/>
    <n v="340"/>
    <n v="340"/>
    <m/>
    <m/>
    <m/>
    <m/>
    <m/>
    <m/>
  </r>
  <r>
    <x v="1"/>
    <s v="WBS"/>
    <m/>
    <m/>
    <n v="340"/>
    <n v="340"/>
    <n v="340"/>
    <n v="340"/>
    <n v="340"/>
    <m/>
    <m/>
    <m/>
    <m/>
    <m/>
  </r>
  <r>
    <x v="1"/>
    <s v="WBS"/>
    <m/>
    <n v="340"/>
    <n v="340"/>
    <n v="340"/>
    <n v="340"/>
    <n v="340"/>
    <m/>
    <m/>
    <m/>
    <m/>
    <m/>
    <m/>
  </r>
  <r>
    <x v="1"/>
    <s v="DIRECT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n v="525"/>
    <n v="525"/>
    <n v="525"/>
    <n v="525"/>
    <m/>
    <m/>
    <m/>
    <m/>
    <m/>
    <m/>
  </r>
  <r>
    <x v="1"/>
    <s v="SERVICE"/>
    <m/>
    <m/>
    <m/>
    <m/>
    <m/>
    <m/>
    <m/>
    <m/>
    <m/>
    <m/>
    <m/>
    <m/>
  </r>
  <r>
    <x v="2"/>
    <s v="DIRECT"/>
    <m/>
    <n v="200"/>
    <n v="200"/>
    <n v="1000"/>
    <n v="5300"/>
    <n v="6300"/>
    <n v="6050"/>
    <n v="8980"/>
    <n v="450"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253"/>
    <n v="253"/>
    <n v="252"/>
    <n v="252"/>
    <m/>
    <m/>
    <m/>
    <m/>
    <m/>
    <m/>
    <m/>
    <m/>
  </r>
  <r>
    <x v="1"/>
    <s v="SERVICE"/>
    <m/>
    <m/>
    <m/>
    <m/>
    <m/>
    <m/>
    <m/>
    <m/>
    <m/>
    <m/>
    <m/>
    <m/>
  </r>
  <r>
    <x v="2"/>
    <s v="WBS"/>
    <m/>
    <m/>
    <m/>
    <n v="405"/>
    <n v="405"/>
    <n v="404"/>
    <n v="404"/>
    <n v="405"/>
    <m/>
    <m/>
    <m/>
    <m/>
  </r>
  <r>
    <x v="1"/>
    <s v="SERVICE"/>
    <m/>
    <m/>
    <m/>
    <n v="26"/>
    <m/>
    <m/>
    <m/>
    <m/>
    <m/>
    <m/>
    <m/>
    <m/>
  </r>
  <r>
    <x v="1"/>
    <s v="SERVICE"/>
    <m/>
    <m/>
    <m/>
    <m/>
    <m/>
    <m/>
    <m/>
    <m/>
    <m/>
    <m/>
    <m/>
    <m/>
  </r>
  <r>
    <x v="2"/>
    <s v="WBS"/>
    <n v="200"/>
    <n v="237"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DIRECT"/>
    <n v="200"/>
    <n v="400"/>
    <n v="362"/>
    <n v="792"/>
    <n v="1500"/>
    <n v="1500"/>
    <m/>
    <m/>
    <m/>
    <m/>
    <m/>
    <m/>
  </r>
  <r>
    <x v="2"/>
    <s v="DIRECT"/>
    <m/>
    <m/>
    <m/>
    <m/>
    <m/>
    <m/>
    <m/>
    <m/>
    <m/>
    <m/>
    <m/>
    <m/>
  </r>
  <r>
    <x v="1"/>
    <s v="DIRECT"/>
    <m/>
    <m/>
    <m/>
    <m/>
    <m/>
    <m/>
    <m/>
    <m/>
    <n v="3750"/>
    <n v="3750"/>
    <n v="3750"/>
    <n v="3750"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n v="49831.25"/>
    <n v="49026.75"/>
    <n v="47313.75"/>
    <n v="44617.75"/>
    <n v="44183.5"/>
    <n v="41776.5"/>
    <n v="24975"/>
    <n v="20989"/>
    <n v="9300"/>
    <n v="6550"/>
    <n v="4050"/>
    <n v="40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s v="DIRECT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n v="1244"/>
    <n v="1244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550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n v="750"/>
    <m/>
    <m/>
    <m/>
    <m/>
    <m/>
    <m/>
    <m/>
    <m/>
    <m/>
    <m/>
    <m/>
  </r>
  <r>
    <x v="1"/>
    <s v="WBS"/>
    <n v="800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n v="70"/>
    <m/>
    <m/>
    <m/>
    <m/>
    <m/>
    <m/>
    <m/>
    <m/>
    <m/>
  </r>
  <r>
    <x v="0"/>
    <s v="DIRECT"/>
    <n v="16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20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610"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0"/>
    <s v="DIRECT"/>
    <m/>
    <m/>
    <m/>
    <m/>
    <n v="300"/>
    <n v="300"/>
    <n v="300"/>
    <n v="300"/>
    <n v="300"/>
    <n v="300"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n v="194"/>
    <m/>
    <m/>
    <m/>
    <m/>
    <m/>
    <m/>
    <m/>
    <m/>
    <m/>
  </r>
  <r>
    <x v="1"/>
    <s v="SERVICE"/>
    <m/>
    <n v="80"/>
    <m/>
    <m/>
    <m/>
    <m/>
    <m/>
    <m/>
    <m/>
    <m/>
    <m/>
    <m/>
  </r>
  <r>
    <x v="1"/>
    <s v="SERVICE"/>
    <m/>
    <n v="280"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n v="30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20"/>
    <n v="20"/>
    <n v="20"/>
    <m/>
    <m/>
    <m/>
    <m/>
    <m/>
    <m/>
    <m/>
    <m/>
    <m/>
  </r>
  <r>
    <x v="1"/>
    <s v="SERVICE"/>
    <m/>
    <m/>
    <m/>
    <n v="6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n v="1020"/>
    <n v="1019"/>
    <m/>
    <m/>
    <m/>
    <m/>
    <m/>
    <m/>
    <m/>
    <m/>
    <m/>
    <m/>
  </r>
  <r>
    <x v="1"/>
    <s v="SERVICE"/>
    <m/>
    <n v="80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n v="100"/>
    <m/>
    <m/>
    <m/>
    <m/>
    <m/>
    <m/>
    <m/>
    <m/>
    <m/>
    <m/>
    <m/>
  </r>
  <r>
    <x v="1"/>
    <s v="SERVICE"/>
    <m/>
    <n v="300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n v="50"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n v="400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n v="5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n v="58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n v="300"/>
    <n v="300"/>
    <m/>
    <m/>
    <m/>
    <m/>
    <m/>
  </r>
  <r>
    <x v="1"/>
    <s v="SERVICE"/>
    <m/>
    <m/>
    <m/>
    <n v="8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n v="400"/>
    <n v="400"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n v="160"/>
    <m/>
    <m/>
    <m/>
    <m/>
    <m/>
    <m/>
    <m/>
    <m/>
  </r>
  <r>
    <x v="2"/>
    <s v="DIRECT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00"/>
    <n v="172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n v="24"/>
    <m/>
    <m/>
    <m/>
    <m/>
    <m/>
    <m/>
    <m/>
    <m/>
    <m/>
    <m/>
  </r>
  <r>
    <x v="1"/>
    <s v="SERVICE"/>
    <m/>
    <n v="24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n v="100"/>
    <m/>
    <m/>
    <m/>
    <m/>
    <m/>
    <m/>
  </r>
  <r>
    <x v="0"/>
    <s v="SERVICE"/>
    <m/>
    <m/>
    <m/>
    <m/>
    <m/>
    <m/>
    <m/>
    <m/>
    <m/>
    <m/>
    <m/>
    <m/>
  </r>
  <r>
    <x v="0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n v="450"/>
    <m/>
    <m/>
    <m/>
    <m/>
    <m/>
    <m/>
    <m/>
  </r>
  <r>
    <x v="1"/>
    <s v="SERVICE"/>
    <m/>
    <m/>
    <m/>
    <n v="8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n v="300"/>
    <m/>
    <m/>
    <m/>
    <m/>
    <m/>
  </r>
  <r>
    <x v="1"/>
    <s v="WBS"/>
    <m/>
    <m/>
    <m/>
    <m/>
    <m/>
    <m/>
    <n v="250"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n v="100"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n v="250"/>
    <m/>
    <m/>
    <m/>
    <m/>
    <m/>
    <m/>
  </r>
  <r>
    <x v="1"/>
    <s v="WBS"/>
    <m/>
    <m/>
    <m/>
    <m/>
    <m/>
    <m/>
    <n v="750"/>
    <n v="750"/>
    <m/>
    <m/>
    <m/>
    <m/>
  </r>
  <r>
    <x v="1"/>
    <s v="WBS"/>
    <m/>
    <m/>
    <m/>
    <m/>
    <m/>
    <m/>
    <m/>
    <n v="750"/>
    <n v="750"/>
    <m/>
    <m/>
    <m/>
  </r>
  <r>
    <x v="1"/>
    <s v="SERVICE"/>
    <n v="45"/>
    <m/>
    <m/>
    <m/>
    <m/>
    <m/>
    <m/>
    <m/>
    <m/>
    <m/>
    <m/>
    <m/>
  </r>
  <r>
    <x v="1"/>
    <s v="SERVICE"/>
    <m/>
    <m/>
    <m/>
    <m/>
    <m/>
    <n v="225"/>
    <n v="225"/>
    <m/>
    <m/>
    <m/>
    <m/>
    <m/>
  </r>
  <r>
    <x v="1"/>
    <s v="SERVICE"/>
    <m/>
    <m/>
    <m/>
    <n v="144"/>
    <m/>
    <m/>
    <m/>
    <m/>
    <m/>
    <m/>
    <m/>
    <m/>
  </r>
  <r>
    <x v="1"/>
    <s v="WBS"/>
    <m/>
    <m/>
    <m/>
    <m/>
    <n v="150"/>
    <m/>
    <m/>
    <m/>
    <m/>
    <m/>
    <m/>
    <m/>
  </r>
  <r>
    <x v="1"/>
    <s v="WBS"/>
    <m/>
    <m/>
    <m/>
    <m/>
    <m/>
    <n v="350"/>
    <n v="350"/>
    <m/>
    <m/>
    <m/>
    <m/>
    <m/>
  </r>
  <r>
    <x v="1"/>
    <s v="WBS"/>
    <m/>
    <m/>
    <m/>
    <m/>
    <m/>
    <m/>
    <m/>
    <n v="280"/>
    <m/>
    <m/>
    <m/>
    <m/>
  </r>
  <r>
    <x v="1"/>
    <s v="WBS"/>
    <m/>
    <m/>
    <m/>
    <m/>
    <m/>
    <n v="400"/>
    <n v="400"/>
    <m/>
    <m/>
    <m/>
    <m/>
    <m/>
  </r>
  <r>
    <x v="3"/>
    <m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n v="150"/>
    <n v="150"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n v="650"/>
    <n v="2000"/>
    <n v="870"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n v="60"/>
    <m/>
    <m/>
    <m/>
    <m/>
    <m/>
    <m/>
  </r>
  <r>
    <x v="1"/>
    <s v="WBS"/>
    <m/>
    <m/>
    <m/>
    <m/>
    <m/>
    <n v="250"/>
    <m/>
    <m/>
    <m/>
    <m/>
    <m/>
    <m/>
  </r>
  <r>
    <x v="1"/>
    <s v="WBS"/>
    <m/>
    <m/>
    <m/>
    <m/>
    <m/>
    <m/>
    <n v="300"/>
    <m/>
    <m/>
    <m/>
    <m/>
    <m/>
  </r>
  <r>
    <x v="1"/>
    <s v="WBS"/>
    <m/>
    <m/>
    <m/>
    <m/>
    <m/>
    <m/>
    <n v="60"/>
    <m/>
    <m/>
    <m/>
    <m/>
    <m/>
  </r>
  <r>
    <x v="1"/>
    <s v="WBS"/>
    <m/>
    <m/>
    <m/>
    <m/>
    <m/>
    <m/>
    <n v="50"/>
    <m/>
    <m/>
    <m/>
    <m/>
    <m/>
  </r>
  <r>
    <x v="1"/>
    <s v="SERVICE"/>
    <n v="103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n v="100"/>
    <m/>
    <m/>
    <m/>
    <m/>
    <m/>
    <m/>
  </r>
  <r>
    <x v="1"/>
    <s v="SERVICE"/>
    <m/>
    <m/>
    <m/>
    <m/>
    <m/>
    <n v="150"/>
    <m/>
    <m/>
    <m/>
    <m/>
    <m/>
    <m/>
  </r>
  <r>
    <x v="1"/>
    <s v="DIRECT"/>
    <m/>
    <m/>
    <m/>
    <m/>
    <m/>
    <m/>
    <m/>
    <m/>
    <m/>
    <m/>
    <m/>
    <m/>
  </r>
  <r>
    <x v="1"/>
    <s v="WBS"/>
    <m/>
    <m/>
    <m/>
    <m/>
    <m/>
    <m/>
    <m/>
    <m/>
    <m/>
    <n v="350"/>
    <m/>
    <m/>
  </r>
  <r>
    <x v="1"/>
    <s v="WBS"/>
    <m/>
    <m/>
    <m/>
    <m/>
    <m/>
    <m/>
    <m/>
    <n v="360"/>
    <n v="360"/>
    <m/>
    <m/>
    <m/>
  </r>
  <r>
    <x v="1"/>
    <s v="WBS"/>
    <m/>
    <m/>
    <m/>
    <m/>
    <m/>
    <m/>
    <m/>
    <m/>
    <m/>
    <n v="350"/>
    <m/>
    <m/>
  </r>
  <r>
    <x v="1"/>
    <s v="WBS"/>
    <m/>
    <m/>
    <m/>
    <m/>
    <m/>
    <m/>
    <n v="280"/>
    <n v="280"/>
    <m/>
    <m/>
    <m/>
    <m/>
  </r>
  <r>
    <x v="1"/>
    <s v="WBS"/>
    <m/>
    <m/>
    <m/>
    <m/>
    <m/>
    <m/>
    <m/>
    <m/>
    <n v="360"/>
    <m/>
    <m/>
    <m/>
  </r>
  <r>
    <x v="1"/>
    <s v="WBS"/>
    <m/>
    <m/>
    <m/>
    <m/>
    <m/>
    <m/>
    <n v="100"/>
    <n v="260"/>
    <m/>
    <m/>
    <m/>
    <m/>
  </r>
  <r>
    <x v="1"/>
    <s v="WBS"/>
    <m/>
    <m/>
    <m/>
    <m/>
    <m/>
    <m/>
    <m/>
    <m/>
    <m/>
    <n v="360"/>
    <m/>
    <m/>
  </r>
  <r>
    <x v="1"/>
    <s v="WBS"/>
    <m/>
    <m/>
    <m/>
    <m/>
    <m/>
    <m/>
    <n v="100"/>
    <n v="260"/>
    <m/>
    <m/>
    <m/>
    <m/>
  </r>
  <r>
    <x v="1"/>
    <s v="DIRECT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n v="112"/>
    <m/>
    <m/>
    <m/>
    <m/>
    <m/>
    <m/>
    <m/>
  </r>
  <r>
    <x v="1"/>
    <s v="SERVICE"/>
    <m/>
    <m/>
    <m/>
    <m/>
    <m/>
    <n v="15"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n v="50"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n v="20"/>
    <m/>
    <m/>
    <m/>
    <m/>
    <m/>
    <m/>
  </r>
  <r>
    <x v="1"/>
    <s v="SERVICE"/>
    <m/>
    <m/>
    <m/>
    <m/>
    <m/>
    <n v="40"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n v="45"/>
    <m/>
    <m/>
    <m/>
    <m/>
    <m/>
    <m/>
  </r>
  <r>
    <x v="2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40"/>
    <m/>
    <m/>
    <m/>
    <m/>
    <m/>
    <m/>
    <m/>
  </r>
  <r>
    <x v="2"/>
    <s v="WBS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DIRECT"/>
    <m/>
    <m/>
    <m/>
    <m/>
    <m/>
    <m/>
    <n v="150"/>
    <n v="150"/>
    <m/>
    <m/>
    <m/>
    <m/>
  </r>
  <r>
    <x v="2"/>
    <s v="DIRECT"/>
    <m/>
    <m/>
    <m/>
    <m/>
    <m/>
    <m/>
    <m/>
    <m/>
    <n v="170"/>
    <n v="160"/>
    <m/>
    <m/>
  </r>
  <r>
    <x v="1"/>
    <s v="DIRECT"/>
    <m/>
    <m/>
    <m/>
    <m/>
    <m/>
    <m/>
    <m/>
    <m/>
    <m/>
    <m/>
    <m/>
    <m/>
  </r>
  <r>
    <x v="4"/>
    <m/>
    <n v="30"/>
    <n v="40"/>
    <n v="250"/>
    <n v="300"/>
    <n v="280"/>
    <n v="200"/>
    <n v="200"/>
    <n v="100"/>
    <n v="100"/>
    <n v="100"/>
    <n v="100"/>
    <n v="100"/>
  </r>
  <r>
    <x v="5"/>
    <m/>
    <n v="900"/>
    <n v="2200"/>
    <n v="3350"/>
    <n v="3500"/>
    <n v="2200"/>
    <n v="500"/>
    <m/>
    <n v="670"/>
    <n v="500"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n v="5418"/>
    <n v="5533"/>
    <n v="5528"/>
    <n v="5604"/>
    <n v="5532"/>
    <n v="4775"/>
    <n v="4765"/>
    <n v="4160"/>
    <n v="2540"/>
    <n v="1620"/>
    <n v="100"/>
    <n v="1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s v="DIRECT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3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0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53"/>
    <m/>
    <m/>
    <m/>
    <m/>
    <m/>
    <m/>
    <m/>
    <m/>
    <m/>
    <m/>
    <m/>
  </r>
  <r>
    <x v="1"/>
    <s v="WBS"/>
    <n v="539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n v="100"/>
    <n v="100"/>
    <n v="100"/>
    <n v="100"/>
    <n v="100"/>
    <n v="100"/>
    <m/>
    <m/>
    <m/>
    <m/>
  </r>
  <r>
    <x v="0"/>
    <s v="DIRECT"/>
    <m/>
    <m/>
    <m/>
    <m/>
    <m/>
    <m/>
    <m/>
    <m/>
    <m/>
    <m/>
    <m/>
    <m/>
  </r>
  <r>
    <x v="1"/>
    <s v="WBS"/>
    <n v="350"/>
    <n v="350"/>
    <n v="350"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n v="140"/>
    <m/>
    <m/>
    <m/>
    <m/>
    <m/>
    <m/>
    <m/>
    <m/>
    <m/>
  </r>
  <r>
    <x v="1"/>
    <s v="SERVICE"/>
    <n v="21"/>
    <m/>
    <m/>
    <m/>
    <m/>
    <m/>
    <m/>
    <m/>
    <m/>
    <m/>
    <m/>
    <m/>
  </r>
  <r>
    <x v="1"/>
    <s v="SERVICE"/>
    <n v="100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n v="60"/>
    <n v="60"/>
    <m/>
    <m/>
    <m/>
    <m/>
    <m/>
    <m/>
    <m/>
    <m/>
  </r>
  <r>
    <x v="1"/>
    <s v="WBS"/>
    <n v="250"/>
    <n v="250"/>
    <n v="250"/>
    <n v="250"/>
    <n v="165"/>
    <m/>
    <m/>
    <m/>
    <m/>
    <m/>
    <m/>
    <m/>
  </r>
  <r>
    <x v="1"/>
    <s v="SERVICE"/>
    <n v="5"/>
    <m/>
    <m/>
    <m/>
    <m/>
    <m/>
    <m/>
    <m/>
    <m/>
    <m/>
    <m/>
    <m/>
  </r>
  <r>
    <x v="1"/>
    <s v="SERVICE"/>
    <n v="65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n v="445"/>
    <n v="443"/>
    <m/>
    <m/>
    <m/>
    <m/>
    <m/>
    <m/>
    <m/>
    <m/>
    <m/>
    <m/>
  </r>
  <r>
    <x v="1"/>
    <s v="SERVICE"/>
    <n v="103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62"/>
    <m/>
    <m/>
    <m/>
    <m/>
    <m/>
    <m/>
    <m/>
    <m/>
    <m/>
    <m/>
    <m/>
  </r>
  <r>
    <x v="1"/>
    <s v="WBS"/>
    <n v="165"/>
    <m/>
    <m/>
    <m/>
    <m/>
    <m/>
    <m/>
    <m/>
    <m/>
    <m/>
    <m/>
    <m/>
  </r>
  <r>
    <x v="1"/>
    <s v="WBS"/>
    <n v="24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n v="46"/>
    <m/>
    <m/>
    <m/>
    <m/>
    <m/>
    <m/>
    <m/>
    <m/>
    <m/>
  </r>
  <r>
    <x v="1"/>
    <s v="SERVICE"/>
    <n v="40"/>
    <n v="100"/>
    <n v="100"/>
    <m/>
    <m/>
    <m/>
    <m/>
    <m/>
    <m/>
    <m/>
    <m/>
    <m/>
  </r>
  <r>
    <x v="0"/>
    <s v="DIRECT"/>
    <m/>
    <m/>
    <m/>
    <m/>
    <m/>
    <m/>
    <m/>
    <m/>
    <m/>
    <m/>
    <m/>
    <m/>
  </r>
  <r>
    <x v="0"/>
    <s v="DIRECT"/>
    <m/>
    <n v="255"/>
    <m/>
    <m/>
    <m/>
    <m/>
    <m/>
    <m/>
    <m/>
    <m/>
    <m/>
    <m/>
  </r>
  <r>
    <x v="1"/>
    <s v="SERVICE"/>
    <m/>
    <n v="17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2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n v="46"/>
    <m/>
    <m/>
    <m/>
    <m/>
    <m/>
    <m/>
    <m/>
    <m/>
    <m/>
    <m/>
  </r>
  <r>
    <x v="0"/>
    <s v="DIRECT"/>
    <n v="87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n v="46"/>
    <m/>
    <m/>
    <m/>
    <m/>
    <m/>
    <m/>
    <m/>
    <m/>
  </r>
  <r>
    <x v="1"/>
    <s v="WBS"/>
    <n v="22"/>
    <n v="8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70"/>
    <m/>
    <m/>
    <m/>
    <m/>
    <m/>
    <m/>
    <m/>
  </r>
  <r>
    <x v="1"/>
    <s v="SERVICE"/>
    <m/>
    <m/>
    <n v="120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n v="250"/>
    <n v="250"/>
    <m/>
    <m/>
    <m/>
    <m/>
    <m/>
    <m/>
    <m/>
  </r>
  <r>
    <x v="1"/>
    <s v="SERVICE"/>
    <m/>
    <m/>
    <m/>
    <n v="60"/>
    <n v="100"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32"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n v="20"/>
    <n v="70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n v="32"/>
    <m/>
    <m/>
    <m/>
    <m/>
    <m/>
    <m/>
    <m/>
    <m/>
    <m/>
    <m/>
  </r>
  <r>
    <x v="1"/>
    <s v="SERVICE"/>
    <m/>
    <n v="32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n v="57"/>
    <n v="50"/>
    <n v="50"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SERVICE"/>
    <m/>
    <m/>
    <m/>
    <m/>
    <m/>
    <m/>
    <m/>
    <m/>
    <m/>
    <m/>
    <m/>
    <m/>
  </r>
  <r>
    <x v="0"/>
    <s v="SERVICE"/>
    <m/>
    <m/>
    <m/>
    <m/>
    <m/>
    <m/>
    <m/>
    <m/>
    <m/>
    <m/>
    <m/>
    <m/>
  </r>
  <r>
    <x v="1"/>
    <s v="SERVICE"/>
    <m/>
    <m/>
    <n v="110"/>
    <m/>
    <m/>
    <m/>
    <m/>
    <m/>
    <m/>
    <m/>
    <m/>
    <m/>
  </r>
  <r>
    <x v="0"/>
    <s v="DIRECT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n v="14"/>
    <m/>
    <m/>
    <m/>
    <m/>
    <m/>
    <m/>
    <m/>
    <m/>
    <m/>
    <m/>
    <m/>
  </r>
  <r>
    <x v="2"/>
    <s v="DIRECT"/>
    <m/>
    <m/>
    <n v="100"/>
    <n v="100"/>
    <n v="92"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n v="53"/>
    <n v="52"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n v="75"/>
    <n v="100"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n v="150"/>
    <m/>
    <m/>
    <m/>
    <m/>
    <m/>
    <m/>
    <m/>
  </r>
  <r>
    <x v="1"/>
    <s v="WBS"/>
    <m/>
    <m/>
    <m/>
    <m/>
    <n v="248"/>
    <n v="247"/>
    <m/>
    <m/>
    <m/>
    <m/>
    <m/>
    <m/>
  </r>
  <r>
    <x v="1"/>
    <s v="WBS"/>
    <m/>
    <m/>
    <m/>
    <m/>
    <m/>
    <n v="248"/>
    <n v="247"/>
    <m/>
    <m/>
    <m/>
    <m/>
    <m/>
  </r>
  <r>
    <x v="1"/>
    <s v="SERVICE"/>
    <n v="14"/>
    <m/>
    <m/>
    <m/>
    <m/>
    <m/>
    <m/>
    <m/>
    <m/>
    <m/>
    <m/>
    <m/>
  </r>
  <r>
    <x v="1"/>
    <s v="SERVICE"/>
    <m/>
    <m/>
    <n v="60"/>
    <n v="60"/>
    <m/>
    <m/>
    <m/>
    <m/>
    <m/>
    <m/>
    <m/>
    <m/>
  </r>
  <r>
    <x v="1"/>
    <s v="SERVICE"/>
    <m/>
    <m/>
    <n v="240"/>
    <n v="240"/>
    <m/>
    <m/>
    <m/>
    <m/>
    <m/>
    <m/>
    <m/>
    <m/>
  </r>
  <r>
    <x v="1"/>
    <s v="WBS"/>
    <m/>
    <m/>
    <m/>
    <n v="94"/>
    <m/>
    <m/>
    <m/>
    <m/>
    <m/>
    <m/>
    <m/>
    <m/>
  </r>
  <r>
    <x v="1"/>
    <s v="WBS"/>
    <m/>
    <m/>
    <m/>
    <m/>
    <m/>
    <n v="260"/>
    <n v="260"/>
    <m/>
    <m/>
    <m/>
    <m/>
    <m/>
  </r>
  <r>
    <x v="1"/>
    <s v="WBS"/>
    <m/>
    <m/>
    <m/>
    <m/>
    <m/>
    <n v="100"/>
    <n v="100"/>
    <m/>
    <m/>
    <m/>
    <m/>
    <m/>
  </r>
  <r>
    <x v="1"/>
    <s v="WBS"/>
    <m/>
    <m/>
    <m/>
    <m/>
    <n v="102"/>
    <m/>
    <m/>
    <m/>
    <m/>
    <m/>
    <m/>
    <m/>
  </r>
  <r>
    <x v="3"/>
    <m/>
    <m/>
    <m/>
    <m/>
    <m/>
    <m/>
    <m/>
    <m/>
    <m/>
    <m/>
    <m/>
    <m/>
    <m/>
  </r>
  <r>
    <x v="1"/>
    <s v="WBS"/>
    <m/>
    <n v="96"/>
    <n v="95"/>
    <m/>
    <m/>
    <m/>
    <m/>
    <m/>
    <m/>
    <m/>
    <m/>
    <m/>
  </r>
  <r>
    <x v="1"/>
    <s v="WBS"/>
    <m/>
    <m/>
    <m/>
    <m/>
    <m/>
    <n v="40"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20"/>
    <m/>
    <m/>
    <m/>
    <m/>
    <m/>
    <m/>
    <m/>
  </r>
  <r>
    <x v="1"/>
    <s v="WBS"/>
    <m/>
    <m/>
    <n v="736"/>
    <n v="736"/>
    <n v="736"/>
    <m/>
    <m/>
    <m/>
    <m/>
    <m/>
    <m/>
    <m/>
  </r>
  <r>
    <x v="1"/>
    <s v="SERVICE"/>
    <m/>
    <m/>
    <m/>
    <m/>
    <m/>
    <n v="34"/>
    <m/>
    <m/>
    <m/>
    <m/>
    <m/>
    <m/>
  </r>
  <r>
    <x v="1"/>
    <s v="DIRECT"/>
    <m/>
    <m/>
    <n v="350"/>
    <m/>
    <m/>
    <m/>
    <m/>
    <m/>
    <m/>
    <m/>
    <m/>
    <m/>
  </r>
  <r>
    <x v="1"/>
    <s v="SERVICE"/>
    <m/>
    <m/>
    <m/>
    <m/>
    <n v="40"/>
    <m/>
    <m/>
    <m/>
    <m/>
    <m/>
    <m/>
    <m/>
  </r>
  <r>
    <x v="1"/>
    <s v="WBS"/>
    <m/>
    <m/>
    <m/>
    <m/>
    <n v="150"/>
    <m/>
    <m/>
    <m/>
    <m/>
    <m/>
    <m/>
    <m/>
  </r>
  <r>
    <x v="1"/>
    <s v="WBS"/>
    <m/>
    <m/>
    <m/>
    <m/>
    <n v="190"/>
    <n v="200"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n v="8"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DIRECT"/>
    <m/>
    <m/>
    <m/>
    <n v="100"/>
    <n v="150"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180"/>
    <m/>
    <m/>
    <m/>
    <m/>
    <m/>
    <m/>
    <m/>
  </r>
  <r>
    <x v="1"/>
    <s v="SERVICE"/>
    <m/>
    <m/>
    <m/>
    <m/>
    <m/>
    <m/>
    <m/>
    <m/>
    <m/>
    <m/>
    <m/>
    <m/>
  </r>
  <r>
    <x v="2"/>
    <s v="WBS"/>
    <m/>
    <m/>
    <m/>
    <m/>
    <m/>
    <n v="14"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WBS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DIRECT"/>
    <m/>
    <m/>
    <m/>
    <m/>
    <n v="178"/>
    <n v="177"/>
    <m/>
    <m/>
    <m/>
    <m/>
    <m/>
    <m/>
  </r>
  <r>
    <x v="2"/>
    <s v="DIRECT"/>
    <m/>
    <m/>
    <m/>
    <m/>
    <m/>
    <n v="372"/>
    <n v="372"/>
    <n v="371"/>
    <n v="311"/>
    <m/>
    <m/>
    <m/>
  </r>
  <r>
    <x v="1"/>
    <s v="DIRECT"/>
    <m/>
    <m/>
    <m/>
    <m/>
    <m/>
    <m/>
    <m/>
    <m/>
    <m/>
    <m/>
    <n v="150"/>
    <m/>
  </r>
  <r>
    <x v="4"/>
    <m/>
    <n v="1600"/>
    <n v="1600"/>
    <n v="1600"/>
    <n v="1600"/>
    <n v="1500"/>
    <n v="1500"/>
    <n v="1500"/>
    <n v="1500"/>
    <n v="1500"/>
    <n v="1236"/>
    <n v="2432"/>
    <n v="2432"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n v="4954"/>
    <n v="3299"/>
    <n v="4514"/>
    <n v="3754"/>
    <n v="4599"/>
    <n v="3444"/>
    <n v="2579"/>
    <n v="1971"/>
    <n v="1811"/>
    <n v="1236"/>
    <n v="2582"/>
    <n v="243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s v="DIRECT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n v="55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4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42"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n v="165"/>
    <n v="165"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0"/>
    <s v="DIRECT"/>
    <n v="44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138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n v="74"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n v="10"/>
    <n v="10"/>
    <n v="10"/>
    <n v="10"/>
    <n v="10"/>
    <n v="10"/>
    <m/>
    <m/>
    <m/>
    <m/>
  </r>
  <r>
    <x v="0"/>
    <s v="DIRECT"/>
    <m/>
    <m/>
    <m/>
    <m/>
    <m/>
    <m/>
    <m/>
    <m/>
    <m/>
    <m/>
    <m/>
    <m/>
  </r>
  <r>
    <x v="1"/>
    <s v="WBS"/>
    <n v="200"/>
    <n v="200"/>
    <n v="200"/>
    <n v="200"/>
    <n v="200"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n v="100"/>
    <n v="43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n v="90"/>
    <n v="100"/>
    <m/>
    <m/>
    <m/>
    <m/>
    <m/>
    <m/>
    <m/>
    <m/>
    <m/>
  </r>
  <r>
    <x v="1"/>
    <s v="WBS"/>
    <m/>
    <m/>
    <m/>
    <m/>
    <m/>
    <m/>
    <m/>
    <m/>
    <m/>
    <m/>
    <m/>
    <m/>
  </r>
  <r>
    <x v="1"/>
    <s v="SERVICE"/>
    <m/>
    <m/>
    <n v="150"/>
    <m/>
    <m/>
    <m/>
    <m/>
    <m/>
    <m/>
    <m/>
    <m/>
    <m/>
  </r>
  <r>
    <x v="1"/>
    <s v="SERVICE"/>
    <n v="32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n v="600"/>
    <m/>
    <m/>
    <m/>
    <m/>
    <m/>
    <m/>
    <m/>
    <m/>
    <m/>
    <m/>
    <m/>
  </r>
  <r>
    <x v="1"/>
    <s v="SERVICE"/>
    <n v="35"/>
    <n v="81.5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n v="3"/>
    <m/>
    <m/>
    <m/>
    <m/>
    <m/>
    <m/>
    <m/>
    <m/>
    <m/>
    <m/>
    <m/>
  </r>
  <r>
    <x v="1"/>
    <s v="WBS"/>
    <m/>
    <n v="62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66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25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n v="327"/>
    <n v="327"/>
    <n v="327"/>
    <n v="326"/>
    <n v="326"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m/>
    <m/>
    <m/>
    <m/>
    <m/>
    <m/>
    <m/>
  </r>
  <r>
    <x v="0"/>
    <s v="DIRECT"/>
    <m/>
    <n v="110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426"/>
    <n v="426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n v="75"/>
    <m/>
    <m/>
    <n v="10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n v="40"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n v="60"/>
    <n v="60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70"/>
    <m/>
    <m/>
    <m/>
    <m/>
    <m/>
    <m/>
    <m/>
  </r>
  <r>
    <x v="1"/>
    <s v="SERVICE"/>
    <m/>
    <m/>
    <m/>
    <n v="170"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n v="140"/>
    <n v="140"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45"/>
    <n v="45"/>
    <m/>
    <m/>
    <m/>
    <m/>
    <m/>
    <m/>
    <m/>
    <m/>
    <m/>
    <m/>
  </r>
  <r>
    <x v="2"/>
    <s v="DIRECT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n v="126"/>
    <n v="126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n v="15"/>
    <m/>
    <m/>
    <m/>
    <m/>
    <m/>
    <m/>
    <m/>
    <m/>
    <m/>
    <m/>
    <m/>
  </r>
  <r>
    <x v="1"/>
    <s v="SERVICE"/>
    <n v="2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n v="100"/>
    <n v="160"/>
    <m/>
    <m/>
    <m/>
    <m/>
    <m/>
    <m/>
    <m/>
    <m/>
  </r>
  <r>
    <x v="1"/>
    <s v="SERVICE"/>
    <m/>
    <n v="10"/>
    <m/>
    <m/>
    <m/>
    <m/>
    <m/>
    <m/>
    <m/>
    <m/>
    <m/>
    <m/>
  </r>
  <r>
    <x v="1"/>
    <s v="SERVICE"/>
    <m/>
    <n v="10"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0"/>
    <s v="DIRECT"/>
    <m/>
    <m/>
    <m/>
    <m/>
    <m/>
    <n v="75"/>
    <m/>
    <m/>
    <m/>
    <m/>
    <m/>
    <m/>
  </r>
  <r>
    <x v="0"/>
    <s v="DIRECT"/>
    <m/>
    <n v="200"/>
    <m/>
    <m/>
    <m/>
    <m/>
    <m/>
    <m/>
    <m/>
    <m/>
    <m/>
    <m/>
  </r>
  <r>
    <x v="1"/>
    <s v="SERVICE"/>
    <m/>
    <n v="64"/>
    <m/>
    <m/>
    <m/>
    <m/>
    <m/>
    <m/>
    <m/>
    <m/>
    <m/>
    <m/>
  </r>
  <r>
    <x v="0"/>
    <s v="SERVICE"/>
    <m/>
    <m/>
    <m/>
    <m/>
    <m/>
    <m/>
    <m/>
    <m/>
    <m/>
    <m/>
    <m/>
    <m/>
  </r>
  <r>
    <x v="0"/>
    <s v="SERVICE"/>
    <m/>
    <m/>
    <m/>
    <m/>
    <m/>
    <m/>
    <m/>
    <m/>
    <m/>
    <m/>
    <m/>
    <m/>
  </r>
  <r>
    <x v="1"/>
    <s v="SERVICE"/>
    <m/>
    <m/>
    <n v="100"/>
    <n v="170"/>
    <m/>
    <m/>
    <m/>
    <m/>
    <m/>
    <m/>
    <m/>
    <m/>
  </r>
  <r>
    <x v="0"/>
    <s v="DIRECT"/>
    <m/>
    <n v="300"/>
    <n v="300"/>
    <m/>
    <m/>
    <m/>
    <m/>
    <m/>
    <m/>
    <m/>
    <m/>
    <m/>
  </r>
  <r>
    <x v="0"/>
    <s v="DIRECT"/>
    <n v="12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n v="125"/>
    <n v="125"/>
    <m/>
    <m/>
    <n v="56"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180"/>
    <n v="180"/>
    <m/>
    <m/>
    <m/>
    <m/>
    <m/>
    <m/>
  </r>
  <r>
    <x v="1"/>
    <s v="WBS"/>
    <m/>
    <m/>
    <m/>
    <m/>
    <n v="75"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n v="50"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m/>
    <m/>
    <m/>
    <m/>
    <m/>
    <m/>
    <m/>
    <m/>
  </r>
  <r>
    <x v="1"/>
    <s v="WBS"/>
    <m/>
    <m/>
    <m/>
    <m/>
    <n v="75"/>
    <m/>
    <m/>
    <m/>
    <m/>
    <m/>
    <m/>
    <m/>
  </r>
  <r>
    <x v="1"/>
    <s v="WBS"/>
    <m/>
    <m/>
    <m/>
    <m/>
    <m/>
    <m/>
    <n v="270"/>
    <n v="270"/>
    <m/>
    <m/>
    <m/>
    <m/>
  </r>
  <r>
    <x v="1"/>
    <s v="WBS"/>
    <m/>
    <m/>
    <m/>
    <m/>
    <m/>
    <m/>
    <m/>
    <n v="270"/>
    <n v="270"/>
    <m/>
    <m/>
    <m/>
  </r>
  <r>
    <x v="1"/>
    <s v="SERVICE"/>
    <n v="12"/>
    <m/>
    <m/>
    <m/>
    <m/>
    <m/>
    <m/>
    <m/>
    <m/>
    <m/>
    <m/>
    <m/>
  </r>
  <r>
    <x v="1"/>
    <s v="SERVICE"/>
    <m/>
    <m/>
    <n v="130"/>
    <n v="130"/>
    <m/>
    <m/>
    <m/>
    <m/>
    <m/>
    <m/>
    <m/>
    <m/>
  </r>
  <r>
    <x v="1"/>
    <s v="SERVICE"/>
    <m/>
    <m/>
    <m/>
    <m/>
    <n v="72"/>
    <m/>
    <m/>
    <m/>
    <m/>
    <m/>
    <m/>
    <m/>
  </r>
  <r>
    <x v="1"/>
    <s v="WBS"/>
    <m/>
    <m/>
    <n v="32"/>
    <m/>
    <m/>
    <m/>
    <m/>
    <m/>
    <m/>
    <m/>
    <m/>
    <m/>
  </r>
  <r>
    <x v="1"/>
    <s v="WBS"/>
    <m/>
    <m/>
    <m/>
    <m/>
    <m/>
    <n v="200"/>
    <n v="200"/>
    <m/>
    <m/>
    <m/>
    <m/>
    <m/>
  </r>
  <r>
    <x v="1"/>
    <s v="WBS"/>
    <m/>
    <m/>
    <m/>
    <m/>
    <m/>
    <m/>
    <n v="100"/>
    <n v="100"/>
    <m/>
    <m/>
    <m/>
    <m/>
  </r>
  <r>
    <x v="1"/>
    <s v="WBS"/>
    <m/>
    <m/>
    <m/>
    <m/>
    <n v="140"/>
    <m/>
    <m/>
    <m/>
    <m/>
    <m/>
    <m/>
    <m/>
  </r>
  <r>
    <x v="3"/>
    <m/>
    <m/>
    <m/>
    <m/>
    <m/>
    <m/>
    <m/>
    <m/>
    <m/>
    <m/>
    <m/>
    <m/>
    <m/>
  </r>
  <r>
    <x v="1"/>
    <s v="WBS"/>
    <n v="100"/>
    <n v="100"/>
    <n v="212"/>
    <m/>
    <m/>
    <m/>
    <m/>
    <m/>
    <m/>
    <m/>
    <m/>
    <m/>
  </r>
  <r>
    <x v="1"/>
    <s v="WBS"/>
    <m/>
    <m/>
    <m/>
    <m/>
    <m/>
    <n v="32"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n v="640"/>
    <n v="640"/>
    <n v="640"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n v="123"/>
    <m/>
    <m/>
    <m/>
    <m/>
    <m/>
    <m/>
    <m/>
    <m/>
    <m/>
  </r>
  <r>
    <x v="1"/>
    <s v="SERVICE"/>
    <m/>
    <m/>
    <m/>
    <m/>
    <m/>
    <m/>
    <m/>
    <m/>
    <m/>
    <m/>
    <m/>
    <m/>
  </r>
  <r>
    <x v="1"/>
    <s v="WBS"/>
    <m/>
    <m/>
    <m/>
    <m/>
    <n v="75"/>
    <m/>
    <m/>
    <m/>
    <m/>
    <m/>
    <m/>
    <m/>
  </r>
  <r>
    <x v="1"/>
    <s v="WBS"/>
    <m/>
    <m/>
    <m/>
    <m/>
    <n v="100"/>
    <n v="170"/>
    <m/>
    <m/>
    <m/>
    <m/>
    <m/>
    <m/>
  </r>
  <r>
    <x v="1"/>
    <s v="WBS"/>
    <m/>
    <m/>
    <m/>
    <m/>
    <n v="20"/>
    <n v="20"/>
    <m/>
    <m/>
    <m/>
    <m/>
    <m/>
    <m/>
  </r>
  <r>
    <x v="1"/>
    <s v="WBS"/>
    <m/>
    <m/>
    <m/>
    <m/>
    <m/>
    <m/>
    <m/>
    <m/>
    <m/>
    <m/>
    <m/>
    <m/>
  </r>
  <r>
    <x v="1"/>
    <s v="SERVICE"/>
    <n v="20"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8"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WBS"/>
    <m/>
    <m/>
    <m/>
    <m/>
    <m/>
    <m/>
    <m/>
    <n v="100"/>
    <n v="150"/>
    <m/>
    <m/>
    <m/>
  </r>
  <r>
    <x v="1"/>
    <s v="WBS"/>
    <m/>
    <m/>
    <m/>
    <m/>
    <m/>
    <n v="375"/>
    <n v="375"/>
    <m/>
    <m/>
    <m/>
    <m/>
    <m/>
  </r>
  <r>
    <x v="1"/>
    <s v="WBS"/>
    <m/>
    <m/>
    <m/>
    <m/>
    <m/>
    <m/>
    <m/>
    <n v="100"/>
    <n v="150"/>
    <m/>
    <m/>
    <m/>
  </r>
  <r>
    <x v="1"/>
    <s v="WBS"/>
    <m/>
    <m/>
    <m/>
    <m/>
    <m/>
    <n v="250"/>
    <n v="250"/>
    <m/>
    <m/>
    <m/>
    <m/>
    <m/>
  </r>
  <r>
    <x v="1"/>
    <s v="WBS"/>
    <m/>
    <m/>
    <m/>
    <m/>
    <m/>
    <m/>
    <n v="188"/>
    <n v="187"/>
    <m/>
    <m/>
    <m/>
    <m/>
  </r>
  <r>
    <x v="1"/>
    <s v="WBS"/>
    <m/>
    <m/>
    <m/>
    <m/>
    <n v="188"/>
    <n v="187"/>
    <m/>
    <m/>
    <m/>
    <m/>
    <m/>
    <m/>
  </r>
  <r>
    <x v="1"/>
    <s v="WBS"/>
    <m/>
    <m/>
    <m/>
    <m/>
    <m/>
    <m/>
    <m/>
    <n v="188"/>
    <n v="187"/>
    <m/>
    <m/>
    <m/>
  </r>
  <r>
    <x v="1"/>
    <s v="WBS"/>
    <m/>
    <m/>
    <m/>
    <m/>
    <n v="188"/>
    <n v="187"/>
    <m/>
    <m/>
    <m/>
    <m/>
    <m/>
    <m/>
  </r>
  <r>
    <x v="1"/>
    <s v="DIRECT"/>
    <m/>
    <m/>
    <n v="81"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n v="225"/>
    <n v="225"/>
    <m/>
    <m/>
    <m/>
    <m/>
    <m/>
    <m/>
    <m/>
  </r>
  <r>
    <x v="1"/>
    <s v="SERVICE"/>
    <m/>
    <m/>
    <m/>
    <m/>
    <m/>
    <m/>
    <m/>
    <m/>
    <m/>
    <m/>
    <m/>
    <m/>
  </r>
  <r>
    <x v="2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SERVICE"/>
    <m/>
    <m/>
    <m/>
    <m/>
    <n v="104"/>
    <m/>
    <m/>
    <m/>
    <m/>
    <m/>
    <m/>
    <m/>
  </r>
  <r>
    <x v="1"/>
    <s v="SERVICE"/>
    <m/>
    <m/>
    <m/>
    <m/>
    <m/>
    <m/>
    <m/>
    <m/>
    <m/>
    <m/>
    <m/>
    <m/>
  </r>
  <r>
    <x v="2"/>
    <s v="WBS"/>
    <m/>
    <m/>
    <m/>
    <m/>
    <m/>
    <m/>
    <m/>
    <m/>
    <m/>
    <m/>
    <m/>
    <m/>
  </r>
  <r>
    <x v="1"/>
    <s v="SERVICE"/>
    <m/>
    <m/>
    <m/>
    <m/>
    <m/>
    <n v="300"/>
    <n v="314"/>
    <m/>
    <m/>
    <m/>
    <m/>
    <m/>
  </r>
  <r>
    <x v="1"/>
    <s v="SERVICE"/>
    <m/>
    <m/>
    <m/>
    <m/>
    <m/>
    <m/>
    <m/>
    <m/>
    <m/>
    <m/>
    <m/>
    <m/>
  </r>
  <r>
    <x v="2"/>
    <s v="WBS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SERVICE"/>
    <m/>
    <m/>
    <m/>
    <m/>
    <m/>
    <m/>
    <m/>
    <m/>
    <m/>
    <m/>
    <m/>
    <m/>
  </r>
  <r>
    <x v="1"/>
    <s v="DIRECT"/>
    <m/>
    <m/>
    <m/>
    <m/>
    <m/>
    <m/>
    <m/>
    <m/>
    <m/>
    <m/>
    <m/>
    <m/>
  </r>
  <r>
    <x v="1"/>
    <s v="DIRECT"/>
    <m/>
    <m/>
    <m/>
    <m/>
    <n v="150"/>
    <n v="156"/>
    <m/>
    <m/>
    <m/>
    <m/>
    <m/>
    <m/>
  </r>
  <r>
    <x v="2"/>
    <s v="DIRECT"/>
    <m/>
    <m/>
    <m/>
    <m/>
    <m/>
    <n v="414"/>
    <n v="414"/>
    <n v="414"/>
    <n v="414"/>
    <m/>
    <m/>
    <m/>
  </r>
  <r>
    <x v="1"/>
    <s v="DIRECT"/>
    <m/>
    <m/>
    <m/>
    <m/>
    <m/>
    <m/>
    <m/>
    <m/>
    <m/>
    <m/>
    <m/>
    <m/>
  </r>
  <r>
    <x v="4"/>
    <m/>
    <n v="250"/>
    <n v="1000"/>
    <n v="1000"/>
    <n v="350"/>
    <n v="50"/>
    <n v="500"/>
    <n v="1000"/>
    <n v="1000"/>
    <n v="1000"/>
    <n v="1000"/>
    <n v="1000"/>
    <n v="1850"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m/>
    <m/>
    <m/>
    <m/>
    <m/>
    <m/>
    <m/>
    <m/>
    <m/>
    <m/>
    <m/>
    <m/>
  </r>
  <r>
    <x v="3"/>
    <m/>
    <n v="3521"/>
    <n v="3493.5"/>
    <n v="3630"/>
    <n v="2786"/>
    <n v="3036"/>
    <n v="3106"/>
    <n v="3177"/>
    <n v="2639"/>
    <n v="2171"/>
    <n v="1000"/>
    <n v="1000"/>
    <n v="1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2BDE2-0018-43AF-AF51-EB6B418BE1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8" firstHeaderRow="0" firstDataRow="1" firstDataCol="1"/>
  <pivotFields count="14"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un/26" fld="2" baseField="0" baseItem="0"/>
    <dataField name="Sum of Jul/26" fld="3" baseField="0" baseItem="0"/>
    <dataField name="Sum of Aug/26" fld="4" baseField="0" baseItem="0"/>
    <dataField name="Sum of Sep/26" fld="5" baseField="0" baseItem="0"/>
    <dataField name="Sum of Oct/26" fld="6" baseField="0" baseItem="0"/>
    <dataField name="Sum of Nov/26" fld="7" baseField="0" baseItem="0"/>
    <dataField name="Sum of Dec/26" fld="8" baseField="0" baseItem="0"/>
    <dataField name="Sum of Jan/27" fld="9" baseField="0" baseItem="0"/>
    <dataField name="Sum of Feb/27" fld="10" baseField="0" baseItem="0"/>
    <dataField name="Sum of Mar/27" fld="11" baseField="0" baseItem="0"/>
    <dataField name="Sum of Apr/27" fld="12" baseField="0" baseItem="0"/>
    <dataField name="Sum of May/27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43A0E-4A16-4A54-ABEB-58C261D9AB59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0" firstDataRow="1" firstDataCol="1"/>
  <pivotFields count="14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un-26" fld="2" baseField="0" baseItem="0"/>
    <dataField name="Sum of Jul-26" fld="3" baseField="0" baseItem="0"/>
    <dataField name="Sum of Aug-26" fld="4" baseField="0" baseItem="0"/>
    <dataField name="Sum of Sep-26" fld="5" baseField="0" baseItem="0"/>
    <dataField name="Sum of Oct-26" fld="6" baseField="0" baseItem="0"/>
    <dataField name="Sum of Nov-26" fld="7" baseField="0" baseItem="0"/>
    <dataField name="Sum of Dec-26" fld="8" baseField="0" baseItem="0"/>
    <dataField name="Sum of Jan-27" fld="9" baseField="0" baseItem="0"/>
    <dataField name="Sum of Feb-27" fld="10" baseField="0" baseItem="0"/>
    <dataField name="Sum of Mar-27" fld="11" baseField="0" baseItem="0"/>
    <dataField name="Sum of Apr-27" fld="12" baseField="0" baseItem="0"/>
    <dataField name="Sum of May-27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BA0C5-4412-48B5-8B19-798D18B4A3A3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M18" firstHeaderRow="0" firstDataRow="1" firstDataCol="1"/>
  <pivotFields count="14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un-26" fld="2" baseField="0" baseItem="0"/>
    <dataField name="Sum of Jul-26" fld="3" baseField="0" baseItem="0"/>
    <dataField name="Sum of Aug-26" fld="4" baseField="0" baseItem="0"/>
    <dataField name="Sum of Sep-26" fld="5" baseField="0" baseItem="0"/>
    <dataField name="Sum of Oct-26" fld="6" baseField="0" baseItem="0"/>
    <dataField name="Sum of Nov-26" fld="7" baseField="0" baseItem="0"/>
    <dataField name="Sum of Dec-26" fld="8" baseField="0" baseItem="0"/>
    <dataField name="Sum of Jan-27" fld="9" baseField="0" baseItem="0"/>
    <dataField name="Sum of Feb-27" fld="10" baseField="0" baseItem="0"/>
    <dataField name="Sum of Mar-27" fld="11" baseField="0" baseItem="0"/>
    <dataField name="Sum of Apr-27" fld="12" baseField="0" baseItem="0"/>
    <dataField name="Sum of May-27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07973-71FA-4387-82D7-C70969E34C07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0" firstHeaderRow="0" firstDataRow="1" firstDataCol="1"/>
  <pivotFields count="14">
    <pivotField axis="axisRow" showAll="0">
      <items count="8">
        <item x="0"/>
        <item x="2"/>
        <item x="1"/>
        <item x="3"/>
        <item x="5"/>
        <item x="4"/>
        <item m="1" x="6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un-26" fld="2" baseField="0" baseItem="0"/>
    <dataField name="Sum of Jul-26" fld="3" baseField="0" baseItem="0"/>
    <dataField name="Sum of Aug-26" fld="4" baseField="0" baseItem="0"/>
    <dataField name="Sum of Sep-26" fld="5" baseField="0" baseItem="0"/>
    <dataField name="Sum of Oct-26" fld="6" baseField="0" baseItem="0"/>
    <dataField name="Sum of Nov-26" fld="7" baseField="0" baseItem="0"/>
    <dataField name="Sum of Dec-26" fld="8" baseField="0" baseItem="0"/>
    <dataField name="Sum of Jan-27" fld="9" baseField="0" baseItem="0"/>
    <dataField name="Sum of Feb-27" fld="10" baseField="0" baseItem="0"/>
    <dataField name="Sum of Mar-27" fld="11" baseField="0" baseItem="0"/>
    <dataField name="Sum of Apr-27" fld="12" baseField="0" baseItem="0"/>
    <dataField name="Sum of May-27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FB243"/>
  <sheetViews>
    <sheetView topLeftCell="F1" zoomScale="85" zoomScaleNormal="85" zoomScaleSheetLayoutView="90" workbookViewId="0">
      <selection activeCell="AG1" sqref="AG1:AS1"/>
    </sheetView>
  </sheetViews>
  <sheetFormatPr defaultColWidth="9.109375" defaultRowHeight="10.199999999999999" outlineLevelCol="1" x14ac:dyDescent="0.2"/>
  <cols>
    <col min="1" max="1" width="6.5546875" style="11" customWidth="1"/>
    <col min="2" max="2" width="34.5546875" style="11" customWidth="1"/>
    <col min="3" max="3" width="11.33203125" style="11" customWidth="1"/>
    <col min="4" max="4" width="4.88671875" style="11" hidden="1" customWidth="1"/>
    <col min="5" max="5" width="36.6640625" style="11" customWidth="1"/>
    <col min="6" max="6" width="14.44140625" style="11" customWidth="1"/>
    <col min="7" max="7" width="17.109375" style="11" customWidth="1"/>
    <col min="8" max="8" width="13" style="217" bestFit="1" customWidth="1"/>
    <col min="9" max="9" width="13.5546875" style="217" bestFit="1" customWidth="1"/>
    <col min="10" max="10" width="15" style="38" customWidth="1"/>
    <col min="11" max="11" width="11.33203125" style="34" customWidth="1" outlineLevel="1"/>
    <col min="12" max="12" width="10.33203125" style="34" customWidth="1" outlineLevel="1"/>
    <col min="13" max="13" width="9" style="34" customWidth="1" outlineLevel="1"/>
    <col min="14" max="14" width="11.109375" style="34" customWidth="1" outlineLevel="1"/>
    <col min="15" max="15" width="14.44140625" style="34" customWidth="1" outlineLevel="1"/>
    <col min="16" max="16" width="11.33203125" style="11" customWidth="1" outlineLevel="1"/>
    <col min="17" max="17" width="11.6640625" style="11" customWidth="1" outlineLevel="1"/>
    <col min="18" max="18" width="14.44140625" style="11" customWidth="1" outlineLevel="1"/>
    <col min="19" max="19" width="11.5546875" style="11" customWidth="1" outlineLevel="1"/>
    <col min="20" max="20" width="14.44140625" style="11" customWidth="1" outlineLevel="1"/>
    <col min="21" max="21" width="11.33203125" style="11" customWidth="1" outlineLevel="1"/>
    <col min="22" max="22" width="11.6640625" style="11" customWidth="1" outlineLevel="1"/>
    <col min="23" max="23" width="14.44140625" style="11" customWidth="1" outlineLevel="1"/>
    <col min="24" max="24" width="11.109375" style="11" customWidth="1" outlineLevel="1"/>
    <col min="25" max="25" width="14.44140625" style="11" customWidth="1" outlineLevel="1"/>
    <col min="26" max="26" width="9.88671875" style="11" bestFit="1" customWidth="1"/>
    <col min="27" max="27" width="11.6640625" style="11" customWidth="1"/>
    <col min="28" max="28" width="11.88671875" style="11" bestFit="1" customWidth="1"/>
    <col min="29" max="29" width="11.33203125" style="11" bestFit="1" customWidth="1"/>
    <col min="30" max="30" width="8.33203125" style="11" bestFit="1" customWidth="1"/>
    <col min="31" max="32" width="10.5546875" style="11" bestFit="1" customWidth="1"/>
    <col min="33" max="34" width="14.88671875" style="11" bestFit="1" customWidth="1" outlineLevel="1"/>
    <col min="35" max="35" width="15.88671875" style="11" bestFit="1" customWidth="1" outlineLevel="1"/>
    <col min="36" max="36" width="15.6640625" style="11" bestFit="1" customWidth="1" outlineLevel="1"/>
    <col min="37" max="37" width="9.109375" style="11" customWidth="1" outlineLevel="1"/>
    <col min="38" max="38" width="15.88671875" style="11" bestFit="1" customWidth="1" outlineLevel="1"/>
    <col min="39" max="39" width="15.6640625" style="11" bestFit="1" customWidth="1" outlineLevel="1"/>
    <col min="40" max="40" width="9.109375" style="11" customWidth="1" outlineLevel="1"/>
    <col min="41" max="42" width="15.6640625" style="11" bestFit="1" customWidth="1" outlineLevel="1"/>
    <col min="43" max="43" width="15.44140625" style="11" bestFit="1" customWidth="1" outlineLevel="1"/>
    <col min="44" max="44" width="16" style="11" bestFit="1" customWidth="1" outlineLevel="1"/>
    <col min="45" max="45" width="12.6640625" style="11" bestFit="1" customWidth="1" outlineLevel="1"/>
    <col min="46" max="47" width="10.5546875" style="11" bestFit="1" customWidth="1"/>
    <col min="48" max="48" width="9.109375" style="11" customWidth="1" outlineLevel="1" collapsed="1"/>
    <col min="49" max="49" width="9.109375" style="11" customWidth="1" outlineLevel="1"/>
    <col min="50" max="50" width="15.33203125" style="11" bestFit="1" customWidth="1" outlineLevel="1"/>
    <col min="51" max="52" width="9.109375" style="11" customWidth="1" outlineLevel="1"/>
    <col min="53" max="53" width="15.33203125" style="11" bestFit="1" customWidth="1" outlineLevel="1"/>
    <col min="54" max="58" width="9.109375" style="11" customWidth="1" outlineLevel="1"/>
    <col min="59" max="59" width="15.5546875" style="11" bestFit="1" customWidth="1" outlineLevel="1"/>
    <col min="60" max="60" width="9.109375" style="11" customWidth="1" outlineLevel="1"/>
    <col min="61" max="62" width="10.5546875" style="11" bestFit="1" customWidth="1"/>
    <col min="63" max="63" width="9.109375" style="11" customWidth="1" outlineLevel="1" collapsed="1"/>
    <col min="64" max="64" width="9.109375" style="11" customWidth="1" outlineLevel="1"/>
    <col min="65" max="65" width="15.33203125" style="11" bestFit="1" customWidth="1" outlineLevel="1"/>
    <col min="66" max="67" width="9.109375" style="11" customWidth="1" outlineLevel="1"/>
    <col min="68" max="68" width="15.33203125" style="11" bestFit="1" customWidth="1" outlineLevel="1"/>
    <col min="69" max="73" width="9.109375" style="11" customWidth="1" outlineLevel="1"/>
    <col min="74" max="74" width="15.5546875" style="11" bestFit="1" customWidth="1" outlineLevel="1"/>
    <col min="75" max="75" width="9.109375" style="11" customWidth="1" outlineLevel="1"/>
    <col min="76" max="77" width="10.5546875" style="11" bestFit="1" customWidth="1"/>
    <col min="78" max="79" width="9.109375" style="11"/>
    <col min="80" max="80" width="12.44140625" style="11" customWidth="1"/>
    <col min="81" max="82" width="9.109375" style="11"/>
    <col min="83" max="83" width="11.5546875" style="11" customWidth="1"/>
    <col min="84" max="88" width="9.109375" style="11"/>
    <col min="89" max="89" width="10.5546875" style="11" customWidth="1"/>
    <col min="90" max="90" width="9.109375" style="11"/>
    <col min="91" max="91" width="9.6640625" style="11" bestFit="1" customWidth="1"/>
    <col min="92" max="92" width="9.109375" style="11"/>
    <col min="93" max="93" width="12.109375" style="11" bestFit="1" customWidth="1"/>
    <col min="94" max="94" width="9.109375" style="11"/>
    <col min="95" max="16384" width="9.109375" style="1"/>
  </cols>
  <sheetData>
    <row r="1" spans="1:94" s="77" customFormat="1" ht="33.6" customHeight="1" thickBot="1" x14ac:dyDescent="0.35">
      <c r="A1" s="334" t="s">
        <v>0</v>
      </c>
      <c r="B1" s="336" t="s">
        <v>24</v>
      </c>
      <c r="C1" s="330" t="s">
        <v>166</v>
      </c>
      <c r="D1" s="330" t="s">
        <v>257</v>
      </c>
      <c r="E1" s="336" t="s">
        <v>2</v>
      </c>
      <c r="F1" s="330" t="s">
        <v>504</v>
      </c>
      <c r="G1" s="330" t="s">
        <v>42</v>
      </c>
      <c r="H1" s="332" t="s">
        <v>41</v>
      </c>
      <c r="I1" s="332" t="s">
        <v>1</v>
      </c>
      <c r="J1" s="313" t="s">
        <v>432</v>
      </c>
      <c r="K1" s="321" t="s">
        <v>422</v>
      </c>
      <c r="L1" s="322"/>
      <c r="M1" s="322"/>
      <c r="N1" s="322"/>
      <c r="O1" s="323"/>
      <c r="P1" s="324" t="s">
        <v>426</v>
      </c>
      <c r="Q1" s="325"/>
      <c r="R1" s="325"/>
      <c r="S1" s="325"/>
      <c r="T1" s="326"/>
      <c r="U1" s="315" t="s">
        <v>425</v>
      </c>
      <c r="V1" s="316"/>
      <c r="W1" s="316"/>
      <c r="X1" s="316"/>
      <c r="Y1" s="317"/>
      <c r="Z1" s="318" t="s">
        <v>427</v>
      </c>
      <c r="AA1" s="319"/>
      <c r="AB1" s="319"/>
      <c r="AC1" s="319"/>
      <c r="AD1" s="320"/>
      <c r="AE1" s="258"/>
      <c r="AF1" s="258"/>
      <c r="AG1" s="301" t="s">
        <v>428</v>
      </c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3"/>
      <c r="AT1" s="258"/>
      <c r="AU1" s="258"/>
      <c r="AV1" s="304" t="s">
        <v>429</v>
      </c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6"/>
      <c r="BI1" s="258"/>
      <c r="BJ1" s="258"/>
      <c r="BK1" s="307" t="s">
        <v>430</v>
      </c>
      <c r="BL1" s="308"/>
      <c r="BM1" s="308"/>
      <c r="BN1" s="308"/>
      <c r="BO1" s="308"/>
      <c r="BP1" s="308"/>
      <c r="BQ1" s="308"/>
      <c r="BR1" s="308"/>
      <c r="BS1" s="308"/>
      <c r="BT1" s="308"/>
      <c r="BU1" s="308"/>
      <c r="BV1" s="308"/>
      <c r="BW1" s="309"/>
      <c r="BX1" s="258"/>
      <c r="BY1" s="258"/>
      <c r="BZ1" s="310" t="s">
        <v>431</v>
      </c>
      <c r="CA1" s="311"/>
      <c r="CB1" s="311"/>
      <c r="CC1" s="311"/>
      <c r="CD1" s="311"/>
      <c r="CE1" s="311"/>
      <c r="CF1" s="311"/>
      <c r="CG1" s="311"/>
      <c r="CH1" s="311"/>
      <c r="CI1" s="311"/>
      <c r="CJ1" s="311"/>
      <c r="CK1" s="311"/>
      <c r="CL1" s="312"/>
      <c r="CM1" s="233"/>
      <c r="CN1" s="233"/>
      <c r="CO1" s="233"/>
      <c r="CP1" s="233"/>
    </row>
    <row r="2" spans="1:94" s="2" customFormat="1" ht="46.2" customHeight="1" thickBot="1" x14ac:dyDescent="0.35">
      <c r="A2" s="335"/>
      <c r="B2" s="337"/>
      <c r="C2" s="331"/>
      <c r="D2" s="331"/>
      <c r="E2" s="337"/>
      <c r="F2" s="331"/>
      <c r="G2" s="331"/>
      <c r="H2" s="333"/>
      <c r="I2" s="333"/>
      <c r="J2" s="314"/>
      <c r="K2" s="219" t="s">
        <v>423</v>
      </c>
      <c r="L2" s="224" t="s">
        <v>421</v>
      </c>
      <c r="M2" s="225" t="s">
        <v>424</v>
      </c>
      <c r="N2" s="225" t="s">
        <v>13</v>
      </c>
      <c r="O2" s="220" t="s">
        <v>433</v>
      </c>
      <c r="P2" s="93" t="s">
        <v>423</v>
      </c>
      <c r="Q2" s="88" t="s">
        <v>421</v>
      </c>
      <c r="R2" s="88" t="s">
        <v>424</v>
      </c>
      <c r="S2" s="87" t="s">
        <v>13</v>
      </c>
      <c r="T2" s="94" t="s">
        <v>14</v>
      </c>
      <c r="U2" s="95" t="s">
        <v>423</v>
      </c>
      <c r="V2" s="90" t="s">
        <v>421</v>
      </c>
      <c r="W2" s="90" t="s">
        <v>424</v>
      </c>
      <c r="X2" s="89" t="s">
        <v>13</v>
      </c>
      <c r="Y2" s="96" t="s">
        <v>14</v>
      </c>
      <c r="Z2" s="97" t="s">
        <v>423</v>
      </c>
      <c r="AA2" s="92" t="s">
        <v>421</v>
      </c>
      <c r="AB2" s="92" t="s">
        <v>424</v>
      </c>
      <c r="AC2" s="91" t="s">
        <v>13</v>
      </c>
      <c r="AD2" s="98" t="s">
        <v>14</v>
      </c>
      <c r="AE2" s="258" t="s">
        <v>531</v>
      </c>
      <c r="AF2" s="258" t="s">
        <v>3</v>
      </c>
      <c r="AG2" s="203">
        <v>46174</v>
      </c>
      <c r="AH2" s="204">
        <v>46204</v>
      </c>
      <c r="AI2" s="204">
        <v>46235</v>
      </c>
      <c r="AJ2" s="204">
        <v>46266</v>
      </c>
      <c r="AK2" s="204">
        <v>46296</v>
      </c>
      <c r="AL2" s="204">
        <v>46327</v>
      </c>
      <c r="AM2" s="204">
        <v>46357</v>
      </c>
      <c r="AN2" s="204">
        <v>46388</v>
      </c>
      <c r="AO2" s="204">
        <v>46419</v>
      </c>
      <c r="AP2" s="204">
        <v>46447</v>
      </c>
      <c r="AQ2" s="204">
        <v>46478</v>
      </c>
      <c r="AR2" s="204">
        <v>46508</v>
      </c>
      <c r="AS2" s="81" t="s">
        <v>489</v>
      </c>
      <c r="AT2" s="258" t="s">
        <v>531</v>
      </c>
      <c r="AU2" s="258" t="s">
        <v>3</v>
      </c>
      <c r="AV2" s="82">
        <v>46174</v>
      </c>
      <c r="AW2" s="83">
        <v>46204</v>
      </c>
      <c r="AX2" s="83">
        <v>46235</v>
      </c>
      <c r="AY2" s="83">
        <v>46266</v>
      </c>
      <c r="AZ2" s="83">
        <v>46296</v>
      </c>
      <c r="BA2" s="83">
        <v>46327</v>
      </c>
      <c r="BB2" s="83">
        <v>46357</v>
      </c>
      <c r="BC2" s="83">
        <v>46388</v>
      </c>
      <c r="BD2" s="83">
        <v>46419</v>
      </c>
      <c r="BE2" s="83">
        <v>46447</v>
      </c>
      <c r="BF2" s="83">
        <v>46478</v>
      </c>
      <c r="BG2" s="83">
        <v>46508</v>
      </c>
      <c r="BH2" s="202" t="s">
        <v>490</v>
      </c>
      <c r="BI2" s="258" t="s">
        <v>531</v>
      </c>
      <c r="BJ2" s="258" t="s">
        <v>3</v>
      </c>
      <c r="BK2" s="102">
        <v>46174</v>
      </c>
      <c r="BL2" s="103">
        <v>46204</v>
      </c>
      <c r="BM2" s="103">
        <v>46235</v>
      </c>
      <c r="BN2" s="103">
        <v>46266</v>
      </c>
      <c r="BO2" s="103">
        <v>46296</v>
      </c>
      <c r="BP2" s="103">
        <v>46327</v>
      </c>
      <c r="BQ2" s="103">
        <v>46357</v>
      </c>
      <c r="BR2" s="103">
        <v>46388</v>
      </c>
      <c r="BS2" s="103">
        <v>46419</v>
      </c>
      <c r="BT2" s="103">
        <v>46447</v>
      </c>
      <c r="BU2" s="103">
        <v>46478</v>
      </c>
      <c r="BV2" s="103">
        <v>46508</v>
      </c>
      <c r="BW2" s="104" t="s">
        <v>489</v>
      </c>
      <c r="BX2" s="258" t="s">
        <v>531</v>
      </c>
      <c r="BY2" s="258" t="s">
        <v>3</v>
      </c>
      <c r="BZ2" s="84">
        <v>46174</v>
      </c>
      <c r="CA2" s="85">
        <v>46204</v>
      </c>
      <c r="CB2" s="85">
        <v>46235</v>
      </c>
      <c r="CC2" s="85">
        <v>46266</v>
      </c>
      <c r="CD2" s="85">
        <v>46296</v>
      </c>
      <c r="CE2" s="85">
        <v>46327</v>
      </c>
      <c r="CF2" s="85">
        <v>46357</v>
      </c>
      <c r="CG2" s="85">
        <v>46388</v>
      </c>
      <c r="CH2" s="85">
        <v>46419</v>
      </c>
      <c r="CI2" s="85">
        <v>46447</v>
      </c>
      <c r="CJ2" s="85">
        <v>46478</v>
      </c>
      <c r="CK2" s="85">
        <v>46508</v>
      </c>
      <c r="CL2" s="86" t="s">
        <v>489</v>
      </c>
      <c r="CM2" s="234" t="s">
        <v>512</v>
      </c>
      <c r="CN2" s="234" t="s">
        <v>513</v>
      </c>
      <c r="CO2" s="234" t="s">
        <v>514</v>
      </c>
      <c r="CP2" s="234" t="s">
        <v>515</v>
      </c>
    </row>
    <row r="3" spans="1:94" s="6" customFormat="1" ht="14.4" x14ac:dyDescent="0.3">
      <c r="A3" s="78">
        <v>1</v>
      </c>
      <c r="B3" s="76" t="s">
        <v>80</v>
      </c>
      <c r="C3" s="76"/>
      <c r="D3" s="76"/>
      <c r="E3" s="76" t="s">
        <v>44</v>
      </c>
      <c r="F3" s="76" t="s">
        <v>505</v>
      </c>
      <c r="G3" s="76" t="s">
        <v>176</v>
      </c>
      <c r="H3" s="215">
        <v>44671</v>
      </c>
      <c r="I3" s="215">
        <v>44895</v>
      </c>
      <c r="J3" s="255">
        <v>9700</v>
      </c>
      <c r="K3" s="211">
        <v>1308</v>
      </c>
      <c r="L3" s="211">
        <v>125</v>
      </c>
      <c r="M3" s="211"/>
      <c r="N3" s="211"/>
      <c r="O3" s="211">
        <f t="shared" ref="O3:O60" si="0">SUM(K3:N3)</f>
        <v>1433</v>
      </c>
      <c r="P3" s="235">
        <v>2295.14</v>
      </c>
      <c r="Q3" s="235">
        <v>64</v>
      </c>
      <c r="R3" s="235">
        <v>57.2</v>
      </c>
      <c r="S3" s="211"/>
      <c r="T3" s="211">
        <f>SUM(P3:S3)</f>
        <v>2416.3399999999997</v>
      </c>
      <c r="U3" s="211">
        <f t="shared" ref="U3:U60" si="1">K3-P3</f>
        <v>-987.13999999999987</v>
      </c>
      <c r="V3" s="211">
        <f t="shared" ref="V3:V60" si="2">L3-Q3</f>
        <v>61</v>
      </c>
      <c r="W3" s="211">
        <f t="shared" ref="W3:W60" si="3">M3-R3</f>
        <v>-57.2</v>
      </c>
      <c r="X3" s="211">
        <f t="shared" ref="X3:X60" si="4">N3-S3</f>
        <v>0</v>
      </c>
      <c r="Y3" s="211">
        <f>SUM(U3:X3)</f>
        <v>-983.33999999999992</v>
      </c>
      <c r="Z3" s="211">
        <f>AS3</f>
        <v>0</v>
      </c>
      <c r="AA3" s="211">
        <f>BH3</f>
        <v>0</v>
      </c>
      <c r="AB3" s="211">
        <f>BW3</f>
        <v>0</v>
      </c>
      <c r="AC3" s="211">
        <f>CL3</f>
        <v>0</v>
      </c>
      <c r="AD3" s="211">
        <f>SUM(Z3:AC3)</f>
        <v>0</v>
      </c>
      <c r="AE3" s="252" t="s">
        <v>516</v>
      </c>
      <c r="AF3" s="76" t="s">
        <v>22</v>
      </c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76">
        <f t="shared" ref="AS3:AS60" si="5">SUM(AG3:AR3)</f>
        <v>0</v>
      </c>
      <c r="AT3" s="252" t="s">
        <v>516</v>
      </c>
      <c r="AU3" s="76" t="s">
        <v>22</v>
      </c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>
        <f>SUM(AV3:BG3)</f>
        <v>0</v>
      </c>
      <c r="BI3" s="252" t="s">
        <v>516</v>
      </c>
      <c r="BJ3" s="76" t="s">
        <v>22</v>
      </c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>
        <f>SUM(BK3:BV3)</f>
        <v>0</v>
      </c>
      <c r="BX3" s="252" t="s">
        <v>516</v>
      </c>
      <c r="BY3" s="76" t="s">
        <v>22</v>
      </c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>
        <f>SUM(BZ3:CK3)</f>
        <v>0</v>
      </c>
      <c r="CM3" s="211">
        <f>U3-Z3</f>
        <v>-987.13999999999987</v>
      </c>
      <c r="CN3" s="211">
        <f>V3-AA3</f>
        <v>61</v>
      </c>
      <c r="CO3" s="211">
        <f>W3-AB3</f>
        <v>-57.2</v>
      </c>
      <c r="CP3" s="211">
        <f>X3-AC3</f>
        <v>0</v>
      </c>
    </row>
    <row r="4" spans="1:94" s="6" customFormat="1" ht="13.8" x14ac:dyDescent="0.3">
      <c r="A4" s="4">
        <v>2</v>
      </c>
      <c r="B4" s="76" t="s">
        <v>81</v>
      </c>
      <c r="C4" s="76"/>
      <c r="D4" s="76"/>
      <c r="E4" s="76" t="s">
        <v>49</v>
      </c>
      <c r="F4" s="76" t="s">
        <v>505</v>
      </c>
      <c r="G4" s="76" t="s">
        <v>176</v>
      </c>
      <c r="H4" s="215">
        <v>44805</v>
      </c>
      <c r="I4" s="215">
        <v>44834</v>
      </c>
      <c r="J4" s="255"/>
      <c r="K4" s="211">
        <v>300</v>
      </c>
      <c r="L4" s="211"/>
      <c r="M4" s="211"/>
      <c r="N4" s="211"/>
      <c r="O4" s="211">
        <f t="shared" si="0"/>
        <v>300</v>
      </c>
      <c r="P4" s="211">
        <v>4</v>
      </c>
      <c r="Q4" s="211">
        <v>73.8</v>
      </c>
      <c r="R4" s="211"/>
      <c r="S4" s="211"/>
      <c r="T4" s="211">
        <f t="shared" ref="T4:T61" si="6">SUM(P4:S4)</f>
        <v>77.8</v>
      </c>
      <c r="U4" s="211">
        <f t="shared" si="1"/>
        <v>296</v>
      </c>
      <c r="V4" s="211">
        <f t="shared" si="2"/>
        <v>-73.8</v>
      </c>
      <c r="W4" s="211">
        <f t="shared" si="3"/>
        <v>0</v>
      </c>
      <c r="X4" s="211">
        <f t="shared" si="4"/>
        <v>0</v>
      </c>
      <c r="Y4" s="211">
        <f t="shared" ref="Y4:Y61" si="7">SUM(U4:X4)</f>
        <v>222.2</v>
      </c>
      <c r="Z4" s="211">
        <f>AS4</f>
        <v>0</v>
      </c>
      <c r="AA4" s="211">
        <f t="shared" ref="AA4:AA61" si="8">BH4</f>
        <v>0</v>
      </c>
      <c r="AB4" s="211">
        <f t="shared" ref="AB4:AB61" si="9">BW4</f>
        <v>0</v>
      </c>
      <c r="AC4" s="211">
        <f t="shared" ref="AC4:AC61" si="10">CL4</f>
        <v>0</v>
      </c>
      <c r="AD4" s="211">
        <f t="shared" ref="AD4:AD61" si="11">SUM(Z4:AC4)</f>
        <v>0</v>
      </c>
      <c r="AE4" s="252" t="s">
        <v>516</v>
      </c>
      <c r="AF4" s="76" t="s">
        <v>22</v>
      </c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76">
        <f t="shared" si="5"/>
        <v>0</v>
      </c>
      <c r="AT4" s="252" t="s">
        <v>516</v>
      </c>
      <c r="AU4" s="76" t="s">
        <v>22</v>
      </c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>
        <f t="shared" ref="BH4:BH61" si="12">SUM(AV4:BG4)</f>
        <v>0</v>
      </c>
      <c r="BI4" s="252" t="s">
        <v>516</v>
      </c>
      <c r="BJ4" s="76" t="s">
        <v>22</v>
      </c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>
        <f t="shared" ref="BW4:BW61" si="13">SUM(BK4:BV4)</f>
        <v>0</v>
      </c>
      <c r="BX4" s="252" t="s">
        <v>516</v>
      </c>
      <c r="BY4" s="76" t="s">
        <v>22</v>
      </c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>
        <f t="shared" ref="CL4:CL61" si="14">SUM(BZ4:CK4)</f>
        <v>0</v>
      </c>
      <c r="CM4" s="211">
        <f t="shared" ref="CM4:CM61" si="15">U4-Z4</f>
        <v>296</v>
      </c>
      <c r="CN4" s="211">
        <f t="shared" ref="CN4:CN32" si="16">V4-AA4</f>
        <v>-73.8</v>
      </c>
      <c r="CO4" s="211">
        <f t="shared" ref="CO4:CO61" si="17">W4-AB4</f>
        <v>0</v>
      </c>
      <c r="CP4" s="211">
        <f t="shared" ref="CP4:CP61" si="18">X4-AC4</f>
        <v>0</v>
      </c>
    </row>
    <row r="5" spans="1:94" s="6" customFormat="1" ht="27.6" customHeight="1" x14ac:dyDescent="0.3">
      <c r="A5" s="78">
        <v>3</v>
      </c>
      <c r="B5" s="76" t="s">
        <v>93</v>
      </c>
      <c r="C5" s="76" t="s">
        <v>24</v>
      </c>
      <c r="D5" s="76"/>
      <c r="E5" s="76" t="s">
        <v>73</v>
      </c>
      <c r="F5" s="76" t="s">
        <v>505</v>
      </c>
      <c r="G5" s="76" t="s">
        <v>162</v>
      </c>
      <c r="H5" s="215">
        <v>45054</v>
      </c>
      <c r="I5" s="215">
        <v>45381</v>
      </c>
      <c r="J5" s="255">
        <v>22000</v>
      </c>
      <c r="K5" s="211">
        <v>8000</v>
      </c>
      <c r="L5" s="211">
        <v>54</v>
      </c>
      <c r="M5" s="211"/>
      <c r="N5" s="211"/>
      <c r="O5" s="211">
        <f t="shared" si="0"/>
        <v>8054</v>
      </c>
      <c r="P5" s="211">
        <v>7108.64</v>
      </c>
      <c r="Q5" s="211">
        <v>52</v>
      </c>
      <c r="R5" s="211">
        <v>102.9</v>
      </c>
      <c r="S5" s="211"/>
      <c r="T5" s="211">
        <f t="shared" si="6"/>
        <v>7263.54</v>
      </c>
      <c r="U5" s="211">
        <f t="shared" si="1"/>
        <v>891.35999999999967</v>
      </c>
      <c r="V5" s="211">
        <f t="shared" si="2"/>
        <v>2</v>
      </c>
      <c r="W5" s="211">
        <f t="shared" si="3"/>
        <v>-102.9</v>
      </c>
      <c r="X5" s="211">
        <f t="shared" si="4"/>
        <v>0</v>
      </c>
      <c r="Y5" s="211">
        <f t="shared" si="7"/>
        <v>790.4599999999997</v>
      </c>
      <c r="Z5" s="211">
        <f t="shared" ref="Z5:Z61" si="19">AS5</f>
        <v>407</v>
      </c>
      <c r="AA5" s="211">
        <f t="shared" si="8"/>
        <v>0</v>
      </c>
      <c r="AB5" s="211">
        <f t="shared" si="9"/>
        <v>0</v>
      </c>
      <c r="AC5" s="211">
        <f t="shared" si="10"/>
        <v>0</v>
      </c>
      <c r="AD5" s="211">
        <f t="shared" si="11"/>
        <v>407</v>
      </c>
      <c r="AE5" s="76" t="s">
        <v>518</v>
      </c>
      <c r="AF5" s="76" t="s">
        <v>24</v>
      </c>
      <c r="AG5" s="255">
        <v>407</v>
      </c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76">
        <f t="shared" si="5"/>
        <v>407</v>
      </c>
      <c r="AT5" s="76" t="s">
        <v>518</v>
      </c>
      <c r="AU5" s="76" t="s">
        <v>24</v>
      </c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>
        <f t="shared" si="12"/>
        <v>0</v>
      </c>
      <c r="BI5" s="76" t="s">
        <v>518</v>
      </c>
      <c r="BJ5" s="76" t="s">
        <v>24</v>
      </c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>
        <f t="shared" si="13"/>
        <v>0</v>
      </c>
      <c r="BX5" s="76" t="s">
        <v>518</v>
      </c>
      <c r="BY5" s="76" t="s">
        <v>24</v>
      </c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>
        <f t="shared" si="14"/>
        <v>0</v>
      </c>
      <c r="CM5" s="211">
        <f t="shared" si="15"/>
        <v>484.35999999999967</v>
      </c>
      <c r="CN5" s="211">
        <f t="shared" si="16"/>
        <v>2</v>
      </c>
      <c r="CO5" s="211">
        <f t="shared" si="17"/>
        <v>-102.9</v>
      </c>
      <c r="CP5" s="211">
        <f t="shared" si="18"/>
        <v>0</v>
      </c>
    </row>
    <row r="6" spans="1:94" s="6" customFormat="1" ht="24.6" customHeight="1" x14ac:dyDescent="0.3">
      <c r="A6" s="4">
        <v>4</v>
      </c>
      <c r="B6" s="76" t="s">
        <v>133</v>
      </c>
      <c r="C6" s="76" t="s">
        <v>24</v>
      </c>
      <c r="D6" s="76"/>
      <c r="E6" s="76" t="s">
        <v>135</v>
      </c>
      <c r="F6" s="76" t="s">
        <v>505</v>
      </c>
      <c r="G6" s="76" t="s">
        <v>158</v>
      </c>
      <c r="H6" s="215">
        <v>45427</v>
      </c>
      <c r="I6" s="215"/>
      <c r="J6" s="255">
        <v>5000</v>
      </c>
      <c r="K6" s="211">
        <v>1024</v>
      </c>
      <c r="L6" s="211"/>
      <c r="M6" s="211">
        <v>55</v>
      </c>
      <c r="N6" s="211"/>
      <c r="O6" s="211">
        <f t="shared" si="0"/>
        <v>1079</v>
      </c>
      <c r="P6" s="211">
        <v>1391</v>
      </c>
      <c r="Q6" s="211">
        <v>8.5</v>
      </c>
      <c r="R6" s="211"/>
      <c r="S6" s="211"/>
      <c r="T6" s="211">
        <f t="shared" si="6"/>
        <v>1399.5</v>
      </c>
      <c r="U6" s="211">
        <f t="shared" si="1"/>
        <v>-367</v>
      </c>
      <c r="V6" s="211">
        <f t="shared" si="2"/>
        <v>-8.5</v>
      </c>
      <c r="W6" s="211">
        <f t="shared" si="3"/>
        <v>55</v>
      </c>
      <c r="X6" s="211">
        <f t="shared" si="4"/>
        <v>0</v>
      </c>
      <c r="Y6" s="211">
        <f t="shared" si="7"/>
        <v>-320.5</v>
      </c>
      <c r="Z6" s="211">
        <f t="shared" si="19"/>
        <v>0</v>
      </c>
      <c r="AA6" s="211">
        <f t="shared" si="8"/>
        <v>0</v>
      </c>
      <c r="AB6" s="211">
        <f t="shared" si="9"/>
        <v>0</v>
      </c>
      <c r="AC6" s="211">
        <f t="shared" si="10"/>
        <v>0</v>
      </c>
      <c r="AD6" s="211">
        <f t="shared" si="11"/>
        <v>0</v>
      </c>
      <c r="AE6" s="76" t="s">
        <v>518</v>
      </c>
      <c r="AF6" s="76" t="s">
        <v>24</v>
      </c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76">
        <f t="shared" si="5"/>
        <v>0</v>
      </c>
      <c r="AT6" s="76" t="s">
        <v>518</v>
      </c>
      <c r="AU6" s="76" t="s">
        <v>24</v>
      </c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>
        <f t="shared" si="12"/>
        <v>0</v>
      </c>
      <c r="BI6" s="76" t="s">
        <v>518</v>
      </c>
      <c r="BJ6" s="76" t="s">
        <v>24</v>
      </c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>
        <f t="shared" si="13"/>
        <v>0</v>
      </c>
      <c r="BX6" s="76" t="s">
        <v>518</v>
      </c>
      <c r="BY6" s="76" t="s">
        <v>24</v>
      </c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>
        <f t="shared" si="14"/>
        <v>0</v>
      </c>
      <c r="CM6" s="211">
        <f t="shared" si="15"/>
        <v>-367</v>
      </c>
      <c r="CN6" s="211">
        <f t="shared" si="16"/>
        <v>-8.5</v>
      </c>
      <c r="CO6" s="211">
        <f t="shared" si="17"/>
        <v>55</v>
      </c>
      <c r="CP6" s="211">
        <f t="shared" si="18"/>
        <v>0</v>
      </c>
    </row>
    <row r="7" spans="1:94" s="6" customFormat="1" ht="24.6" customHeight="1" x14ac:dyDescent="0.3">
      <c r="A7" s="78">
        <v>5</v>
      </c>
      <c r="B7" s="76" t="s">
        <v>134</v>
      </c>
      <c r="C7" s="76" t="s">
        <v>24</v>
      </c>
      <c r="D7" s="76"/>
      <c r="E7" s="76" t="s">
        <v>136</v>
      </c>
      <c r="F7" s="76"/>
      <c r="G7" s="76" t="s">
        <v>158</v>
      </c>
      <c r="H7" s="215">
        <v>45427</v>
      </c>
      <c r="I7" s="215"/>
      <c r="J7" s="255">
        <v>5000</v>
      </c>
      <c r="K7" s="211">
        <v>1024</v>
      </c>
      <c r="L7" s="211">
        <v>55</v>
      </c>
      <c r="M7" s="211"/>
      <c r="N7" s="211"/>
      <c r="O7" s="211">
        <f t="shared" si="0"/>
        <v>1079</v>
      </c>
      <c r="P7" s="211">
        <v>1497</v>
      </c>
      <c r="Q7" s="211"/>
      <c r="R7" s="211">
        <v>5</v>
      </c>
      <c r="S7" s="211"/>
      <c r="T7" s="211">
        <f t="shared" si="6"/>
        <v>1502</v>
      </c>
      <c r="U7" s="211">
        <f t="shared" si="1"/>
        <v>-473</v>
      </c>
      <c r="V7" s="211">
        <f t="shared" si="2"/>
        <v>55</v>
      </c>
      <c r="W7" s="211">
        <f t="shared" si="3"/>
        <v>-5</v>
      </c>
      <c r="X7" s="211">
        <f t="shared" si="4"/>
        <v>0</v>
      </c>
      <c r="Y7" s="211">
        <f t="shared" si="7"/>
        <v>-423</v>
      </c>
      <c r="Z7" s="211">
        <f t="shared" si="19"/>
        <v>200</v>
      </c>
      <c r="AA7" s="211">
        <f t="shared" si="8"/>
        <v>55</v>
      </c>
      <c r="AB7" s="211">
        <f t="shared" si="9"/>
        <v>0</v>
      </c>
      <c r="AC7" s="211">
        <f t="shared" si="10"/>
        <v>0</v>
      </c>
      <c r="AD7" s="211">
        <f t="shared" si="11"/>
        <v>255</v>
      </c>
      <c r="AE7" s="76" t="s">
        <v>518</v>
      </c>
      <c r="AF7" s="76" t="s">
        <v>24</v>
      </c>
      <c r="AG7" s="255">
        <v>200</v>
      </c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76">
        <f t="shared" si="5"/>
        <v>200</v>
      </c>
      <c r="AT7" s="76" t="s">
        <v>518</v>
      </c>
      <c r="AU7" s="76" t="s">
        <v>24</v>
      </c>
      <c r="AV7" s="76">
        <v>55</v>
      </c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>
        <f t="shared" si="12"/>
        <v>55</v>
      </c>
      <c r="BI7" s="76" t="s">
        <v>518</v>
      </c>
      <c r="BJ7" s="76" t="s">
        <v>24</v>
      </c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>
        <f t="shared" si="13"/>
        <v>0</v>
      </c>
      <c r="BX7" s="76" t="s">
        <v>518</v>
      </c>
      <c r="BY7" s="76" t="s">
        <v>24</v>
      </c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>
        <f t="shared" si="14"/>
        <v>0</v>
      </c>
      <c r="CM7" s="211">
        <f t="shared" si="15"/>
        <v>-673</v>
      </c>
      <c r="CN7" s="211">
        <f t="shared" si="16"/>
        <v>0</v>
      </c>
      <c r="CO7" s="211">
        <f t="shared" si="17"/>
        <v>-5</v>
      </c>
      <c r="CP7" s="211">
        <f t="shared" si="18"/>
        <v>0</v>
      </c>
    </row>
    <row r="8" spans="1:94" s="6" customFormat="1" ht="22.95" customHeight="1" x14ac:dyDescent="0.3">
      <c r="A8" s="4">
        <v>6</v>
      </c>
      <c r="B8" s="76" t="s">
        <v>137</v>
      </c>
      <c r="C8" s="76" t="s">
        <v>24</v>
      </c>
      <c r="D8" s="76"/>
      <c r="E8" s="76" t="s">
        <v>138</v>
      </c>
      <c r="F8" s="76" t="s">
        <v>506</v>
      </c>
      <c r="G8" s="76" t="s">
        <v>157</v>
      </c>
      <c r="H8" s="215"/>
      <c r="I8" s="215">
        <v>45657</v>
      </c>
      <c r="J8" s="255">
        <v>15890</v>
      </c>
      <c r="K8" s="211">
        <v>5960</v>
      </c>
      <c r="L8" s="211">
        <v>280</v>
      </c>
      <c r="M8" s="211">
        <v>150</v>
      </c>
      <c r="N8" s="211">
        <v>300</v>
      </c>
      <c r="O8" s="211">
        <f t="shared" si="0"/>
        <v>6690</v>
      </c>
      <c r="P8" s="235">
        <v>8422</v>
      </c>
      <c r="Q8" s="211">
        <v>474.2</v>
      </c>
      <c r="R8" s="211">
        <v>303</v>
      </c>
      <c r="S8" s="211"/>
      <c r="T8" s="211">
        <f t="shared" si="6"/>
        <v>9199.2000000000007</v>
      </c>
      <c r="U8" s="211">
        <f t="shared" si="1"/>
        <v>-2462</v>
      </c>
      <c r="V8" s="211">
        <f t="shared" si="2"/>
        <v>-194.2</v>
      </c>
      <c r="W8" s="211">
        <f t="shared" si="3"/>
        <v>-153</v>
      </c>
      <c r="X8" s="211">
        <f t="shared" si="4"/>
        <v>300</v>
      </c>
      <c r="Y8" s="211">
        <f t="shared" si="7"/>
        <v>-2509.1999999999998</v>
      </c>
      <c r="Z8" s="211">
        <f t="shared" si="19"/>
        <v>0</v>
      </c>
      <c r="AA8" s="211">
        <f t="shared" si="8"/>
        <v>0</v>
      </c>
      <c r="AB8" s="211">
        <f t="shared" si="9"/>
        <v>0</v>
      </c>
      <c r="AC8" s="211">
        <f t="shared" si="10"/>
        <v>0</v>
      </c>
      <c r="AD8" s="211">
        <f t="shared" si="11"/>
        <v>0</v>
      </c>
      <c r="AE8" s="76" t="s">
        <v>518</v>
      </c>
      <c r="AF8" s="76" t="s">
        <v>24</v>
      </c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76">
        <f t="shared" si="5"/>
        <v>0</v>
      </c>
      <c r="AT8" s="76" t="s">
        <v>518</v>
      </c>
      <c r="AU8" s="76" t="s">
        <v>24</v>
      </c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>
        <f t="shared" si="12"/>
        <v>0</v>
      </c>
      <c r="BI8" s="76" t="s">
        <v>518</v>
      </c>
      <c r="BJ8" s="76" t="s">
        <v>24</v>
      </c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>
        <f t="shared" si="13"/>
        <v>0</v>
      </c>
      <c r="BX8" s="76" t="s">
        <v>518</v>
      </c>
      <c r="BY8" s="76" t="s">
        <v>24</v>
      </c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>
        <f t="shared" si="14"/>
        <v>0</v>
      </c>
      <c r="CM8" s="211">
        <f t="shared" si="15"/>
        <v>-2462</v>
      </c>
      <c r="CN8" s="211">
        <f t="shared" si="16"/>
        <v>-194.2</v>
      </c>
      <c r="CO8" s="211">
        <f t="shared" si="17"/>
        <v>-153</v>
      </c>
      <c r="CP8" s="211">
        <f t="shared" si="18"/>
        <v>300</v>
      </c>
    </row>
    <row r="9" spans="1:94" s="6" customFormat="1" ht="24.6" customHeight="1" x14ac:dyDescent="0.3">
      <c r="A9" s="78">
        <v>7</v>
      </c>
      <c r="B9" s="76" t="s">
        <v>151</v>
      </c>
      <c r="C9" s="76" t="s">
        <v>24</v>
      </c>
      <c r="D9" s="76"/>
      <c r="E9" s="76" t="s">
        <v>139</v>
      </c>
      <c r="F9" s="76" t="s">
        <v>506</v>
      </c>
      <c r="G9" s="76" t="s">
        <v>157</v>
      </c>
      <c r="H9" s="215"/>
      <c r="I9" s="215">
        <v>45657</v>
      </c>
      <c r="J9" s="255">
        <v>732</v>
      </c>
      <c r="K9" s="211"/>
      <c r="L9" s="211"/>
      <c r="M9" s="211"/>
      <c r="N9" s="211"/>
      <c r="O9" s="211">
        <f t="shared" si="0"/>
        <v>0</v>
      </c>
      <c r="P9" s="211"/>
      <c r="Q9" s="211"/>
      <c r="R9" s="211"/>
      <c r="S9" s="211"/>
      <c r="T9" s="211">
        <f t="shared" si="6"/>
        <v>0</v>
      </c>
      <c r="U9" s="211">
        <f t="shared" si="1"/>
        <v>0</v>
      </c>
      <c r="V9" s="211">
        <f t="shared" si="2"/>
        <v>0</v>
      </c>
      <c r="W9" s="211">
        <f t="shared" si="3"/>
        <v>0</v>
      </c>
      <c r="X9" s="211">
        <f t="shared" si="4"/>
        <v>0</v>
      </c>
      <c r="Y9" s="211">
        <f t="shared" si="7"/>
        <v>0</v>
      </c>
      <c r="Z9" s="211">
        <f t="shared" si="19"/>
        <v>0</v>
      </c>
      <c r="AA9" s="211">
        <f t="shared" si="8"/>
        <v>0</v>
      </c>
      <c r="AB9" s="211">
        <f t="shared" si="9"/>
        <v>0</v>
      </c>
      <c r="AC9" s="211">
        <f t="shared" si="10"/>
        <v>0</v>
      </c>
      <c r="AD9" s="211">
        <f t="shared" si="11"/>
        <v>0</v>
      </c>
      <c r="AE9" s="76" t="s">
        <v>518</v>
      </c>
      <c r="AF9" s="76" t="s">
        <v>24</v>
      </c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76">
        <f t="shared" si="5"/>
        <v>0</v>
      </c>
      <c r="AT9" s="76" t="s">
        <v>518</v>
      </c>
      <c r="AU9" s="76" t="s">
        <v>24</v>
      </c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>
        <f t="shared" si="12"/>
        <v>0</v>
      </c>
      <c r="BI9" s="76" t="s">
        <v>518</v>
      </c>
      <c r="BJ9" s="76" t="s">
        <v>24</v>
      </c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>
        <f t="shared" si="13"/>
        <v>0</v>
      </c>
      <c r="BX9" s="76" t="s">
        <v>518</v>
      </c>
      <c r="BY9" s="76" t="s">
        <v>24</v>
      </c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>
        <f t="shared" si="14"/>
        <v>0</v>
      </c>
      <c r="CM9" s="211">
        <f t="shared" si="15"/>
        <v>0</v>
      </c>
      <c r="CN9" s="211">
        <f t="shared" si="16"/>
        <v>0</v>
      </c>
      <c r="CO9" s="211">
        <f t="shared" si="17"/>
        <v>0</v>
      </c>
      <c r="CP9" s="211">
        <f t="shared" si="18"/>
        <v>0</v>
      </c>
    </row>
    <row r="10" spans="1:94" s="6" customFormat="1" ht="24.6" customHeight="1" x14ac:dyDescent="0.3">
      <c r="A10" s="4">
        <v>8</v>
      </c>
      <c r="B10" s="76" t="s">
        <v>152</v>
      </c>
      <c r="C10" s="76" t="s">
        <v>24</v>
      </c>
      <c r="D10" s="76"/>
      <c r="E10" s="76" t="s">
        <v>140</v>
      </c>
      <c r="F10" s="76" t="s">
        <v>505</v>
      </c>
      <c r="G10" s="76" t="s">
        <v>157</v>
      </c>
      <c r="H10" s="215"/>
      <c r="I10" s="215">
        <v>45657</v>
      </c>
      <c r="J10" s="255">
        <v>236</v>
      </c>
      <c r="K10" s="211"/>
      <c r="L10" s="211"/>
      <c r="M10" s="211"/>
      <c r="N10" s="211"/>
      <c r="O10" s="211">
        <f t="shared" si="0"/>
        <v>0</v>
      </c>
      <c r="P10" s="211"/>
      <c r="Q10" s="211"/>
      <c r="R10" s="211"/>
      <c r="S10" s="211"/>
      <c r="T10" s="211">
        <f t="shared" si="6"/>
        <v>0</v>
      </c>
      <c r="U10" s="211">
        <f t="shared" si="1"/>
        <v>0</v>
      </c>
      <c r="V10" s="211">
        <f t="shared" si="2"/>
        <v>0</v>
      </c>
      <c r="W10" s="211">
        <f t="shared" si="3"/>
        <v>0</v>
      </c>
      <c r="X10" s="211">
        <f t="shared" si="4"/>
        <v>0</v>
      </c>
      <c r="Y10" s="211">
        <f t="shared" si="7"/>
        <v>0</v>
      </c>
      <c r="Z10" s="211">
        <f t="shared" si="19"/>
        <v>0</v>
      </c>
      <c r="AA10" s="211">
        <f t="shared" si="8"/>
        <v>0</v>
      </c>
      <c r="AB10" s="211">
        <f t="shared" si="9"/>
        <v>0</v>
      </c>
      <c r="AC10" s="211">
        <f t="shared" si="10"/>
        <v>0</v>
      </c>
      <c r="AD10" s="211">
        <f t="shared" si="11"/>
        <v>0</v>
      </c>
      <c r="AE10" s="76" t="s">
        <v>518</v>
      </c>
      <c r="AF10" s="76" t="s">
        <v>24</v>
      </c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76">
        <f t="shared" si="5"/>
        <v>0</v>
      </c>
      <c r="AT10" s="76" t="s">
        <v>518</v>
      </c>
      <c r="AU10" s="76" t="s">
        <v>24</v>
      </c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>
        <f t="shared" si="12"/>
        <v>0</v>
      </c>
      <c r="BI10" s="76" t="s">
        <v>518</v>
      </c>
      <c r="BJ10" s="76" t="s">
        <v>24</v>
      </c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>
        <f t="shared" si="13"/>
        <v>0</v>
      </c>
      <c r="BX10" s="76" t="s">
        <v>518</v>
      </c>
      <c r="BY10" s="76" t="s">
        <v>24</v>
      </c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>
        <f t="shared" si="14"/>
        <v>0</v>
      </c>
      <c r="CM10" s="211">
        <f t="shared" si="15"/>
        <v>0</v>
      </c>
      <c r="CN10" s="211">
        <f t="shared" si="16"/>
        <v>0</v>
      </c>
      <c r="CO10" s="211">
        <f t="shared" si="17"/>
        <v>0</v>
      </c>
      <c r="CP10" s="211">
        <f t="shared" si="18"/>
        <v>0</v>
      </c>
    </row>
    <row r="11" spans="1:94" s="6" customFormat="1" ht="75.599999999999994" x14ac:dyDescent="0.3">
      <c r="A11" s="78">
        <v>9</v>
      </c>
      <c r="B11" s="76" t="s">
        <v>146</v>
      </c>
      <c r="C11" s="76" t="s">
        <v>24</v>
      </c>
      <c r="D11" s="76"/>
      <c r="E11" s="76" t="s">
        <v>147</v>
      </c>
      <c r="F11" s="76" t="s">
        <v>505</v>
      </c>
      <c r="G11" s="76" t="s">
        <v>157</v>
      </c>
      <c r="H11" s="215">
        <v>45463</v>
      </c>
      <c r="I11" s="215">
        <v>45736</v>
      </c>
      <c r="J11" s="255">
        <v>60000</v>
      </c>
      <c r="K11" s="211">
        <v>6000</v>
      </c>
      <c r="L11" s="211">
        <v>172</v>
      </c>
      <c r="M11" s="211"/>
      <c r="N11" s="211"/>
      <c r="O11" s="211">
        <f t="shared" si="0"/>
        <v>6172</v>
      </c>
      <c r="P11" s="211">
        <v>8267.67</v>
      </c>
      <c r="Q11" s="211">
        <v>24</v>
      </c>
      <c r="R11" s="211">
        <v>231</v>
      </c>
      <c r="S11" s="211">
        <v>7</v>
      </c>
      <c r="T11" s="211">
        <f t="shared" si="6"/>
        <v>8529.67</v>
      </c>
      <c r="U11" s="211">
        <f t="shared" si="1"/>
        <v>-2267.67</v>
      </c>
      <c r="V11" s="211">
        <f t="shared" si="2"/>
        <v>148</v>
      </c>
      <c r="W11" s="211">
        <f t="shared" si="3"/>
        <v>-231</v>
      </c>
      <c r="X11" s="211">
        <f t="shared" si="4"/>
        <v>-7</v>
      </c>
      <c r="Y11" s="211">
        <f t="shared" si="7"/>
        <v>-2357.67</v>
      </c>
      <c r="Z11" s="211">
        <f t="shared" si="19"/>
        <v>0</v>
      </c>
      <c r="AA11" s="211">
        <f t="shared" si="8"/>
        <v>0</v>
      </c>
      <c r="AB11" s="211">
        <f t="shared" si="9"/>
        <v>0</v>
      </c>
      <c r="AC11" s="211">
        <f t="shared" si="10"/>
        <v>0</v>
      </c>
      <c r="AD11" s="211">
        <f t="shared" si="11"/>
        <v>0</v>
      </c>
      <c r="AE11" s="76" t="s">
        <v>518</v>
      </c>
      <c r="AF11" s="76" t="s">
        <v>24</v>
      </c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76">
        <f t="shared" si="5"/>
        <v>0</v>
      </c>
      <c r="AT11" s="76" t="s">
        <v>518</v>
      </c>
      <c r="AU11" s="76" t="s">
        <v>24</v>
      </c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>
        <f t="shared" si="12"/>
        <v>0</v>
      </c>
      <c r="BI11" s="76" t="s">
        <v>518</v>
      </c>
      <c r="BJ11" s="76" t="s">
        <v>24</v>
      </c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>
        <f t="shared" si="13"/>
        <v>0</v>
      </c>
      <c r="BX11" s="76" t="s">
        <v>518</v>
      </c>
      <c r="BY11" s="76" t="s">
        <v>24</v>
      </c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>
        <f t="shared" si="14"/>
        <v>0</v>
      </c>
      <c r="CM11" s="211">
        <f t="shared" si="15"/>
        <v>-2267.67</v>
      </c>
      <c r="CN11" s="211">
        <f t="shared" si="16"/>
        <v>148</v>
      </c>
      <c r="CO11" s="211">
        <f t="shared" si="17"/>
        <v>-231</v>
      </c>
      <c r="CP11" s="211">
        <f t="shared" si="18"/>
        <v>-7</v>
      </c>
    </row>
    <row r="12" spans="1:94" s="6" customFormat="1" ht="25.2" x14ac:dyDescent="0.3">
      <c r="A12" s="4">
        <v>10</v>
      </c>
      <c r="B12" s="76" t="s">
        <v>180</v>
      </c>
      <c r="C12" s="76">
        <v>72003581</v>
      </c>
      <c r="D12" s="76"/>
      <c r="E12" s="76" t="s">
        <v>48</v>
      </c>
      <c r="F12" s="76" t="s">
        <v>505</v>
      </c>
      <c r="G12" s="76" t="s">
        <v>157</v>
      </c>
      <c r="H12" s="215">
        <v>44748</v>
      </c>
      <c r="I12" s="215">
        <v>45026</v>
      </c>
      <c r="J12" s="255"/>
      <c r="K12" s="211"/>
      <c r="L12" s="211">
        <v>450</v>
      </c>
      <c r="M12" s="211"/>
      <c r="N12" s="211">
        <v>200</v>
      </c>
      <c r="O12" s="211">
        <f t="shared" si="0"/>
        <v>650</v>
      </c>
      <c r="P12" s="211">
        <v>204</v>
      </c>
      <c r="Q12" s="211">
        <v>1462.8</v>
      </c>
      <c r="R12" s="211">
        <v>133.4</v>
      </c>
      <c r="S12" s="211">
        <v>838</v>
      </c>
      <c r="T12" s="211">
        <f t="shared" si="6"/>
        <v>2638.2</v>
      </c>
      <c r="U12" s="211">
        <f t="shared" si="1"/>
        <v>-204</v>
      </c>
      <c r="V12" s="211">
        <f t="shared" si="2"/>
        <v>-1012.8</v>
      </c>
      <c r="W12" s="211">
        <f t="shared" si="3"/>
        <v>-133.4</v>
      </c>
      <c r="X12" s="211">
        <f t="shared" si="4"/>
        <v>-638</v>
      </c>
      <c r="Y12" s="211">
        <f t="shared" si="7"/>
        <v>-1988.2</v>
      </c>
      <c r="Z12" s="211">
        <f t="shared" si="19"/>
        <v>0</v>
      </c>
      <c r="AA12" s="211">
        <f t="shared" si="8"/>
        <v>0</v>
      </c>
      <c r="AB12" s="211">
        <f t="shared" si="9"/>
        <v>0</v>
      </c>
      <c r="AC12" s="211">
        <f t="shared" si="10"/>
        <v>0</v>
      </c>
      <c r="AD12" s="211">
        <f t="shared" si="11"/>
        <v>0</v>
      </c>
      <c r="AE12" s="76" t="s">
        <v>518</v>
      </c>
      <c r="AF12" s="76" t="s">
        <v>23</v>
      </c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76">
        <f t="shared" si="5"/>
        <v>0</v>
      </c>
      <c r="AT12" s="76" t="s">
        <v>518</v>
      </c>
      <c r="AU12" s="76" t="s">
        <v>23</v>
      </c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>
        <f t="shared" si="12"/>
        <v>0</v>
      </c>
      <c r="BI12" s="76" t="s">
        <v>518</v>
      </c>
      <c r="BJ12" s="76" t="s">
        <v>23</v>
      </c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>
        <f t="shared" si="13"/>
        <v>0</v>
      </c>
      <c r="BX12" s="76" t="s">
        <v>518</v>
      </c>
      <c r="BY12" s="76" t="s">
        <v>23</v>
      </c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>
        <f t="shared" si="14"/>
        <v>0</v>
      </c>
      <c r="CM12" s="211">
        <f t="shared" si="15"/>
        <v>-204</v>
      </c>
      <c r="CN12" s="211">
        <f t="shared" si="16"/>
        <v>-1012.8</v>
      </c>
      <c r="CO12" s="211">
        <f t="shared" si="17"/>
        <v>-133.4</v>
      </c>
      <c r="CP12" s="211">
        <f t="shared" si="18"/>
        <v>-638</v>
      </c>
    </row>
    <row r="13" spans="1:94" s="6" customFormat="1" ht="30" customHeight="1" x14ac:dyDescent="0.3">
      <c r="A13" s="78">
        <v>11</v>
      </c>
      <c r="B13" s="76" t="s">
        <v>179</v>
      </c>
      <c r="C13" s="76">
        <v>72003480</v>
      </c>
      <c r="D13" s="76"/>
      <c r="E13" s="76" t="s">
        <v>63</v>
      </c>
      <c r="F13" s="76" t="s">
        <v>505</v>
      </c>
      <c r="G13" s="76" t="s">
        <v>157</v>
      </c>
      <c r="H13" s="215">
        <v>44687</v>
      </c>
      <c r="I13" s="215">
        <v>45949</v>
      </c>
      <c r="J13" s="255"/>
      <c r="K13" s="211"/>
      <c r="L13" s="211"/>
      <c r="M13" s="211"/>
      <c r="N13" s="211"/>
      <c r="O13" s="211">
        <f t="shared" si="0"/>
        <v>0</v>
      </c>
      <c r="P13" s="211"/>
      <c r="Q13" s="211"/>
      <c r="R13" s="211">
        <v>3</v>
      </c>
      <c r="S13" s="211">
        <v>1000</v>
      </c>
      <c r="T13" s="211">
        <f t="shared" si="6"/>
        <v>1003</v>
      </c>
      <c r="U13" s="211">
        <f t="shared" si="1"/>
        <v>0</v>
      </c>
      <c r="V13" s="211">
        <f t="shared" si="2"/>
        <v>0</v>
      </c>
      <c r="W13" s="211">
        <f t="shared" si="3"/>
        <v>-3</v>
      </c>
      <c r="X13" s="211">
        <f t="shared" si="4"/>
        <v>-1000</v>
      </c>
      <c r="Y13" s="211">
        <f t="shared" si="7"/>
        <v>-1003</v>
      </c>
      <c r="Z13" s="211">
        <f t="shared" si="19"/>
        <v>0</v>
      </c>
      <c r="AA13" s="211">
        <f t="shared" si="8"/>
        <v>0</v>
      </c>
      <c r="AB13" s="211">
        <f t="shared" si="9"/>
        <v>0</v>
      </c>
      <c r="AC13" s="211">
        <f t="shared" si="10"/>
        <v>0</v>
      </c>
      <c r="AD13" s="211">
        <f t="shared" si="11"/>
        <v>0</v>
      </c>
      <c r="AE13" s="76" t="s">
        <v>518</v>
      </c>
      <c r="AF13" s="76" t="s">
        <v>23</v>
      </c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76">
        <f t="shared" si="5"/>
        <v>0</v>
      </c>
      <c r="AT13" s="76" t="s">
        <v>518</v>
      </c>
      <c r="AU13" s="76" t="s">
        <v>23</v>
      </c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>
        <f t="shared" si="12"/>
        <v>0</v>
      </c>
      <c r="BI13" s="76" t="s">
        <v>518</v>
      </c>
      <c r="BJ13" s="76" t="s">
        <v>23</v>
      </c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>
        <f t="shared" si="13"/>
        <v>0</v>
      </c>
      <c r="BX13" s="76" t="s">
        <v>518</v>
      </c>
      <c r="BY13" s="76" t="s">
        <v>23</v>
      </c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>
        <f t="shared" si="14"/>
        <v>0</v>
      </c>
      <c r="CM13" s="211">
        <f t="shared" si="15"/>
        <v>0</v>
      </c>
      <c r="CN13" s="211">
        <f t="shared" si="16"/>
        <v>0</v>
      </c>
      <c r="CO13" s="211">
        <f t="shared" si="17"/>
        <v>-3</v>
      </c>
      <c r="CP13" s="211">
        <f t="shared" si="18"/>
        <v>-1000</v>
      </c>
    </row>
    <row r="14" spans="1:94" s="6" customFormat="1" ht="30" customHeight="1" x14ac:dyDescent="0.3">
      <c r="A14" s="4">
        <v>12</v>
      </c>
      <c r="B14" s="76" t="s">
        <v>371</v>
      </c>
      <c r="C14" s="76">
        <v>72004059</v>
      </c>
      <c r="D14" s="76"/>
      <c r="E14" s="76" t="s">
        <v>64</v>
      </c>
      <c r="F14" s="76" t="s">
        <v>505</v>
      </c>
      <c r="G14" s="76" t="s">
        <v>157</v>
      </c>
      <c r="H14" s="215">
        <v>44925</v>
      </c>
      <c r="I14" s="215">
        <v>45949</v>
      </c>
      <c r="J14" s="255"/>
      <c r="K14" s="211"/>
      <c r="L14" s="211"/>
      <c r="M14" s="211"/>
      <c r="N14" s="211"/>
      <c r="O14" s="211"/>
      <c r="P14" s="211"/>
      <c r="Q14" s="211"/>
      <c r="R14" s="211"/>
      <c r="S14" s="211">
        <v>520</v>
      </c>
      <c r="T14" s="211">
        <f t="shared" si="6"/>
        <v>520</v>
      </c>
      <c r="U14" s="211">
        <f t="shared" si="1"/>
        <v>0</v>
      </c>
      <c r="V14" s="211">
        <f t="shared" si="2"/>
        <v>0</v>
      </c>
      <c r="W14" s="211">
        <f t="shared" si="3"/>
        <v>0</v>
      </c>
      <c r="X14" s="211">
        <f t="shared" si="4"/>
        <v>-520</v>
      </c>
      <c r="Y14" s="211">
        <f t="shared" si="7"/>
        <v>-520</v>
      </c>
      <c r="Z14" s="211">
        <f t="shared" si="19"/>
        <v>0</v>
      </c>
      <c r="AA14" s="211">
        <f t="shared" si="8"/>
        <v>0</v>
      </c>
      <c r="AB14" s="211">
        <f t="shared" si="9"/>
        <v>0</v>
      </c>
      <c r="AC14" s="211">
        <f t="shared" si="10"/>
        <v>0</v>
      </c>
      <c r="AD14" s="211">
        <f t="shared" si="11"/>
        <v>0</v>
      </c>
      <c r="AE14" s="76" t="s">
        <v>518</v>
      </c>
      <c r="AF14" s="76" t="s">
        <v>23</v>
      </c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76">
        <f t="shared" si="5"/>
        <v>0</v>
      </c>
      <c r="AT14" s="76" t="s">
        <v>518</v>
      </c>
      <c r="AU14" s="76" t="s">
        <v>23</v>
      </c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>
        <f t="shared" si="12"/>
        <v>0</v>
      </c>
      <c r="BI14" s="76" t="s">
        <v>518</v>
      </c>
      <c r="BJ14" s="76" t="s">
        <v>23</v>
      </c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>
        <f t="shared" si="13"/>
        <v>0</v>
      </c>
      <c r="BX14" s="76" t="s">
        <v>518</v>
      </c>
      <c r="BY14" s="76" t="s">
        <v>23</v>
      </c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>
        <f t="shared" si="14"/>
        <v>0</v>
      </c>
      <c r="CM14" s="211">
        <f t="shared" si="15"/>
        <v>0</v>
      </c>
      <c r="CN14" s="211">
        <f t="shared" si="16"/>
        <v>0</v>
      </c>
      <c r="CO14" s="211">
        <f t="shared" si="17"/>
        <v>0</v>
      </c>
      <c r="CP14" s="211">
        <f t="shared" si="18"/>
        <v>-520</v>
      </c>
    </row>
    <row r="15" spans="1:94" s="6" customFormat="1" ht="24" customHeight="1" x14ac:dyDescent="0.3">
      <c r="A15" s="78">
        <v>13</v>
      </c>
      <c r="B15" s="76" t="s">
        <v>372</v>
      </c>
      <c r="C15" s="76">
        <v>72004601</v>
      </c>
      <c r="D15" s="76"/>
      <c r="E15" s="76" t="s">
        <v>131</v>
      </c>
      <c r="F15" s="76"/>
      <c r="G15" s="76" t="s">
        <v>156</v>
      </c>
      <c r="H15" s="215">
        <v>45394</v>
      </c>
      <c r="I15" s="215">
        <v>45777</v>
      </c>
      <c r="J15" s="255">
        <v>35000</v>
      </c>
      <c r="K15" s="211">
        <v>8000</v>
      </c>
      <c r="L15" s="211"/>
      <c r="M15" s="211">
        <v>30</v>
      </c>
      <c r="N15" s="211"/>
      <c r="O15" s="211">
        <f t="shared" si="0"/>
        <v>8030</v>
      </c>
      <c r="P15" s="211">
        <v>2311</v>
      </c>
      <c r="Q15" s="211"/>
      <c r="R15" s="211"/>
      <c r="S15" s="211"/>
      <c r="T15" s="211">
        <f t="shared" si="6"/>
        <v>2311</v>
      </c>
      <c r="U15" s="211">
        <f t="shared" si="1"/>
        <v>5689</v>
      </c>
      <c r="V15" s="211">
        <f t="shared" si="2"/>
        <v>0</v>
      </c>
      <c r="W15" s="211">
        <f t="shared" si="3"/>
        <v>30</v>
      </c>
      <c r="X15" s="211">
        <f t="shared" si="4"/>
        <v>0</v>
      </c>
      <c r="Y15" s="211">
        <f t="shared" si="7"/>
        <v>5719</v>
      </c>
      <c r="Z15" s="211">
        <f t="shared" si="19"/>
        <v>8689</v>
      </c>
      <c r="AA15" s="211">
        <f t="shared" si="8"/>
        <v>0</v>
      </c>
      <c r="AB15" s="211">
        <f t="shared" si="9"/>
        <v>30</v>
      </c>
      <c r="AC15" s="211">
        <f t="shared" si="10"/>
        <v>0</v>
      </c>
      <c r="AD15" s="211">
        <f t="shared" si="11"/>
        <v>8719</v>
      </c>
      <c r="AE15" s="76" t="s">
        <v>518</v>
      </c>
      <c r="AF15" s="76" t="s">
        <v>23</v>
      </c>
      <c r="AG15" s="255">
        <v>2173</v>
      </c>
      <c r="AH15" s="255">
        <v>2172</v>
      </c>
      <c r="AI15" s="255">
        <v>2172</v>
      </c>
      <c r="AJ15" s="255">
        <v>2172</v>
      </c>
      <c r="AK15" s="255"/>
      <c r="AL15" s="255"/>
      <c r="AM15" s="255"/>
      <c r="AN15" s="255"/>
      <c r="AO15" s="255"/>
      <c r="AP15" s="255"/>
      <c r="AQ15" s="255"/>
      <c r="AR15" s="255"/>
      <c r="AS15" s="76">
        <f t="shared" si="5"/>
        <v>8689</v>
      </c>
      <c r="AT15" s="76" t="s">
        <v>518</v>
      </c>
      <c r="AU15" s="76" t="s">
        <v>23</v>
      </c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>
        <f t="shared" si="12"/>
        <v>0</v>
      </c>
      <c r="BI15" s="76" t="s">
        <v>518</v>
      </c>
      <c r="BJ15" s="76" t="s">
        <v>23</v>
      </c>
      <c r="BK15" s="76">
        <v>30</v>
      </c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>
        <f t="shared" si="13"/>
        <v>30</v>
      </c>
      <c r="BX15" s="76" t="s">
        <v>518</v>
      </c>
      <c r="BY15" s="76" t="s">
        <v>23</v>
      </c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>
        <f t="shared" si="14"/>
        <v>0</v>
      </c>
      <c r="CM15" s="211">
        <f t="shared" si="15"/>
        <v>-3000</v>
      </c>
      <c r="CN15" s="211">
        <f t="shared" si="16"/>
        <v>0</v>
      </c>
      <c r="CO15" s="211">
        <f t="shared" si="17"/>
        <v>0</v>
      </c>
      <c r="CP15" s="211">
        <f t="shared" si="18"/>
        <v>0</v>
      </c>
    </row>
    <row r="16" spans="1:94" s="6" customFormat="1" ht="24.6" customHeight="1" x14ac:dyDescent="0.3">
      <c r="A16" s="4">
        <v>14</v>
      </c>
      <c r="B16" s="76" t="s">
        <v>181</v>
      </c>
      <c r="C16" s="76">
        <v>72005231</v>
      </c>
      <c r="D16" s="76"/>
      <c r="E16" s="76" t="s">
        <v>132</v>
      </c>
      <c r="F16" s="76" t="s">
        <v>506</v>
      </c>
      <c r="G16" s="76" t="s">
        <v>159</v>
      </c>
      <c r="H16" s="215">
        <v>45407</v>
      </c>
      <c r="I16" s="215">
        <v>45777</v>
      </c>
      <c r="J16" s="255">
        <v>60000</v>
      </c>
      <c r="K16" s="211">
        <v>6652</v>
      </c>
      <c r="L16" s="211">
        <v>1440</v>
      </c>
      <c r="M16" s="211"/>
      <c r="N16" s="211">
        <v>2500</v>
      </c>
      <c r="O16" s="211">
        <f t="shared" si="0"/>
        <v>10592</v>
      </c>
      <c r="P16" s="211">
        <v>8434.4500000000007</v>
      </c>
      <c r="Q16" s="211">
        <v>777</v>
      </c>
      <c r="R16" s="211">
        <v>597</v>
      </c>
      <c r="S16" s="211">
        <v>12</v>
      </c>
      <c r="T16" s="211">
        <f t="shared" si="6"/>
        <v>9820.4500000000007</v>
      </c>
      <c r="U16" s="211">
        <f t="shared" si="1"/>
        <v>-1782.4500000000007</v>
      </c>
      <c r="V16" s="211">
        <f t="shared" si="2"/>
        <v>663</v>
      </c>
      <c r="W16" s="211">
        <f t="shared" si="3"/>
        <v>-597</v>
      </c>
      <c r="X16" s="211">
        <f t="shared" si="4"/>
        <v>2488</v>
      </c>
      <c r="Y16" s="211">
        <f t="shared" si="7"/>
        <v>771.54999999999927</v>
      </c>
      <c r="Z16" s="211">
        <f t="shared" si="19"/>
        <v>0</v>
      </c>
      <c r="AA16" s="211">
        <f t="shared" si="8"/>
        <v>0</v>
      </c>
      <c r="AB16" s="211">
        <f t="shared" si="9"/>
        <v>0</v>
      </c>
      <c r="AC16" s="211">
        <f t="shared" si="10"/>
        <v>2488</v>
      </c>
      <c r="AD16" s="211">
        <f t="shared" si="11"/>
        <v>2488</v>
      </c>
      <c r="AE16" s="76" t="s">
        <v>518</v>
      </c>
      <c r="AF16" s="76" t="s">
        <v>23</v>
      </c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76">
        <f t="shared" si="5"/>
        <v>0</v>
      </c>
      <c r="AT16" s="76" t="s">
        <v>518</v>
      </c>
      <c r="AU16" s="76" t="s">
        <v>23</v>
      </c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>
        <f t="shared" si="12"/>
        <v>0</v>
      </c>
      <c r="BI16" s="76" t="s">
        <v>518</v>
      </c>
      <c r="BJ16" s="76" t="s">
        <v>23</v>
      </c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>
        <f t="shared" si="13"/>
        <v>0</v>
      </c>
      <c r="BX16" s="76" t="s">
        <v>518</v>
      </c>
      <c r="BY16" s="76" t="s">
        <v>23</v>
      </c>
      <c r="BZ16" s="76"/>
      <c r="CA16" s="76">
        <v>1244</v>
      </c>
      <c r="CB16" s="76">
        <v>1244</v>
      </c>
      <c r="CC16" s="76"/>
      <c r="CD16" s="76"/>
      <c r="CE16" s="76"/>
      <c r="CF16" s="76"/>
      <c r="CG16" s="76"/>
      <c r="CH16" s="76"/>
      <c r="CI16" s="76"/>
      <c r="CJ16" s="76"/>
      <c r="CK16" s="76"/>
      <c r="CL16" s="76">
        <f t="shared" si="14"/>
        <v>2488</v>
      </c>
      <c r="CM16" s="211">
        <f t="shared" si="15"/>
        <v>-1782.4500000000007</v>
      </c>
      <c r="CN16" s="211">
        <f t="shared" si="16"/>
        <v>663</v>
      </c>
      <c r="CO16" s="211">
        <f t="shared" si="17"/>
        <v>-597</v>
      </c>
      <c r="CP16" s="211">
        <f t="shared" si="18"/>
        <v>0</v>
      </c>
    </row>
    <row r="17" spans="1:94" s="6" customFormat="1" ht="16.2" customHeight="1" x14ac:dyDescent="0.3">
      <c r="A17" s="78">
        <v>15</v>
      </c>
      <c r="B17" s="76" t="s">
        <v>182</v>
      </c>
      <c r="C17" s="76">
        <v>72005405</v>
      </c>
      <c r="D17" s="76"/>
      <c r="E17" s="76" t="s">
        <v>142</v>
      </c>
      <c r="F17" s="76" t="s">
        <v>505</v>
      </c>
      <c r="G17" s="76" t="s">
        <v>156</v>
      </c>
      <c r="H17" s="215">
        <v>45470</v>
      </c>
      <c r="I17" s="215">
        <v>45816</v>
      </c>
      <c r="J17" s="255">
        <v>40000</v>
      </c>
      <c r="K17" s="211">
        <v>12000</v>
      </c>
      <c r="L17" s="211"/>
      <c r="M17" s="211">
        <v>330</v>
      </c>
      <c r="N17" s="211"/>
      <c r="O17" s="211">
        <f t="shared" si="0"/>
        <v>12330</v>
      </c>
      <c r="P17" s="211">
        <v>4616</v>
      </c>
      <c r="Q17" s="211"/>
      <c r="R17" s="211"/>
      <c r="S17" s="211"/>
      <c r="T17" s="211">
        <f t="shared" si="6"/>
        <v>4616</v>
      </c>
      <c r="U17" s="211">
        <f t="shared" si="1"/>
        <v>7384</v>
      </c>
      <c r="V17" s="211">
        <f t="shared" si="2"/>
        <v>0</v>
      </c>
      <c r="W17" s="211">
        <f t="shared" si="3"/>
        <v>330</v>
      </c>
      <c r="X17" s="211">
        <f t="shared" si="4"/>
        <v>0</v>
      </c>
      <c r="Y17" s="211">
        <f t="shared" si="7"/>
        <v>7714</v>
      </c>
      <c r="Z17" s="211">
        <f t="shared" si="19"/>
        <v>0</v>
      </c>
      <c r="AA17" s="211">
        <f t="shared" si="8"/>
        <v>0</v>
      </c>
      <c r="AB17" s="211">
        <f t="shared" si="9"/>
        <v>0</v>
      </c>
      <c r="AC17" s="211">
        <f t="shared" si="10"/>
        <v>0</v>
      </c>
      <c r="AD17" s="211">
        <f t="shared" si="11"/>
        <v>0</v>
      </c>
      <c r="AE17" s="76" t="s">
        <v>518</v>
      </c>
      <c r="AF17" s="76" t="s">
        <v>23</v>
      </c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76">
        <f t="shared" si="5"/>
        <v>0</v>
      </c>
      <c r="AT17" s="76" t="s">
        <v>518</v>
      </c>
      <c r="AU17" s="76" t="s">
        <v>23</v>
      </c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>
        <f t="shared" si="12"/>
        <v>0</v>
      </c>
      <c r="BI17" s="76" t="s">
        <v>518</v>
      </c>
      <c r="BJ17" s="76" t="s">
        <v>23</v>
      </c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>
        <f t="shared" si="13"/>
        <v>0</v>
      </c>
      <c r="BX17" s="76" t="s">
        <v>518</v>
      </c>
      <c r="BY17" s="76" t="s">
        <v>23</v>
      </c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>
        <f t="shared" si="14"/>
        <v>0</v>
      </c>
      <c r="CM17" s="211">
        <f t="shared" si="15"/>
        <v>7384</v>
      </c>
      <c r="CN17" s="211">
        <f t="shared" si="16"/>
        <v>0</v>
      </c>
      <c r="CO17" s="211">
        <f t="shared" si="17"/>
        <v>330</v>
      </c>
      <c r="CP17" s="211">
        <f t="shared" si="18"/>
        <v>0</v>
      </c>
    </row>
    <row r="18" spans="1:94" s="6" customFormat="1" ht="25.2" x14ac:dyDescent="0.3">
      <c r="A18" s="4">
        <v>16</v>
      </c>
      <c r="B18" s="76" t="s">
        <v>373</v>
      </c>
      <c r="C18" s="76">
        <v>72005582</v>
      </c>
      <c r="D18" s="76"/>
      <c r="E18" s="76" t="s">
        <v>153</v>
      </c>
      <c r="F18" s="76"/>
      <c r="G18" s="76" t="s">
        <v>159</v>
      </c>
      <c r="H18" s="215">
        <v>45558</v>
      </c>
      <c r="I18" s="215">
        <v>45930</v>
      </c>
      <c r="J18" s="255">
        <v>30000</v>
      </c>
      <c r="K18" s="211">
        <v>9759.08</v>
      </c>
      <c r="L18" s="211">
        <v>140</v>
      </c>
      <c r="M18" s="211">
        <v>100</v>
      </c>
      <c r="N18" s="211"/>
      <c r="O18" s="211">
        <f t="shared" si="0"/>
        <v>9999.08</v>
      </c>
      <c r="P18" s="211"/>
      <c r="Q18" s="211"/>
      <c r="R18" s="211"/>
      <c r="S18" s="211"/>
      <c r="T18" s="211">
        <f t="shared" si="6"/>
        <v>0</v>
      </c>
      <c r="U18" s="211">
        <f t="shared" si="1"/>
        <v>9759.08</v>
      </c>
      <c r="V18" s="211">
        <f t="shared" si="2"/>
        <v>140</v>
      </c>
      <c r="W18" s="211">
        <f t="shared" si="3"/>
        <v>100</v>
      </c>
      <c r="X18" s="211">
        <f t="shared" si="4"/>
        <v>0</v>
      </c>
      <c r="Y18" s="211">
        <f t="shared" si="7"/>
        <v>9999.08</v>
      </c>
      <c r="Z18" s="211">
        <f t="shared" si="19"/>
        <v>9759</v>
      </c>
      <c r="AA18" s="211">
        <f t="shared" si="8"/>
        <v>140</v>
      </c>
      <c r="AB18" s="211">
        <f t="shared" si="9"/>
        <v>100</v>
      </c>
      <c r="AC18" s="211">
        <f t="shared" si="10"/>
        <v>0</v>
      </c>
      <c r="AD18" s="211">
        <f t="shared" si="11"/>
        <v>9999</v>
      </c>
      <c r="AE18" s="76" t="s">
        <v>518</v>
      </c>
      <c r="AF18" s="76" t="s">
        <v>23</v>
      </c>
      <c r="AG18" s="255">
        <v>3253</v>
      </c>
      <c r="AH18" s="255">
        <v>3253</v>
      </c>
      <c r="AI18" s="255">
        <v>3253</v>
      </c>
      <c r="AJ18" s="255"/>
      <c r="AK18" s="255"/>
      <c r="AL18" s="255"/>
      <c r="AM18" s="255"/>
      <c r="AN18" s="255"/>
      <c r="AO18" s="255"/>
      <c r="AP18" s="255"/>
      <c r="AQ18" s="255"/>
      <c r="AR18" s="255"/>
      <c r="AS18" s="76">
        <f t="shared" si="5"/>
        <v>9759</v>
      </c>
      <c r="AT18" s="76" t="s">
        <v>518</v>
      </c>
      <c r="AU18" s="76" t="s">
        <v>23</v>
      </c>
      <c r="AV18" s="76">
        <v>140</v>
      </c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>
        <f t="shared" si="12"/>
        <v>140</v>
      </c>
      <c r="BI18" s="76" t="s">
        <v>518</v>
      </c>
      <c r="BJ18" s="76" t="s">
        <v>23</v>
      </c>
      <c r="BK18" s="76">
        <v>100</v>
      </c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>
        <f t="shared" si="13"/>
        <v>100</v>
      </c>
      <c r="BX18" s="76" t="s">
        <v>518</v>
      </c>
      <c r="BY18" s="76" t="s">
        <v>23</v>
      </c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>
        <f t="shared" si="14"/>
        <v>0</v>
      </c>
      <c r="CM18" s="211">
        <f t="shared" si="15"/>
        <v>7.999999999992724E-2</v>
      </c>
      <c r="CN18" s="211">
        <f t="shared" si="16"/>
        <v>0</v>
      </c>
      <c r="CO18" s="211">
        <f t="shared" si="17"/>
        <v>0</v>
      </c>
      <c r="CP18" s="211">
        <f t="shared" si="18"/>
        <v>0</v>
      </c>
    </row>
    <row r="19" spans="1:94" s="6" customFormat="1" ht="25.2" customHeight="1" x14ac:dyDescent="0.3">
      <c r="A19" s="78">
        <v>17</v>
      </c>
      <c r="B19" s="76" t="s">
        <v>374</v>
      </c>
      <c r="C19" s="76">
        <v>72005103</v>
      </c>
      <c r="D19" s="76"/>
      <c r="E19" s="76" t="s">
        <v>155</v>
      </c>
      <c r="F19" s="76" t="s">
        <v>505</v>
      </c>
      <c r="G19" s="76" t="s">
        <v>213</v>
      </c>
      <c r="H19" s="215">
        <v>45604</v>
      </c>
      <c r="I19" s="215"/>
      <c r="J19" s="255">
        <v>4000</v>
      </c>
      <c r="K19" s="211">
        <v>1231</v>
      </c>
      <c r="L19" s="211">
        <v>196</v>
      </c>
      <c r="M19" s="211"/>
      <c r="N19" s="211"/>
      <c r="O19" s="211">
        <f t="shared" si="0"/>
        <v>1427</v>
      </c>
      <c r="P19" s="211">
        <v>1687.3</v>
      </c>
      <c r="Q19" s="211">
        <v>416.4</v>
      </c>
      <c r="R19" s="211">
        <v>68.099999999999994</v>
      </c>
      <c r="S19" s="211"/>
      <c r="T19" s="211">
        <f t="shared" si="6"/>
        <v>2171.7999999999997</v>
      </c>
      <c r="U19" s="211">
        <f t="shared" si="1"/>
        <v>-456.29999999999995</v>
      </c>
      <c r="V19" s="211">
        <f t="shared" si="2"/>
        <v>-220.39999999999998</v>
      </c>
      <c r="W19" s="211">
        <f t="shared" si="3"/>
        <v>-68.099999999999994</v>
      </c>
      <c r="X19" s="211">
        <f t="shared" si="4"/>
        <v>0</v>
      </c>
      <c r="Y19" s="211">
        <f t="shared" si="7"/>
        <v>-744.8</v>
      </c>
      <c r="Z19" s="211">
        <f t="shared" si="19"/>
        <v>0</v>
      </c>
      <c r="AA19" s="211">
        <f t="shared" si="8"/>
        <v>0</v>
      </c>
      <c r="AB19" s="211">
        <f t="shared" si="9"/>
        <v>0</v>
      </c>
      <c r="AC19" s="211">
        <f t="shared" si="10"/>
        <v>0</v>
      </c>
      <c r="AD19" s="211">
        <f t="shared" si="11"/>
        <v>0</v>
      </c>
      <c r="AE19" s="76" t="s">
        <v>518</v>
      </c>
      <c r="AF19" s="76" t="s">
        <v>23</v>
      </c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76">
        <f t="shared" si="5"/>
        <v>0</v>
      </c>
      <c r="AT19" s="76" t="s">
        <v>518</v>
      </c>
      <c r="AU19" s="76" t="s">
        <v>23</v>
      </c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>
        <f t="shared" si="12"/>
        <v>0</v>
      </c>
      <c r="BI19" s="76" t="s">
        <v>518</v>
      </c>
      <c r="BJ19" s="76" t="s">
        <v>23</v>
      </c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>
        <f t="shared" si="13"/>
        <v>0</v>
      </c>
      <c r="BX19" s="76" t="s">
        <v>518</v>
      </c>
      <c r="BY19" s="76" t="s">
        <v>23</v>
      </c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>
        <f t="shared" si="14"/>
        <v>0</v>
      </c>
      <c r="CM19" s="211">
        <f t="shared" si="15"/>
        <v>-456.29999999999995</v>
      </c>
      <c r="CN19" s="211">
        <f t="shared" si="16"/>
        <v>-220.39999999999998</v>
      </c>
      <c r="CO19" s="211">
        <f t="shared" si="17"/>
        <v>-68.099999999999994</v>
      </c>
      <c r="CP19" s="211">
        <f t="shared" si="18"/>
        <v>0</v>
      </c>
    </row>
    <row r="20" spans="1:94" s="6" customFormat="1" ht="25.2" x14ac:dyDescent="0.3">
      <c r="A20" s="4">
        <v>18</v>
      </c>
      <c r="B20" s="76" t="s">
        <v>375</v>
      </c>
      <c r="C20" s="76">
        <v>72005606</v>
      </c>
      <c r="D20" s="76"/>
      <c r="E20" s="76" t="s">
        <v>154</v>
      </c>
      <c r="F20" s="76"/>
      <c r="G20" s="76" t="s">
        <v>158</v>
      </c>
      <c r="H20" s="215">
        <v>45562</v>
      </c>
      <c r="I20" s="215">
        <v>46067</v>
      </c>
      <c r="J20" s="255">
        <v>20000</v>
      </c>
      <c r="K20" s="211">
        <v>3630</v>
      </c>
      <c r="L20" s="211">
        <v>280</v>
      </c>
      <c r="M20" s="211">
        <v>130</v>
      </c>
      <c r="N20" s="211">
        <v>550</v>
      </c>
      <c r="O20" s="211">
        <f t="shared" si="0"/>
        <v>4590</v>
      </c>
      <c r="P20" s="211">
        <v>4067.17</v>
      </c>
      <c r="Q20" s="211">
        <v>238.3</v>
      </c>
      <c r="R20" s="211">
        <v>76.55</v>
      </c>
      <c r="S20" s="211"/>
      <c r="T20" s="211">
        <f t="shared" si="6"/>
        <v>4382.0200000000004</v>
      </c>
      <c r="U20" s="211">
        <f t="shared" si="1"/>
        <v>-437.17000000000007</v>
      </c>
      <c r="V20" s="211">
        <f t="shared" si="2"/>
        <v>41.699999999999989</v>
      </c>
      <c r="W20" s="211">
        <f t="shared" si="3"/>
        <v>53.45</v>
      </c>
      <c r="X20" s="211">
        <f t="shared" si="4"/>
        <v>550</v>
      </c>
      <c r="Y20" s="211">
        <f t="shared" si="7"/>
        <v>207.9799999999999</v>
      </c>
      <c r="Z20" s="211">
        <f t="shared" si="19"/>
        <v>0</v>
      </c>
      <c r="AA20" s="211">
        <f t="shared" si="8"/>
        <v>42</v>
      </c>
      <c r="AB20" s="211">
        <f t="shared" si="9"/>
        <v>53</v>
      </c>
      <c r="AC20" s="211">
        <f t="shared" si="10"/>
        <v>550</v>
      </c>
      <c r="AD20" s="211">
        <f t="shared" si="11"/>
        <v>645</v>
      </c>
      <c r="AE20" s="76" t="s">
        <v>518</v>
      </c>
      <c r="AF20" s="76" t="s">
        <v>23</v>
      </c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76">
        <f t="shared" si="5"/>
        <v>0</v>
      </c>
      <c r="AT20" s="76" t="s">
        <v>518</v>
      </c>
      <c r="AU20" s="76" t="s">
        <v>23</v>
      </c>
      <c r="AV20" s="76">
        <v>42</v>
      </c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>
        <f t="shared" si="12"/>
        <v>42</v>
      </c>
      <c r="BI20" s="76" t="s">
        <v>518</v>
      </c>
      <c r="BJ20" s="76" t="s">
        <v>23</v>
      </c>
      <c r="BK20" s="76">
        <v>53</v>
      </c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>
        <f t="shared" si="13"/>
        <v>53</v>
      </c>
      <c r="BX20" s="76" t="s">
        <v>518</v>
      </c>
      <c r="BY20" s="76" t="s">
        <v>23</v>
      </c>
      <c r="BZ20" s="76">
        <v>550</v>
      </c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>
        <f t="shared" si="14"/>
        <v>550</v>
      </c>
      <c r="CM20" s="211">
        <f t="shared" si="15"/>
        <v>-437.17000000000007</v>
      </c>
      <c r="CN20" s="211">
        <f t="shared" si="16"/>
        <v>-0.30000000000001137</v>
      </c>
      <c r="CO20" s="211">
        <f t="shared" si="17"/>
        <v>0.45000000000000284</v>
      </c>
      <c r="CP20" s="211">
        <f t="shared" si="18"/>
        <v>0</v>
      </c>
    </row>
    <row r="21" spans="1:94" s="6" customFormat="1" ht="37.799999999999997" x14ac:dyDescent="0.3">
      <c r="A21" s="78">
        <v>19</v>
      </c>
      <c r="B21" s="282" t="s">
        <v>290</v>
      </c>
      <c r="C21" s="76" t="s">
        <v>24</v>
      </c>
      <c r="D21" s="76">
        <v>52</v>
      </c>
      <c r="E21" s="76" t="s">
        <v>291</v>
      </c>
      <c r="F21" s="76" t="s">
        <v>507</v>
      </c>
      <c r="G21" s="76" t="s">
        <v>157</v>
      </c>
      <c r="H21" s="215">
        <v>45492</v>
      </c>
      <c r="I21" s="215">
        <v>45736</v>
      </c>
      <c r="J21" s="255">
        <v>180000</v>
      </c>
      <c r="K21" s="211">
        <v>16422</v>
      </c>
      <c r="L21" s="211"/>
      <c r="M21" s="211">
        <v>678</v>
      </c>
      <c r="N21" s="211"/>
      <c r="O21" s="211">
        <f t="shared" si="0"/>
        <v>17100</v>
      </c>
      <c r="P21" s="211">
        <v>10925</v>
      </c>
      <c r="Q21" s="211">
        <v>13</v>
      </c>
      <c r="R21" s="211">
        <v>139.05000000000001</v>
      </c>
      <c r="S21" s="211"/>
      <c r="T21" s="211">
        <f t="shared" si="6"/>
        <v>11077.05</v>
      </c>
      <c r="U21" s="211">
        <f t="shared" si="1"/>
        <v>5497</v>
      </c>
      <c r="V21" s="211">
        <f t="shared" si="2"/>
        <v>-13</v>
      </c>
      <c r="W21" s="211">
        <f t="shared" si="3"/>
        <v>538.95000000000005</v>
      </c>
      <c r="X21" s="211">
        <f t="shared" si="4"/>
        <v>0</v>
      </c>
      <c r="Y21" s="211">
        <f t="shared" si="7"/>
        <v>6022.95</v>
      </c>
      <c r="Z21" s="211">
        <f t="shared" si="19"/>
        <v>5497</v>
      </c>
      <c r="AA21" s="211">
        <f t="shared" si="8"/>
        <v>0</v>
      </c>
      <c r="AB21" s="211">
        <f t="shared" si="9"/>
        <v>539</v>
      </c>
      <c r="AC21" s="211">
        <f t="shared" si="10"/>
        <v>0</v>
      </c>
      <c r="AD21" s="211">
        <f t="shared" si="11"/>
        <v>6036</v>
      </c>
      <c r="AE21" s="76" t="s">
        <v>518</v>
      </c>
      <c r="AF21" s="76" t="s">
        <v>24</v>
      </c>
      <c r="AG21" s="255">
        <v>1833</v>
      </c>
      <c r="AH21" s="255">
        <v>1832</v>
      </c>
      <c r="AI21" s="255">
        <v>1832</v>
      </c>
      <c r="AJ21" s="255"/>
      <c r="AK21" s="255"/>
      <c r="AL21" s="255"/>
      <c r="AM21" s="255"/>
      <c r="AN21" s="255"/>
      <c r="AO21" s="255"/>
      <c r="AP21" s="255"/>
      <c r="AQ21" s="255"/>
      <c r="AR21" s="255"/>
      <c r="AS21" s="76">
        <f t="shared" si="5"/>
        <v>5497</v>
      </c>
      <c r="AT21" s="76" t="s">
        <v>518</v>
      </c>
      <c r="AU21" s="76" t="s">
        <v>24</v>
      </c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>
        <f t="shared" si="12"/>
        <v>0</v>
      </c>
      <c r="BI21" s="76" t="s">
        <v>518</v>
      </c>
      <c r="BJ21" s="76" t="s">
        <v>24</v>
      </c>
      <c r="BK21" s="76">
        <v>539</v>
      </c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>
        <f t="shared" si="13"/>
        <v>539</v>
      </c>
      <c r="BX21" s="76" t="s">
        <v>518</v>
      </c>
      <c r="BY21" s="76" t="s">
        <v>24</v>
      </c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>
        <f t="shared" si="14"/>
        <v>0</v>
      </c>
      <c r="CM21" s="211">
        <f t="shared" si="15"/>
        <v>0</v>
      </c>
      <c r="CN21" s="211">
        <f t="shared" si="16"/>
        <v>-13</v>
      </c>
      <c r="CO21" s="211">
        <f t="shared" si="17"/>
        <v>-4.9999999999954525E-2</v>
      </c>
      <c r="CP21" s="211">
        <f t="shared" si="18"/>
        <v>0</v>
      </c>
    </row>
    <row r="22" spans="1:94" s="6" customFormat="1" ht="23.4" customHeight="1" x14ac:dyDescent="0.3">
      <c r="A22" s="4">
        <v>20</v>
      </c>
      <c r="B22" s="76" t="s">
        <v>220</v>
      </c>
      <c r="C22" s="76" t="s">
        <v>24</v>
      </c>
      <c r="D22" s="76"/>
      <c r="E22" s="76" t="s">
        <v>221</v>
      </c>
      <c r="F22" s="76" t="s">
        <v>505</v>
      </c>
      <c r="G22" s="76" t="s">
        <v>178</v>
      </c>
      <c r="H22" s="215">
        <v>45429</v>
      </c>
      <c r="I22" s="215"/>
      <c r="J22" s="255"/>
      <c r="K22" s="211"/>
      <c r="L22" s="211"/>
      <c r="M22" s="211"/>
      <c r="N22" s="211"/>
      <c r="O22" s="211">
        <f t="shared" si="0"/>
        <v>0</v>
      </c>
      <c r="P22" s="211"/>
      <c r="Q22" s="211"/>
      <c r="R22" s="211"/>
      <c r="S22" s="211"/>
      <c r="T22" s="211">
        <f t="shared" si="6"/>
        <v>0</v>
      </c>
      <c r="U22" s="211">
        <f t="shared" si="1"/>
        <v>0</v>
      </c>
      <c r="V22" s="211">
        <f t="shared" si="2"/>
        <v>0</v>
      </c>
      <c r="W22" s="211">
        <f t="shared" si="3"/>
        <v>0</v>
      </c>
      <c r="X22" s="211">
        <f t="shared" si="4"/>
        <v>0</v>
      </c>
      <c r="Y22" s="211">
        <f t="shared" si="7"/>
        <v>0</v>
      </c>
      <c r="Z22" s="211">
        <f t="shared" si="19"/>
        <v>0</v>
      </c>
      <c r="AA22" s="211">
        <f t="shared" si="8"/>
        <v>0</v>
      </c>
      <c r="AB22" s="211">
        <f t="shared" si="9"/>
        <v>0</v>
      </c>
      <c r="AC22" s="211">
        <f t="shared" si="10"/>
        <v>0</v>
      </c>
      <c r="AD22" s="211">
        <f t="shared" si="11"/>
        <v>0</v>
      </c>
      <c r="AE22" s="76" t="s">
        <v>518</v>
      </c>
      <c r="AF22" s="76" t="s">
        <v>24</v>
      </c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76">
        <f t="shared" si="5"/>
        <v>0</v>
      </c>
      <c r="AT22" s="76" t="s">
        <v>518</v>
      </c>
      <c r="AU22" s="76" t="s">
        <v>24</v>
      </c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>
        <f t="shared" si="12"/>
        <v>0</v>
      </c>
      <c r="BI22" s="76" t="s">
        <v>518</v>
      </c>
      <c r="BJ22" s="76" t="s">
        <v>24</v>
      </c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>
        <f t="shared" si="13"/>
        <v>0</v>
      </c>
      <c r="BX22" s="76" t="s">
        <v>518</v>
      </c>
      <c r="BY22" s="76" t="s">
        <v>24</v>
      </c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>
        <f t="shared" si="14"/>
        <v>0</v>
      </c>
      <c r="CM22" s="211">
        <f t="shared" si="15"/>
        <v>0</v>
      </c>
      <c r="CN22" s="211">
        <f t="shared" si="16"/>
        <v>0</v>
      </c>
      <c r="CO22" s="211">
        <f t="shared" si="17"/>
        <v>0</v>
      </c>
      <c r="CP22" s="211">
        <f t="shared" si="18"/>
        <v>0</v>
      </c>
    </row>
    <row r="23" spans="1:94" s="6" customFormat="1" ht="24.6" customHeight="1" x14ac:dyDescent="0.3">
      <c r="A23" s="78">
        <v>21</v>
      </c>
      <c r="B23" s="76" t="s">
        <v>145</v>
      </c>
      <c r="C23" s="76" t="s">
        <v>24</v>
      </c>
      <c r="D23" s="76">
        <v>1</v>
      </c>
      <c r="E23" s="76" t="s">
        <v>144</v>
      </c>
      <c r="F23" s="76" t="s">
        <v>505</v>
      </c>
      <c r="G23" s="76" t="s">
        <v>158</v>
      </c>
      <c r="H23" s="215">
        <v>45513</v>
      </c>
      <c r="I23" s="215"/>
      <c r="J23" s="255"/>
      <c r="K23" s="211">
        <v>132</v>
      </c>
      <c r="L23" s="211"/>
      <c r="M23" s="211">
        <v>26</v>
      </c>
      <c r="N23" s="211"/>
      <c r="O23" s="211">
        <f t="shared" si="0"/>
        <v>158</v>
      </c>
      <c r="P23" s="211">
        <v>141</v>
      </c>
      <c r="Q23" s="211"/>
      <c r="R23" s="211">
        <v>3</v>
      </c>
      <c r="S23" s="211"/>
      <c r="T23" s="211">
        <f t="shared" si="6"/>
        <v>144</v>
      </c>
      <c r="U23" s="211">
        <f t="shared" si="1"/>
        <v>-9</v>
      </c>
      <c r="V23" s="211">
        <f t="shared" si="2"/>
        <v>0</v>
      </c>
      <c r="W23" s="211">
        <f t="shared" si="3"/>
        <v>23</v>
      </c>
      <c r="X23" s="211">
        <f t="shared" si="4"/>
        <v>0</v>
      </c>
      <c r="Y23" s="211">
        <f t="shared" si="7"/>
        <v>14</v>
      </c>
      <c r="Z23" s="211">
        <f t="shared" si="19"/>
        <v>0</v>
      </c>
      <c r="AA23" s="211">
        <f t="shared" si="8"/>
        <v>0</v>
      </c>
      <c r="AB23" s="211">
        <f t="shared" si="9"/>
        <v>0</v>
      </c>
      <c r="AC23" s="211">
        <f t="shared" si="10"/>
        <v>0</v>
      </c>
      <c r="AD23" s="211">
        <f t="shared" si="11"/>
        <v>0</v>
      </c>
      <c r="AE23" s="76" t="s">
        <v>518</v>
      </c>
      <c r="AF23" s="76" t="s">
        <v>24</v>
      </c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76">
        <f t="shared" si="5"/>
        <v>0</v>
      </c>
      <c r="AT23" s="76" t="s">
        <v>518</v>
      </c>
      <c r="AU23" s="76" t="s">
        <v>24</v>
      </c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>
        <f t="shared" si="12"/>
        <v>0</v>
      </c>
      <c r="BI23" s="76" t="s">
        <v>518</v>
      </c>
      <c r="BJ23" s="76" t="s">
        <v>24</v>
      </c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>
        <f t="shared" si="13"/>
        <v>0</v>
      </c>
      <c r="BX23" s="76" t="s">
        <v>518</v>
      </c>
      <c r="BY23" s="76" t="s">
        <v>24</v>
      </c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>
        <f t="shared" si="14"/>
        <v>0</v>
      </c>
      <c r="CM23" s="211">
        <f t="shared" si="15"/>
        <v>-9</v>
      </c>
      <c r="CN23" s="211">
        <f t="shared" si="16"/>
        <v>0</v>
      </c>
      <c r="CO23" s="211">
        <f t="shared" si="17"/>
        <v>23</v>
      </c>
      <c r="CP23" s="211">
        <f t="shared" si="18"/>
        <v>0</v>
      </c>
    </row>
    <row r="24" spans="1:94" s="6" customFormat="1" ht="25.2" x14ac:dyDescent="0.3">
      <c r="A24" s="4">
        <v>22</v>
      </c>
      <c r="B24" s="76" t="s">
        <v>149</v>
      </c>
      <c r="C24" s="76" t="s">
        <v>24</v>
      </c>
      <c r="D24" s="76">
        <v>2</v>
      </c>
      <c r="E24" s="76" t="s">
        <v>150</v>
      </c>
      <c r="F24" s="76" t="s">
        <v>505</v>
      </c>
      <c r="G24" s="76" t="s">
        <v>157</v>
      </c>
      <c r="H24" s="215">
        <v>45548</v>
      </c>
      <c r="I24" s="215"/>
      <c r="J24" s="255">
        <v>85000</v>
      </c>
      <c r="K24" s="211">
        <v>5185</v>
      </c>
      <c r="L24" s="211">
        <v>672</v>
      </c>
      <c r="M24" s="211">
        <v>160</v>
      </c>
      <c r="N24" s="211">
        <v>750</v>
      </c>
      <c r="O24" s="211">
        <f t="shared" si="0"/>
        <v>6767</v>
      </c>
      <c r="P24" s="211">
        <v>5830.6859999999997</v>
      </c>
      <c r="Q24" s="211">
        <v>658.5</v>
      </c>
      <c r="R24" s="211">
        <v>575.5</v>
      </c>
      <c r="S24" s="211"/>
      <c r="T24" s="211">
        <f t="shared" si="6"/>
        <v>7064.6859999999997</v>
      </c>
      <c r="U24" s="211">
        <f t="shared" si="1"/>
        <v>-645.68599999999969</v>
      </c>
      <c r="V24" s="211">
        <f t="shared" si="2"/>
        <v>13.5</v>
      </c>
      <c r="W24" s="211">
        <f t="shared" si="3"/>
        <v>-415.5</v>
      </c>
      <c r="X24" s="211">
        <f t="shared" si="4"/>
        <v>750</v>
      </c>
      <c r="Y24" s="211">
        <f t="shared" si="7"/>
        <v>-297.68599999999969</v>
      </c>
      <c r="Z24" s="211">
        <f t="shared" si="19"/>
        <v>0</v>
      </c>
      <c r="AA24" s="211">
        <f t="shared" si="8"/>
        <v>0</v>
      </c>
      <c r="AB24" s="211">
        <f t="shared" si="9"/>
        <v>0</v>
      </c>
      <c r="AC24" s="211">
        <f t="shared" si="10"/>
        <v>750</v>
      </c>
      <c r="AD24" s="211">
        <f t="shared" si="11"/>
        <v>750</v>
      </c>
      <c r="AE24" s="76" t="s">
        <v>518</v>
      </c>
      <c r="AF24" s="76" t="s">
        <v>24</v>
      </c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76">
        <f t="shared" si="5"/>
        <v>0</v>
      </c>
      <c r="AT24" s="76" t="s">
        <v>518</v>
      </c>
      <c r="AU24" s="76" t="s">
        <v>24</v>
      </c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>
        <f t="shared" si="12"/>
        <v>0</v>
      </c>
      <c r="BI24" s="76" t="s">
        <v>518</v>
      </c>
      <c r="BJ24" s="76" t="s">
        <v>24</v>
      </c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>
        <f t="shared" si="13"/>
        <v>0</v>
      </c>
      <c r="BX24" s="76" t="s">
        <v>518</v>
      </c>
      <c r="BY24" s="76" t="s">
        <v>24</v>
      </c>
      <c r="BZ24" s="76">
        <v>750</v>
      </c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>
        <f t="shared" si="14"/>
        <v>750</v>
      </c>
      <c r="CM24" s="211">
        <f t="shared" si="15"/>
        <v>-645.68599999999969</v>
      </c>
      <c r="CN24" s="211">
        <f t="shared" si="16"/>
        <v>13.5</v>
      </c>
      <c r="CO24" s="211">
        <f t="shared" si="17"/>
        <v>-415.5</v>
      </c>
      <c r="CP24" s="211">
        <f t="shared" si="18"/>
        <v>0</v>
      </c>
    </row>
    <row r="25" spans="1:94" s="36" customFormat="1" ht="25.2" x14ac:dyDescent="0.3">
      <c r="A25" s="78">
        <v>23</v>
      </c>
      <c r="B25" s="76" t="s">
        <v>242</v>
      </c>
      <c r="C25" s="76" t="s">
        <v>24</v>
      </c>
      <c r="D25" s="76">
        <v>1</v>
      </c>
      <c r="E25" s="76" t="s">
        <v>244</v>
      </c>
      <c r="F25" s="76"/>
      <c r="G25" s="76" t="s">
        <v>178</v>
      </c>
      <c r="H25" s="215">
        <v>45575</v>
      </c>
      <c r="I25" s="215"/>
      <c r="J25" s="255">
        <v>7000</v>
      </c>
      <c r="K25" s="211">
        <v>2411.88</v>
      </c>
      <c r="L25" s="211">
        <v>680</v>
      </c>
      <c r="M25" s="211">
        <v>200</v>
      </c>
      <c r="N25" s="211">
        <v>800</v>
      </c>
      <c r="O25" s="211">
        <f t="shared" si="0"/>
        <v>4091.88</v>
      </c>
      <c r="P25" s="211">
        <v>3501.01</v>
      </c>
      <c r="Q25" s="211">
        <v>350.2</v>
      </c>
      <c r="R25" s="211">
        <v>298</v>
      </c>
      <c r="S25" s="211"/>
      <c r="T25" s="211">
        <f t="shared" si="6"/>
        <v>4149.21</v>
      </c>
      <c r="U25" s="211">
        <f t="shared" si="1"/>
        <v>-1089.1300000000001</v>
      </c>
      <c r="V25" s="211">
        <f t="shared" si="2"/>
        <v>329.8</v>
      </c>
      <c r="W25" s="211">
        <f t="shared" si="3"/>
        <v>-98</v>
      </c>
      <c r="X25" s="211">
        <f t="shared" si="4"/>
        <v>800</v>
      </c>
      <c r="Y25" s="211">
        <f t="shared" si="7"/>
        <v>-57.330000000000155</v>
      </c>
      <c r="Z25" s="211">
        <f t="shared" si="19"/>
        <v>0</v>
      </c>
      <c r="AA25" s="211">
        <f t="shared" si="8"/>
        <v>330</v>
      </c>
      <c r="AB25" s="211">
        <f t="shared" si="9"/>
        <v>0</v>
      </c>
      <c r="AC25" s="211">
        <f t="shared" si="10"/>
        <v>800</v>
      </c>
      <c r="AD25" s="211">
        <f t="shared" si="11"/>
        <v>1130</v>
      </c>
      <c r="AE25" s="76" t="s">
        <v>518</v>
      </c>
      <c r="AF25" s="76" t="s">
        <v>24</v>
      </c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76">
        <f t="shared" si="5"/>
        <v>0</v>
      </c>
      <c r="AT25" s="76" t="s">
        <v>518</v>
      </c>
      <c r="AU25" s="76" t="s">
        <v>24</v>
      </c>
      <c r="AV25" s="76">
        <v>165</v>
      </c>
      <c r="AW25" s="76">
        <v>165</v>
      </c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>
        <f t="shared" si="12"/>
        <v>330</v>
      </c>
      <c r="BI25" s="76" t="s">
        <v>518</v>
      </c>
      <c r="BJ25" s="76" t="s">
        <v>24</v>
      </c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>
        <f t="shared" si="13"/>
        <v>0</v>
      </c>
      <c r="BX25" s="76" t="s">
        <v>518</v>
      </c>
      <c r="BY25" s="76" t="s">
        <v>24</v>
      </c>
      <c r="BZ25" s="76">
        <v>800</v>
      </c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>
        <f t="shared" si="14"/>
        <v>800</v>
      </c>
      <c r="CM25" s="211">
        <f t="shared" si="15"/>
        <v>-1089.1300000000001</v>
      </c>
      <c r="CN25" s="211">
        <f t="shared" si="16"/>
        <v>-0.19999999999998863</v>
      </c>
      <c r="CO25" s="211">
        <f t="shared" si="17"/>
        <v>-98</v>
      </c>
      <c r="CP25" s="211">
        <f t="shared" si="18"/>
        <v>0</v>
      </c>
    </row>
    <row r="26" spans="1:94" s="36" customFormat="1" ht="25.2" x14ac:dyDescent="0.3">
      <c r="A26" s="4">
        <v>24</v>
      </c>
      <c r="B26" s="76" t="s">
        <v>241</v>
      </c>
      <c r="C26" s="76" t="s">
        <v>24</v>
      </c>
      <c r="D26" s="76">
        <v>1</v>
      </c>
      <c r="E26" s="76" t="s">
        <v>243</v>
      </c>
      <c r="F26" s="76" t="s">
        <v>505</v>
      </c>
      <c r="G26" s="76" t="s">
        <v>178</v>
      </c>
      <c r="H26" s="215">
        <v>45575</v>
      </c>
      <c r="I26" s="215"/>
      <c r="J26" s="255">
        <v>15000</v>
      </c>
      <c r="K26" s="211">
        <v>1896</v>
      </c>
      <c r="L26" s="211">
        <v>188</v>
      </c>
      <c r="M26" s="211"/>
      <c r="N26" s="211">
        <v>800</v>
      </c>
      <c r="O26" s="211">
        <f t="shared" si="0"/>
        <v>2884</v>
      </c>
      <c r="P26" s="211">
        <v>919</v>
      </c>
      <c r="Q26" s="211">
        <v>169.6</v>
      </c>
      <c r="R26" s="211">
        <v>207</v>
      </c>
      <c r="S26" s="211"/>
      <c r="T26" s="211">
        <f t="shared" si="6"/>
        <v>1295.5999999999999</v>
      </c>
      <c r="U26" s="211">
        <f t="shared" si="1"/>
        <v>977</v>
      </c>
      <c r="V26" s="211">
        <f t="shared" si="2"/>
        <v>18.400000000000006</v>
      </c>
      <c r="W26" s="211">
        <f t="shared" si="3"/>
        <v>-207</v>
      </c>
      <c r="X26" s="211">
        <f t="shared" si="4"/>
        <v>800</v>
      </c>
      <c r="Y26" s="211">
        <f t="shared" si="7"/>
        <v>1588.4</v>
      </c>
      <c r="Z26" s="211">
        <f t="shared" si="19"/>
        <v>0</v>
      </c>
      <c r="AA26" s="211">
        <f t="shared" si="8"/>
        <v>0</v>
      </c>
      <c r="AB26" s="211">
        <f t="shared" si="9"/>
        <v>0</v>
      </c>
      <c r="AC26" s="211">
        <f t="shared" si="10"/>
        <v>0</v>
      </c>
      <c r="AD26" s="211">
        <f t="shared" si="11"/>
        <v>0</v>
      </c>
      <c r="AE26" s="76" t="s">
        <v>518</v>
      </c>
      <c r="AF26" s="76" t="s">
        <v>24</v>
      </c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76">
        <f t="shared" si="5"/>
        <v>0</v>
      </c>
      <c r="AT26" s="76" t="s">
        <v>518</v>
      </c>
      <c r="AU26" s="76" t="s">
        <v>24</v>
      </c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>
        <f t="shared" si="12"/>
        <v>0</v>
      </c>
      <c r="BI26" s="76" t="s">
        <v>518</v>
      </c>
      <c r="BJ26" s="76" t="s">
        <v>24</v>
      </c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>
        <f t="shared" si="13"/>
        <v>0</v>
      </c>
      <c r="BX26" s="76" t="s">
        <v>518</v>
      </c>
      <c r="BY26" s="76" t="s">
        <v>24</v>
      </c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>
        <f t="shared" si="14"/>
        <v>0</v>
      </c>
      <c r="CM26" s="211">
        <f t="shared" si="15"/>
        <v>977</v>
      </c>
      <c r="CN26" s="211">
        <f t="shared" si="16"/>
        <v>18.400000000000006</v>
      </c>
      <c r="CO26" s="211">
        <f t="shared" si="17"/>
        <v>-207</v>
      </c>
      <c r="CP26" s="211">
        <f t="shared" si="18"/>
        <v>800</v>
      </c>
    </row>
    <row r="27" spans="1:94" s="6" customFormat="1" ht="22.2" customHeight="1" x14ac:dyDescent="0.3">
      <c r="A27" s="78">
        <v>25</v>
      </c>
      <c r="B27" s="76">
        <v>8564</v>
      </c>
      <c r="C27" s="76" t="s">
        <v>166</v>
      </c>
      <c r="D27" s="76">
        <v>2</v>
      </c>
      <c r="E27" s="76" t="s">
        <v>160</v>
      </c>
      <c r="F27" s="76" t="s">
        <v>353</v>
      </c>
      <c r="G27" s="76" t="s">
        <v>156</v>
      </c>
      <c r="H27" s="215">
        <v>45623</v>
      </c>
      <c r="I27" s="215"/>
      <c r="J27" s="255">
        <v>14000</v>
      </c>
      <c r="K27" s="211">
        <v>5732</v>
      </c>
      <c r="L27" s="211">
        <v>80</v>
      </c>
      <c r="M27" s="211"/>
      <c r="N27" s="211"/>
      <c r="O27" s="211">
        <f t="shared" si="0"/>
        <v>5812</v>
      </c>
      <c r="P27" s="211"/>
      <c r="Q27" s="211"/>
      <c r="R27" s="211"/>
      <c r="S27" s="211"/>
      <c r="T27" s="211">
        <f t="shared" si="6"/>
        <v>0</v>
      </c>
      <c r="U27" s="211">
        <f t="shared" si="1"/>
        <v>5732</v>
      </c>
      <c r="V27" s="211">
        <f t="shared" si="2"/>
        <v>80</v>
      </c>
      <c r="W27" s="211">
        <f t="shared" si="3"/>
        <v>0</v>
      </c>
      <c r="X27" s="211">
        <f t="shared" si="4"/>
        <v>0</v>
      </c>
      <c r="Y27" s="211">
        <f t="shared" si="7"/>
        <v>5812</v>
      </c>
      <c r="Z27" s="211">
        <f t="shared" si="19"/>
        <v>0</v>
      </c>
      <c r="AA27" s="211">
        <f t="shared" si="8"/>
        <v>0</v>
      </c>
      <c r="AB27" s="211">
        <f t="shared" si="9"/>
        <v>0</v>
      </c>
      <c r="AC27" s="211">
        <f t="shared" si="10"/>
        <v>0</v>
      </c>
      <c r="AD27" s="211">
        <f t="shared" si="11"/>
        <v>0</v>
      </c>
      <c r="AE27" s="76" t="s">
        <v>518</v>
      </c>
      <c r="AF27" s="76" t="s">
        <v>23</v>
      </c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76">
        <f t="shared" si="5"/>
        <v>0</v>
      </c>
      <c r="AT27" s="76" t="s">
        <v>518</v>
      </c>
      <c r="AU27" s="76" t="s">
        <v>23</v>
      </c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>
        <f t="shared" si="12"/>
        <v>0</v>
      </c>
      <c r="BI27" s="76" t="s">
        <v>518</v>
      </c>
      <c r="BJ27" s="76" t="s">
        <v>23</v>
      </c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>
        <f t="shared" si="13"/>
        <v>0</v>
      </c>
      <c r="BX27" s="76" t="s">
        <v>518</v>
      </c>
      <c r="BY27" s="76" t="s">
        <v>23</v>
      </c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>
        <f t="shared" si="14"/>
        <v>0</v>
      </c>
      <c r="CM27" s="211">
        <f t="shared" si="15"/>
        <v>5732</v>
      </c>
      <c r="CN27" s="211">
        <f t="shared" si="16"/>
        <v>80</v>
      </c>
      <c r="CO27" s="211">
        <f t="shared" si="17"/>
        <v>0</v>
      </c>
      <c r="CP27" s="211">
        <f t="shared" si="18"/>
        <v>0</v>
      </c>
    </row>
    <row r="28" spans="1:94" s="6" customFormat="1" ht="22.2" customHeight="1" x14ac:dyDescent="0.3">
      <c r="A28" s="4">
        <v>26</v>
      </c>
      <c r="B28" s="76" t="s">
        <v>163</v>
      </c>
      <c r="C28" s="76" t="s">
        <v>24</v>
      </c>
      <c r="D28" s="76"/>
      <c r="E28" s="76" t="s">
        <v>164</v>
      </c>
      <c r="F28" s="76" t="s">
        <v>505</v>
      </c>
      <c r="G28" s="76" t="s">
        <v>157</v>
      </c>
      <c r="H28" s="215">
        <v>45631</v>
      </c>
      <c r="I28" s="215"/>
      <c r="J28" s="255"/>
      <c r="K28" s="211">
        <v>150</v>
      </c>
      <c r="L28" s="211"/>
      <c r="M28" s="211"/>
      <c r="N28" s="211">
        <v>70</v>
      </c>
      <c r="O28" s="211">
        <f t="shared" si="0"/>
        <v>220</v>
      </c>
      <c r="P28" s="211"/>
      <c r="Q28" s="211"/>
      <c r="R28" s="211"/>
      <c r="S28" s="211"/>
      <c r="T28" s="211">
        <f t="shared" si="6"/>
        <v>0</v>
      </c>
      <c r="U28" s="211">
        <f t="shared" si="1"/>
        <v>150</v>
      </c>
      <c r="V28" s="211">
        <f t="shared" si="2"/>
        <v>0</v>
      </c>
      <c r="W28" s="211">
        <f t="shared" si="3"/>
        <v>0</v>
      </c>
      <c r="X28" s="211">
        <f t="shared" si="4"/>
        <v>70</v>
      </c>
      <c r="Y28" s="211">
        <f t="shared" si="7"/>
        <v>220</v>
      </c>
      <c r="Z28" s="211">
        <f t="shared" si="19"/>
        <v>0</v>
      </c>
      <c r="AA28" s="211">
        <f t="shared" si="8"/>
        <v>0</v>
      </c>
      <c r="AB28" s="211">
        <f t="shared" si="9"/>
        <v>0</v>
      </c>
      <c r="AC28" s="211">
        <f t="shared" si="10"/>
        <v>70</v>
      </c>
      <c r="AD28" s="211">
        <f t="shared" si="11"/>
        <v>70</v>
      </c>
      <c r="AE28" s="76" t="s">
        <v>518</v>
      </c>
      <c r="AF28" s="76" t="s">
        <v>24</v>
      </c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76">
        <f t="shared" si="5"/>
        <v>0</v>
      </c>
      <c r="AT28" s="76" t="s">
        <v>518</v>
      </c>
      <c r="AU28" s="76" t="s">
        <v>24</v>
      </c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>
        <f t="shared" si="12"/>
        <v>0</v>
      </c>
      <c r="BI28" s="76" t="s">
        <v>518</v>
      </c>
      <c r="BJ28" s="76" t="s">
        <v>24</v>
      </c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>
        <f t="shared" si="13"/>
        <v>0</v>
      </c>
      <c r="BX28" s="76" t="s">
        <v>518</v>
      </c>
      <c r="BY28" s="76" t="s">
        <v>24</v>
      </c>
      <c r="BZ28" s="76"/>
      <c r="CA28" s="76"/>
      <c r="CB28" s="76">
        <v>70</v>
      </c>
      <c r="CC28" s="76"/>
      <c r="CD28" s="76"/>
      <c r="CE28" s="76"/>
      <c r="CF28" s="76"/>
      <c r="CG28" s="76"/>
      <c r="CH28" s="76"/>
      <c r="CI28" s="76"/>
      <c r="CJ28" s="76"/>
      <c r="CK28" s="76"/>
      <c r="CL28" s="76">
        <f t="shared" si="14"/>
        <v>70</v>
      </c>
      <c r="CM28" s="211">
        <f t="shared" si="15"/>
        <v>150</v>
      </c>
      <c r="CN28" s="211">
        <f t="shared" si="16"/>
        <v>0</v>
      </c>
      <c r="CO28" s="211">
        <f t="shared" si="17"/>
        <v>0</v>
      </c>
      <c r="CP28" s="211">
        <f t="shared" si="18"/>
        <v>0</v>
      </c>
    </row>
    <row r="29" spans="1:94" s="6" customFormat="1" ht="75.599999999999994" x14ac:dyDescent="0.3">
      <c r="A29" s="78">
        <v>27</v>
      </c>
      <c r="B29" s="76" t="s">
        <v>209</v>
      </c>
      <c r="C29" s="76">
        <v>9149</v>
      </c>
      <c r="D29" s="76">
        <v>6</v>
      </c>
      <c r="E29" s="76" t="s">
        <v>165</v>
      </c>
      <c r="F29" s="76"/>
      <c r="G29" s="76" t="s">
        <v>162</v>
      </c>
      <c r="H29" s="215">
        <v>45625</v>
      </c>
      <c r="I29" s="215">
        <v>45991</v>
      </c>
      <c r="J29" s="255">
        <v>300000</v>
      </c>
      <c r="K29" s="211">
        <v>29215</v>
      </c>
      <c r="L29" s="211">
        <v>420</v>
      </c>
      <c r="M29" s="211"/>
      <c r="N29" s="211"/>
      <c r="O29" s="211">
        <f t="shared" si="0"/>
        <v>29635</v>
      </c>
      <c r="P29" s="211">
        <v>28222</v>
      </c>
      <c r="Q29" s="211">
        <v>376</v>
      </c>
      <c r="R29" s="211">
        <v>371</v>
      </c>
      <c r="S29" s="211">
        <v>591</v>
      </c>
      <c r="T29" s="211">
        <f t="shared" si="6"/>
        <v>29560</v>
      </c>
      <c r="U29" s="211">
        <f t="shared" si="1"/>
        <v>993</v>
      </c>
      <c r="V29" s="211">
        <f t="shared" si="2"/>
        <v>44</v>
      </c>
      <c r="W29" s="211">
        <f t="shared" si="3"/>
        <v>-371</v>
      </c>
      <c r="X29" s="211">
        <f t="shared" si="4"/>
        <v>-591</v>
      </c>
      <c r="Y29" s="211">
        <f t="shared" si="7"/>
        <v>75</v>
      </c>
      <c r="Z29" s="211">
        <f t="shared" si="19"/>
        <v>993</v>
      </c>
      <c r="AA29" s="211">
        <f t="shared" si="8"/>
        <v>44</v>
      </c>
      <c r="AB29" s="211">
        <f t="shared" si="9"/>
        <v>0</v>
      </c>
      <c r="AC29" s="211">
        <f t="shared" si="10"/>
        <v>160</v>
      </c>
      <c r="AD29" s="211">
        <f t="shared" si="11"/>
        <v>1197</v>
      </c>
      <c r="AE29" s="252" t="s">
        <v>516</v>
      </c>
      <c r="AF29" s="76" t="s">
        <v>22</v>
      </c>
      <c r="AG29" s="298">
        <v>496.5</v>
      </c>
      <c r="AH29" s="298">
        <v>496.5</v>
      </c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76">
        <f t="shared" si="5"/>
        <v>993</v>
      </c>
      <c r="AT29" s="252" t="s">
        <v>516</v>
      </c>
      <c r="AU29" s="76" t="s">
        <v>22</v>
      </c>
      <c r="AV29" s="76">
        <v>44</v>
      </c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>
        <f t="shared" si="12"/>
        <v>44</v>
      </c>
      <c r="BI29" s="252" t="s">
        <v>516</v>
      </c>
      <c r="BJ29" s="76" t="s">
        <v>22</v>
      </c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>
        <f t="shared" si="13"/>
        <v>0</v>
      </c>
      <c r="BX29" s="252" t="s">
        <v>516</v>
      </c>
      <c r="BY29" s="76" t="s">
        <v>22</v>
      </c>
      <c r="BZ29" s="76">
        <v>160</v>
      </c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>
        <f t="shared" si="14"/>
        <v>160</v>
      </c>
      <c r="CM29" s="211">
        <f t="shared" si="15"/>
        <v>0</v>
      </c>
      <c r="CN29" s="211">
        <f t="shared" si="16"/>
        <v>0</v>
      </c>
      <c r="CO29" s="211">
        <f t="shared" si="17"/>
        <v>-371</v>
      </c>
      <c r="CP29" s="211">
        <f t="shared" si="18"/>
        <v>-751</v>
      </c>
    </row>
    <row r="30" spans="1:94" s="6" customFormat="1" ht="22.2" customHeight="1" x14ac:dyDescent="0.3">
      <c r="A30" s="4">
        <v>28</v>
      </c>
      <c r="B30" s="76">
        <v>9179</v>
      </c>
      <c r="C30" s="76" t="s">
        <v>166</v>
      </c>
      <c r="D30" s="76">
        <v>2</v>
      </c>
      <c r="E30" s="76" t="s">
        <v>167</v>
      </c>
      <c r="F30" s="76" t="s">
        <v>508</v>
      </c>
      <c r="G30" s="76" t="s">
        <v>213</v>
      </c>
      <c r="H30" s="215">
        <v>45636</v>
      </c>
      <c r="I30" s="215"/>
      <c r="J30" s="255">
        <v>14000</v>
      </c>
      <c r="K30" s="211">
        <v>28</v>
      </c>
      <c r="L30" s="211">
        <v>400</v>
      </c>
      <c r="M30" s="211"/>
      <c r="N30" s="211">
        <v>150</v>
      </c>
      <c r="O30" s="211">
        <f t="shared" si="0"/>
        <v>578</v>
      </c>
      <c r="P30" s="211"/>
      <c r="Q30" s="211"/>
      <c r="R30" s="211"/>
      <c r="S30" s="211"/>
      <c r="T30" s="211">
        <f t="shared" si="6"/>
        <v>0</v>
      </c>
      <c r="U30" s="211">
        <f t="shared" si="1"/>
        <v>28</v>
      </c>
      <c r="V30" s="211">
        <f t="shared" si="2"/>
        <v>400</v>
      </c>
      <c r="W30" s="211">
        <f t="shared" si="3"/>
        <v>0</v>
      </c>
      <c r="X30" s="211">
        <f t="shared" si="4"/>
        <v>150</v>
      </c>
      <c r="Y30" s="211">
        <f t="shared" si="7"/>
        <v>578</v>
      </c>
      <c r="Z30" s="211">
        <f t="shared" si="19"/>
        <v>0</v>
      </c>
      <c r="AA30" s="211">
        <f t="shared" si="8"/>
        <v>0</v>
      </c>
      <c r="AB30" s="211">
        <f t="shared" si="9"/>
        <v>0</v>
      </c>
      <c r="AC30" s="211">
        <f t="shared" si="10"/>
        <v>0</v>
      </c>
      <c r="AD30" s="211">
        <f t="shared" si="11"/>
        <v>0</v>
      </c>
      <c r="AE30" s="76" t="s">
        <v>518</v>
      </c>
      <c r="AF30" s="76" t="s">
        <v>23</v>
      </c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76">
        <f t="shared" si="5"/>
        <v>0</v>
      </c>
      <c r="AT30" s="76" t="s">
        <v>518</v>
      </c>
      <c r="AU30" s="76" t="s">
        <v>23</v>
      </c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>
        <f t="shared" si="12"/>
        <v>0</v>
      </c>
      <c r="BI30" s="76" t="s">
        <v>518</v>
      </c>
      <c r="BJ30" s="76" t="s">
        <v>23</v>
      </c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>
        <f t="shared" si="13"/>
        <v>0</v>
      </c>
      <c r="BX30" s="76" t="s">
        <v>518</v>
      </c>
      <c r="BY30" s="76" t="s">
        <v>23</v>
      </c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>
        <f t="shared" si="14"/>
        <v>0</v>
      </c>
      <c r="CM30" s="211">
        <f t="shared" si="15"/>
        <v>28</v>
      </c>
      <c r="CN30" s="211">
        <f t="shared" si="16"/>
        <v>400</v>
      </c>
      <c r="CO30" s="211">
        <f t="shared" si="17"/>
        <v>0</v>
      </c>
      <c r="CP30" s="211">
        <f t="shared" si="18"/>
        <v>150</v>
      </c>
    </row>
    <row r="31" spans="1:94" s="6" customFormat="1" ht="24" customHeight="1" x14ac:dyDescent="0.3">
      <c r="A31" s="78">
        <v>29</v>
      </c>
      <c r="B31" s="76" t="s">
        <v>169</v>
      </c>
      <c r="C31" s="76" t="s">
        <v>24</v>
      </c>
      <c r="D31" s="76">
        <v>1</v>
      </c>
      <c r="E31" s="76" t="s">
        <v>170</v>
      </c>
      <c r="F31" s="76"/>
      <c r="G31" s="76" t="s">
        <v>175</v>
      </c>
      <c r="H31" s="215">
        <v>45684</v>
      </c>
      <c r="I31" s="215">
        <v>45991</v>
      </c>
      <c r="J31" s="255">
        <v>30000</v>
      </c>
      <c r="K31" s="211">
        <v>5120</v>
      </c>
      <c r="L31" s="211">
        <v>280</v>
      </c>
      <c r="M31" s="211"/>
      <c r="N31" s="211">
        <v>200</v>
      </c>
      <c r="O31" s="211">
        <f t="shared" si="0"/>
        <v>5600</v>
      </c>
      <c r="P31" s="211">
        <v>4485.0200000000004</v>
      </c>
      <c r="Q31" s="211">
        <v>141.69999999999999</v>
      </c>
      <c r="R31" s="211">
        <v>73.5</v>
      </c>
      <c r="S31" s="211"/>
      <c r="T31" s="211">
        <f t="shared" si="6"/>
        <v>4700.22</v>
      </c>
      <c r="U31" s="211">
        <f t="shared" si="1"/>
        <v>634.97999999999956</v>
      </c>
      <c r="V31" s="211">
        <f t="shared" si="2"/>
        <v>138.30000000000001</v>
      </c>
      <c r="W31" s="211">
        <f t="shared" si="3"/>
        <v>-73.5</v>
      </c>
      <c r="X31" s="211">
        <f t="shared" si="4"/>
        <v>200</v>
      </c>
      <c r="Y31" s="211">
        <f t="shared" si="7"/>
        <v>899.77999999999952</v>
      </c>
      <c r="Z31" s="211">
        <f t="shared" si="19"/>
        <v>635</v>
      </c>
      <c r="AA31" s="211">
        <f t="shared" si="8"/>
        <v>138</v>
      </c>
      <c r="AB31" s="211">
        <f t="shared" si="9"/>
        <v>0</v>
      </c>
      <c r="AC31" s="211">
        <f t="shared" si="10"/>
        <v>200</v>
      </c>
      <c r="AD31" s="211">
        <f t="shared" si="11"/>
        <v>973</v>
      </c>
      <c r="AE31" s="76" t="s">
        <v>518</v>
      </c>
      <c r="AF31" s="76" t="s">
        <v>24</v>
      </c>
      <c r="AG31" s="255">
        <v>300</v>
      </c>
      <c r="AH31" s="255">
        <v>335</v>
      </c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76">
        <f t="shared" si="5"/>
        <v>635</v>
      </c>
      <c r="AT31" s="76" t="s">
        <v>518</v>
      </c>
      <c r="AU31" s="76" t="s">
        <v>24</v>
      </c>
      <c r="AV31" s="76">
        <v>138</v>
      </c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>
        <f t="shared" si="12"/>
        <v>138</v>
      </c>
      <c r="BI31" s="76" t="s">
        <v>518</v>
      </c>
      <c r="BJ31" s="76" t="s">
        <v>24</v>
      </c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>
        <f t="shared" si="13"/>
        <v>0</v>
      </c>
      <c r="BX31" s="76" t="s">
        <v>518</v>
      </c>
      <c r="BY31" s="76" t="s">
        <v>24</v>
      </c>
      <c r="BZ31" s="76">
        <v>200</v>
      </c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>
        <f t="shared" si="14"/>
        <v>200</v>
      </c>
      <c r="CM31" s="211">
        <f t="shared" si="15"/>
        <v>-2.0000000000436557E-2</v>
      </c>
      <c r="CN31" s="211">
        <f t="shared" si="16"/>
        <v>0.30000000000001137</v>
      </c>
      <c r="CO31" s="211">
        <f t="shared" si="17"/>
        <v>-73.5</v>
      </c>
      <c r="CP31" s="211">
        <f t="shared" si="18"/>
        <v>0</v>
      </c>
    </row>
    <row r="32" spans="1:94" s="6" customFormat="1" ht="23.4" customHeight="1" x14ac:dyDescent="0.3">
      <c r="A32" s="4">
        <v>30</v>
      </c>
      <c r="B32" s="76" t="s">
        <v>259</v>
      </c>
      <c r="C32" s="76">
        <v>9227</v>
      </c>
      <c r="D32" s="76">
        <v>3</v>
      </c>
      <c r="E32" s="76" t="s">
        <v>172</v>
      </c>
      <c r="F32" s="76" t="s">
        <v>506</v>
      </c>
      <c r="G32" s="76" t="s">
        <v>213</v>
      </c>
      <c r="H32" s="215">
        <v>45687</v>
      </c>
      <c r="I32" s="215">
        <v>45700</v>
      </c>
      <c r="J32" s="255"/>
      <c r="K32" s="211"/>
      <c r="L32" s="211">
        <v>140</v>
      </c>
      <c r="M32" s="211"/>
      <c r="N32" s="211">
        <v>420</v>
      </c>
      <c r="O32" s="211">
        <f t="shared" si="0"/>
        <v>560</v>
      </c>
      <c r="P32" s="211">
        <v>3.5</v>
      </c>
      <c r="Q32" s="211">
        <v>116.5</v>
      </c>
      <c r="R32" s="211">
        <v>82.5</v>
      </c>
      <c r="S32" s="211">
        <v>985</v>
      </c>
      <c r="T32" s="211">
        <f t="shared" si="6"/>
        <v>1187.5</v>
      </c>
      <c r="U32" s="211">
        <f t="shared" si="1"/>
        <v>-3.5</v>
      </c>
      <c r="V32" s="211">
        <f t="shared" si="2"/>
        <v>23.5</v>
      </c>
      <c r="W32" s="211">
        <f t="shared" si="3"/>
        <v>-82.5</v>
      </c>
      <c r="X32" s="211">
        <f t="shared" si="4"/>
        <v>-565</v>
      </c>
      <c r="Y32" s="211">
        <f t="shared" si="7"/>
        <v>-627.5</v>
      </c>
      <c r="Z32" s="211">
        <f t="shared" si="19"/>
        <v>0</v>
      </c>
      <c r="AA32" s="211">
        <f t="shared" si="8"/>
        <v>0</v>
      </c>
      <c r="AB32" s="211">
        <f t="shared" si="9"/>
        <v>0</v>
      </c>
      <c r="AC32" s="211">
        <f t="shared" si="10"/>
        <v>0</v>
      </c>
      <c r="AD32" s="211">
        <f t="shared" si="11"/>
        <v>0</v>
      </c>
      <c r="AE32" s="76" t="s">
        <v>518</v>
      </c>
      <c r="AF32" s="76" t="s">
        <v>23</v>
      </c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76">
        <f t="shared" si="5"/>
        <v>0</v>
      </c>
      <c r="AT32" s="76" t="s">
        <v>518</v>
      </c>
      <c r="AU32" s="76" t="s">
        <v>23</v>
      </c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>
        <f t="shared" si="12"/>
        <v>0</v>
      </c>
      <c r="BI32" s="76" t="s">
        <v>518</v>
      </c>
      <c r="BJ32" s="76" t="s">
        <v>23</v>
      </c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>
        <f t="shared" si="13"/>
        <v>0</v>
      </c>
      <c r="BX32" s="76" t="s">
        <v>518</v>
      </c>
      <c r="BY32" s="76" t="s">
        <v>23</v>
      </c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>
        <f t="shared" si="14"/>
        <v>0</v>
      </c>
      <c r="CM32" s="211">
        <f t="shared" si="15"/>
        <v>-3.5</v>
      </c>
      <c r="CN32" s="211">
        <f t="shared" si="16"/>
        <v>23.5</v>
      </c>
      <c r="CO32" s="211">
        <f t="shared" si="17"/>
        <v>-82.5</v>
      </c>
      <c r="CP32" s="211">
        <f t="shared" si="18"/>
        <v>-565</v>
      </c>
    </row>
    <row r="33" spans="1:94" s="6" customFormat="1" ht="24" customHeight="1" x14ac:dyDescent="0.3">
      <c r="A33" s="78">
        <v>31</v>
      </c>
      <c r="B33" s="76" t="s">
        <v>376</v>
      </c>
      <c r="C33" s="76">
        <v>72005686</v>
      </c>
      <c r="D33" s="76">
        <v>1</v>
      </c>
      <c r="E33" s="76" t="s">
        <v>173</v>
      </c>
      <c r="F33" s="76"/>
      <c r="G33" s="76" t="s">
        <v>158</v>
      </c>
      <c r="H33" s="215">
        <v>45688</v>
      </c>
      <c r="I33" s="215">
        <v>46081</v>
      </c>
      <c r="J33" s="255">
        <v>4784</v>
      </c>
      <c r="K33" s="211">
        <v>3925</v>
      </c>
      <c r="L33" s="211">
        <v>370</v>
      </c>
      <c r="M33" s="211">
        <v>380</v>
      </c>
      <c r="N33" s="211">
        <v>700</v>
      </c>
      <c r="O33" s="211">
        <f t="shared" si="0"/>
        <v>5375</v>
      </c>
      <c r="P33" s="211">
        <v>3965.25</v>
      </c>
      <c r="Q33" s="211">
        <v>295.60000000000002</v>
      </c>
      <c r="R33" s="211">
        <v>672.35</v>
      </c>
      <c r="S33" s="211">
        <v>90</v>
      </c>
      <c r="T33" s="211">
        <f t="shared" si="6"/>
        <v>5023.2000000000007</v>
      </c>
      <c r="U33" s="211">
        <f t="shared" si="1"/>
        <v>-40.25</v>
      </c>
      <c r="V33" s="211">
        <f t="shared" si="2"/>
        <v>74.399999999999977</v>
      </c>
      <c r="W33" s="211">
        <f t="shared" si="3"/>
        <v>-292.35000000000002</v>
      </c>
      <c r="X33" s="211">
        <f t="shared" si="4"/>
        <v>610</v>
      </c>
      <c r="Y33" s="211">
        <f t="shared" si="7"/>
        <v>351.79999999999995</v>
      </c>
      <c r="Z33" s="211">
        <f t="shared" si="19"/>
        <v>0</v>
      </c>
      <c r="AA33" s="211">
        <f t="shared" si="8"/>
        <v>74</v>
      </c>
      <c r="AB33" s="211">
        <f t="shared" si="9"/>
        <v>0</v>
      </c>
      <c r="AC33" s="211">
        <f t="shared" si="10"/>
        <v>610</v>
      </c>
      <c r="AD33" s="211">
        <f t="shared" si="11"/>
        <v>684</v>
      </c>
      <c r="AE33" s="76" t="s">
        <v>518</v>
      </c>
      <c r="AF33" s="76" t="s">
        <v>23</v>
      </c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76">
        <f t="shared" si="5"/>
        <v>0</v>
      </c>
      <c r="AT33" s="76" t="s">
        <v>518</v>
      </c>
      <c r="AU33" s="76" t="s">
        <v>23</v>
      </c>
      <c r="AV33" s="76"/>
      <c r="AW33" s="76">
        <v>74</v>
      </c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>
        <f t="shared" si="12"/>
        <v>74</v>
      </c>
      <c r="BI33" s="76" t="s">
        <v>518</v>
      </c>
      <c r="BJ33" s="76" t="s">
        <v>23</v>
      </c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>
        <f t="shared" si="13"/>
        <v>0</v>
      </c>
      <c r="BX33" s="76" t="s">
        <v>518</v>
      </c>
      <c r="BY33" s="76" t="s">
        <v>23</v>
      </c>
      <c r="BZ33" s="76">
        <v>610</v>
      </c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>
        <f t="shared" si="14"/>
        <v>610</v>
      </c>
      <c r="CM33" s="211">
        <f t="shared" si="15"/>
        <v>-40.25</v>
      </c>
      <c r="CN33" s="211">
        <f t="shared" ref="CN33:CN61" si="20">V33-AA33</f>
        <v>0.39999999999997726</v>
      </c>
      <c r="CO33" s="211">
        <f t="shared" si="17"/>
        <v>-292.35000000000002</v>
      </c>
      <c r="CP33" s="211">
        <f t="shared" si="18"/>
        <v>0</v>
      </c>
    </row>
    <row r="34" spans="1:94" s="6" customFormat="1" ht="27" customHeight="1" x14ac:dyDescent="0.3">
      <c r="A34" s="4">
        <v>32</v>
      </c>
      <c r="B34" s="76">
        <v>12301</v>
      </c>
      <c r="C34" s="76" t="s">
        <v>166</v>
      </c>
      <c r="D34" s="76">
        <v>1</v>
      </c>
      <c r="E34" s="76" t="s">
        <v>177</v>
      </c>
      <c r="F34" s="76" t="s">
        <v>505</v>
      </c>
      <c r="G34" s="76" t="s">
        <v>158</v>
      </c>
      <c r="H34" s="215">
        <v>45700</v>
      </c>
      <c r="I34" s="215">
        <v>46038</v>
      </c>
      <c r="J34" s="255">
        <v>14000</v>
      </c>
      <c r="K34" s="211">
        <v>1450</v>
      </c>
      <c r="L34" s="211">
        <v>405</v>
      </c>
      <c r="M34" s="211"/>
      <c r="N34" s="211">
        <v>700</v>
      </c>
      <c r="O34" s="211">
        <f t="shared" si="0"/>
        <v>2555</v>
      </c>
      <c r="P34" s="211">
        <v>1489</v>
      </c>
      <c r="Q34" s="211">
        <v>1090</v>
      </c>
      <c r="R34" s="211">
        <v>1243</v>
      </c>
      <c r="S34" s="211">
        <v>872</v>
      </c>
      <c r="T34" s="211">
        <f t="shared" si="6"/>
        <v>4694</v>
      </c>
      <c r="U34" s="211">
        <f t="shared" si="1"/>
        <v>-39</v>
      </c>
      <c r="V34" s="211">
        <f t="shared" si="2"/>
        <v>-685</v>
      </c>
      <c r="W34" s="211">
        <f t="shared" si="3"/>
        <v>-1243</v>
      </c>
      <c r="X34" s="211">
        <f t="shared" si="4"/>
        <v>-172</v>
      </c>
      <c r="Y34" s="211">
        <f t="shared" si="7"/>
        <v>-2139</v>
      </c>
      <c r="Z34" s="211">
        <f t="shared" si="19"/>
        <v>0</v>
      </c>
      <c r="AA34" s="211">
        <f t="shared" si="8"/>
        <v>0</v>
      </c>
      <c r="AB34" s="211">
        <f t="shared" si="9"/>
        <v>0</v>
      </c>
      <c r="AC34" s="211">
        <f t="shared" si="10"/>
        <v>0</v>
      </c>
      <c r="AD34" s="211">
        <f t="shared" si="11"/>
        <v>0</v>
      </c>
      <c r="AE34" s="253" t="s">
        <v>517</v>
      </c>
      <c r="AF34" s="76" t="s">
        <v>22</v>
      </c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76">
        <f t="shared" si="5"/>
        <v>0</v>
      </c>
      <c r="AT34" s="253" t="s">
        <v>517</v>
      </c>
      <c r="AU34" s="76" t="s">
        <v>22</v>
      </c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>
        <f t="shared" si="12"/>
        <v>0</v>
      </c>
      <c r="BI34" s="253" t="s">
        <v>517</v>
      </c>
      <c r="BJ34" s="76" t="s">
        <v>22</v>
      </c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>
        <f t="shared" si="13"/>
        <v>0</v>
      </c>
      <c r="BX34" s="253" t="s">
        <v>517</v>
      </c>
      <c r="BY34" s="76" t="s">
        <v>22</v>
      </c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>
        <f t="shared" si="14"/>
        <v>0</v>
      </c>
      <c r="CM34" s="211">
        <f t="shared" si="15"/>
        <v>-39</v>
      </c>
      <c r="CN34" s="211">
        <f t="shared" si="20"/>
        <v>-685</v>
      </c>
      <c r="CO34" s="211">
        <f t="shared" si="17"/>
        <v>-1243</v>
      </c>
      <c r="CP34" s="211">
        <f t="shared" si="18"/>
        <v>-172</v>
      </c>
    </row>
    <row r="35" spans="1:94" s="36" customFormat="1" ht="21" customHeight="1" x14ac:dyDescent="0.3">
      <c r="A35" s="78">
        <v>33</v>
      </c>
      <c r="B35" s="76">
        <v>13827</v>
      </c>
      <c r="C35" s="76" t="s">
        <v>166</v>
      </c>
      <c r="D35" s="76">
        <v>2</v>
      </c>
      <c r="E35" s="76" t="s">
        <v>183</v>
      </c>
      <c r="F35" s="76" t="s">
        <v>505</v>
      </c>
      <c r="G35" s="76" t="s">
        <v>178</v>
      </c>
      <c r="H35" s="215">
        <v>45742</v>
      </c>
      <c r="I35" s="215">
        <v>45850</v>
      </c>
      <c r="J35" s="255">
        <v>7420</v>
      </c>
      <c r="K35" s="211">
        <f>84*2</f>
        <v>168</v>
      </c>
      <c r="L35" s="211">
        <f>64*2</f>
        <v>128</v>
      </c>
      <c r="M35" s="211"/>
      <c r="N35" s="211">
        <v>480</v>
      </c>
      <c r="O35" s="211">
        <f t="shared" si="0"/>
        <v>776</v>
      </c>
      <c r="P35" s="211">
        <v>14</v>
      </c>
      <c r="Q35" s="211">
        <v>15</v>
      </c>
      <c r="R35" s="211">
        <v>23.7</v>
      </c>
      <c r="S35" s="211">
        <v>747</v>
      </c>
      <c r="T35" s="211">
        <f t="shared" si="6"/>
        <v>799.7</v>
      </c>
      <c r="U35" s="211">
        <f t="shared" si="1"/>
        <v>154</v>
      </c>
      <c r="V35" s="211">
        <f t="shared" si="2"/>
        <v>113</v>
      </c>
      <c r="W35" s="211">
        <f t="shared" si="3"/>
        <v>-23.7</v>
      </c>
      <c r="X35" s="211">
        <f t="shared" si="4"/>
        <v>-267</v>
      </c>
      <c r="Y35" s="211">
        <f t="shared" si="7"/>
        <v>-23.699999999999989</v>
      </c>
      <c r="Z35" s="211">
        <f t="shared" si="19"/>
        <v>0</v>
      </c>
      <c r="AA35" s="211">
        <f t="shared" si="8"/>
        <v>0</v>
      </c>
      <c r="AB35" s="211">
        <f t="shared" si="9"/>
        <v>0</v>
      </c>
      <c r="AC35" s="211">
        <f t="shared" si="10"/>
        <v>0</v>
      </c>
      <c r="AD35" s="211">
        <f t="shared" si="11"/>
        <v>0</v>
      </c>
      <c r="AE35" s="76" t="s">
        <v>518</v>
      </c>
      <c r="AF35" s="76" t="s">
        <v>23</v>
      </c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76">
        <f t="shared" si="5"/>
        <v>0</v>
      </c>
      <c r="AT35" s="76" t="s">
        <v>518</v>
      </c>
      <c r="AU35" s="76" t="s">
        <v>23</v>
      </c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>
        <f t="shared" si="12"/>
        <v>0</v>
      </c>
      <c r="BI35" s="76" t="s">
        <v>518</v>
      </c>
      <c r="BJ35" s="76" t="s">
        <v>23</v>
      </c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>
        <f t="shared" si="13"/>
        <v>0</v>
      </c>
      <c r="BX35" s="76" t="s">
        <v>518</v>
      </c>
      <c r="BY35" s="76" t="s">
        <v>23</v>
      </c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>
        <f t="shared" si="14"/>
        <v>0</v>
      </c>
      <c r="CM35" s="211">
        <f t="shared" si="15"/>
        <v>154</v>
      </c>
      <c r="CN35" s="211">
        <f t="shared" si="20"/>
        <v>113</v>
      </c>
      <c r="CO35" s="211">
        <f t="shared" si="17"/>
        <v>-23.7</v>
      </c>
      <c r="CP35" s="211">
        <f t="shared" si="18"/>
        <v>-267</v>
      </c>
    </row>
    <row r="36" spans="1:94" s="36" customFormat="1" ht="21" customHeight="1" x14ac:dyDescent="0.3">
      <c r="A36" s="4">
        <v>34</v>
      </c>
      <c r="B36" s="76">
        <v>11649</v>
      </c>
      <c r="C36" s="76" t="s">
        <v>166</v>
      </c>
      <c r="D36" s="76">
        <v>3</v>
      </c>
      <c r="E36" s="76" t="s">
        <v>289</v>
      </c>
      <c r="F36" s="76" t="s">
        <v>505</v>
      </c>
      <c r="G36" s="76" t="s">
        <v>158</v>
      </c>
      <c r="H36" s="215">
        <v>45740</v>
      </c>
      <c r="I36" s="215"/>
      <c r="J36" s="255">
        <v>15469</v>
      </c>
      <c r="K36" s="211"/>
      <c r="L36" s="211"/>
      <c r="M36" s="211"/>
      <c r="N36" s="211"/>
      <c r="O36" s="211">
        <f t="shared" si="0"/>
        <v>0</v>
      </c>
      <c r="P36" s="211">
        <v>27.5</v>
      </c>
      <c r="Q36" s="211">
        <v>660</v>
      </c>
      <c r="R36" s="211">
        <v>98.3</v>
      </c>
      <c r="S36" s="211">
        <v>1</v>
      </c>
      <c r="T36" s="211">
        <f t="shared" si="6"/>
        <v>786.8</v>
      </c>
      <c r="U36" s="211">
        <f t="shared" si="1"/>
        <v>-27.5</v>
      </c>
      <c r="V36" s="211">
        <f t="shared" si="2"/>
        <v>-660</v>
      </c>
      <c r="W36" s="211">
        <f t="shared" si="3"/>
        <v>-98.3</v>
      </c>
      <c r="X36" s="211">
        <f t="shared" si="4"/>
        <v>-1</v>
      </c>
      <c r="Y36" s="211">
        <f t="shared" si="7"/>
        <v>-786.8</v>
      </c>
      <c r="Z36" s="211">
        <f t="shared" si="19"/>
        <v>0</v>
      </c>
      <c r="AA36" s="211">
        <f t="shared" si="8"/>
        <v>0</v>
      </c>
      <c r="AB36" s="211">
        <f t="shared" si="9"/>
        <v>0</v>
      </c>
      <c r="AC36" s="211">
        <f t="shared" si="10"/>
        <v>0</v>
      </c>
      <c r="AD36" s="211">
        <f t="shared" si="11"/>
        <v>0</v>
      </c>
      <c r="AE36" s="76" t="s">
        <v>518</v>
      </c>
      <c r="AF36" s="76" t="s">
        <v>23</v>
      </c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76">
        <f t="shared" si="5"/>
        <v>0</v>
      </c>
      <c r="AT36" s="76" t="s">
        <v>518</v>
      </c>
      <c r="AU36" s="76" t="s">
        <v>23</v>
      </c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>
        <f t="shared" si="12"/>
        <v>0</v>
      </c>
      <c r="BI36" s="76" t="s">
        <v>518</v>
      </c>
      <c r="BJ36" s="76" t="s">
        <v>23</v>
      </c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>
        <f t="shared" si="13"/>
        <v>0</v>
      </c>
      <c r="BX36" s="76" t="s">
        <v>518</v>
      </c>
      <c r="BY36" s="76" t="s">
        <v>23</v>
      </c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>
        <f t="shared" si="14"/>
        <v>0</v>
      </c>
      <c r="CM36" s="211">
        <f t="shared" si="15"/>
        <v>-27.5</v>
      </c>
      <c r="CN36" s="211">
        <f t="shared" si="20"/>
        <v>-660</v>
      </c>
      <c r="CO36" s="211">
        <f t="shared" si="17"/>
        <v>-98.3</v>
      </c>
      <c r="CP36" s="211">
        <f t="shared" si="18"/>
        <v>-1</v>
      </c>
    </row>
    <row r="37" spans="1:94" s="36" customFormat="1" ht="23.4" customHeight="1" x14ac:dyDescent="0.3">
      <c r="A37" s="78">
        <v>35</v>
      </c>
      <c r="B37" s="76">
        <v>14904</v>
      </c>
      <c r="C37" s="76" t="s">
        <v>166</v>
      </c>
      <c r="D37" s="76">
        <v>1</v>
      </c>
      <c r="E37" s="76" t="s">
        <v>185</v>
      </c>
      <c r="F37" s="76" t="s">
        <v>505</v>
      </c>
      <c r="G37" s="76" t="s">
        <v>178</v>
      </c>
      <c r="H37" s="215">
        <v>45764</v>
      </c>
      <c r="I37" s="215">
        <v>46081</v>
      </c>
      <c r="J37" s="255">
        <v>1631</v>
      </c>
      <c r="K37" s="211">
        <v>84</v>
      </c>
      <c r="L37" s="211">
        <v>64</v>
      </c>
      <c r="M37" s="211"/>
      <c r="N37" s="211">
        <v>240</v>
      </c>
      <c r="O37" s="211">
        <f t="shared" si="0"/>
        <v>388</v>
      </c>
      <c r="P37" s="211"/>
      <c r="Q37" s="211"/>
      <c r="R37" s="211"/>
      <c r="S37" s="211">
        <v>238</v>
      </c>
      <c r="T37" s="211">
        <f t="shared" si="6"/>
        <v>238</v>
      </c>
      <c r="U37" s="211">
        <f t="shared" si="1"/>
        <v>84</v>
      </c>
      <c r="V37" s="211">
        <f t="shared" si="2"/>
        <v>64</v>
      </c>
      <c r="W37" s="211">
        <f t="shared" si="3"/>
        <v>0</v>
      </c>
      <c r="X37" s="211">
        <f t="shared" si="4"/>
        <v>2</v>
      </c>
      <c r="Y37" s="211">
        <f t="shared" si="7"/>
        <v>150</v>
      </c>
      <c r="Z37" s="211">
        <f t="shared" si="19"/>
        <v>0</v>
      </c>
      <c r="AA37" s="211">
        <f t="shared" si="8"/>
        <v>0</v>
      </c>
      <c r="AB37" s="211">
        <f t="shared" si="9"/>
        <v>0</v>
      </c>
      <c r="AC37" s="211">
        <f t="shared" si="10"/>
        <v>0</v>
      </c>
      <c r="AD37" s="211">
        <f t="shared" si="11"/>
        <v>0</v>
      </c>
      <c r="AE37" s="76" t="s">
        <v>518</v>
      </c>
      <c r="AF37" s="76" t="s">
        <v>23</v>
      </c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76">
        <f t="shared" si="5"/>
        <v>0</v>
      </c>
      <c r="AT37" s="76" t="s">
        <v>518</v>
      </c>
      <c r="AU37" s="76" t="s">
        <v>23</v>
      </c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>
        <f t="shared" si="12"/>
        <v>0</v>
      </c>
      <c r="BI37" s="76" t="s">
        <v>518</v>
      </c>
      <c r="BJ37" s="76" t="s">
        <v>23</v>
      </c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>
        <f t="shared" si="13"/>
        <v>0</v>
      </c>
      <c r="BX37" s="76" t="s">
        <v>518</v>
      </c>
      <c r="BY37" s="76" t="s">
        <v>23</v>
      </c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>
        <f t="shared" si="14"/>
        <v>0</v>
      </c>
      <c r="CM37" s="211">
        <f t="shared" si="15"/>
        <v>84</v>
      </c>
      <c r="CN37" s="211">
        <f t="shared" si="20"/>
        <v>64</v>
      </c>
      <c r="CO37" s="211">
        <f t="shared" si="17"/>
        <v>0</v>
      </c>
      <c r="CP37" s="211">
        <f t="shared" si="18"/>
        <v>2</v>
      </c>
    </row>
    <row r="38" spans="1:94" s="6" customFormat="1" ht="22.95" customHeight="1" x14ac:dyDescent="0.3">
      <c r="A38" s="4">
        <v>36</v>
      </c>
      <c r="B38" s="76">
        <v>15031</v>
      </c>
      <c r="C38" s="76" t="s">
        <v>166</v>
      </c>
      <c r="D38" s="76">
        <v>6</v>
      </c>
      <c r="E38" s="76" t="s">
        <v>186</v>
      </c>
      <c r="F38" s="76" t="s">
        <v>505</v>
      </c>
      <c r="G38" s="76" t="s">
        <v>213</v>
      </c>
      <c r="H38" s="215">
        <v>45777</v>
      </c>
      <c r="I38" s="215">
        <v>46022</v>
      </c>
      <c r="J38" s="255">
        <v>4728</v>
      </c>
      <c r="K38" s="211"/>
      <c r="L38" s="211"/>
      <c r="M38" s="211"/>
      <c r="N38" s="211">
        <v>300</v>
      </c>
      <c r="O38" s="211">
        <f t="shared" si="0"/>
        <v>300</v>
      </c>
      <c r="P38" s="211"/>
      <c r="Q38" s="211"/>
      <c r="R38" s="211"/>
      <c r="S38" s="211"/>
      <c r="T38" s="211">
        <f t="shared" si="6"/>
        <v>0</v>
      </c>
      <c r="U38" s="211">
        <f t="shared" si="1"/>
        <v>0</v>
      </c>
      <c r="V38" s="211">
        <f t="shared" si="2"/>
        <v>0</v>
      </c>
      <c r="W38" s="211">
        <f t="shared" si="3"/>
        <v>0</v>
      </c>
      <c r="X38" s="211">
        <f t="shared" si="4"/>
        <v>300</v>
      </c>
      <c r="Y38" s="211">
        <f t="shared" si="7"/>
        <v>300</v>
      </c>
      <c r="Z38" s="211">
        <f t="shared" si="19"/>
        <v>0</v>
      </c>
      <c r="AA38" s="211">
        <f t="shared" si="8"/>
        <v>0</v>
      </c>
      <c r="AB38" s="211">
        <f t="shared" si="9"/>
        <v>0</v>
      </c>
      <c r="AC38" s="211">
        <f t="shared" si="10"/>
        <v>0</v>
      </c>
      <c r="AD38" s="211">
        <f t="shared" si="11"/>
        <v>0</v>
      </c>
      <c r="AE38" s="76" t="s">
        <v>518</v>
      </c>
      <c r="AF38" s="76" t="s">
        <v>23</v>
      </c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76">
        <f t="shared" si="5"/>
        <v>0</v>
      </c>
      <c r="AT38" s="76" t="s">
        <v>518</v>
      </c>
      <c r="AU38" s="76" t="s">
        <v>23</v>
      </c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>
        <f t="shared" si="12"/>
        <v>0</v>
      </c>
      <c r="BI38" s="76" t="s">
        <v>518</v>
      </c>
      <c r="BJ38" s="76" t="s">
        <v>23</v>
      </c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>
        <f t="shared" si="13"/>
        <v>0</v>
      </c>
      <c r="BX38" s="76" t="s">
        <v>518</v>
      </c>
      <c r="BY38" s="76" t="s">
        <v>23</v>
      </c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>
        <f t="shared" si="14"/>
        <v>0</v>
      </c>
      <c r="CM38" s="211">
        <f t="shared" si="15"/>
        <v>0</v>
      </c>
      <c r="CN38" s="211">
        <f t="shared" si="20"/>
        <v>0</v>
      </c>
      <c r="CO38" s="211">
        <f t="shared" si="17"/>
        <v>0</v>
      </c>
      <c r="CP38" s="211">
        <f t="shared" si="18"/>
        <v>300</v>
      </c>
    </row>
    <row r="39" spans="1:94" s="6" customFormat="1" ht="23.4" customHeight="1" x14ac:dyDescent="0.3">
      <c r="A39" s="78">
        <v>37</v>
      </c>
      <c r="B39" s="76">
        <v>15541</v>
      </c>
      <c r="C39" s="76" t="s">
        <v>166</v>
      </c>
      <c r="D39" s="76">
        <v>5</v>
      </c>
      <c r="E39" s="76" t="s">
        <v>148</v>
      </c>
      <c r="F39" s="76" t="s">
        <v>505</v>
      </c>
      <c r="G39" s="76" t="s">
        <v>178</v>
      </c>
      <c r="H39" s="215">
        <v>45784</v>
      </c>
      <c r="I39" s="215">
        <v>46022</v>
      </c>
      <c r="J39" s="255">
        <v>5995</v>
      </c>
      <c r="K39" s="211">
        <v>400</v>
      </c>
      <c r="L39" s="211"/>
      <c r="M39" s="211"/>
      <c r="N39" s="211">
        <v>80</v>
      </c>
      <c r="O39" s="211">
        <f t="shared" si="0"/>
        <v>480</v>
      </c>
      <c r="P39" s="211">
        <v>501</v>
      </c>
      <c r="Q39" s="211"/>
      <c r="R39" s="211"/>
      <c r="S39" s="211">
        <v>241</v>
      </c>
      <c r="T39" s="211">
        <f t="shared" si="6"/>
        <v>742</v>
      </c>
      <c r="U39" s="211">
        <f t="shared" si="1"/>
        <v>-101</v>
      </c>
      <c r="V39" s="211">
        <f t="shared" si="2"/>
        <v>0</v>
      </c>
      <c r="W39" s="211">
        <f t="shared" si="3"/>
        <v>0</v>
      </c>
      <c r="X39" s="211">
        <f t="shared" si="4"/>
        <v>-161</v>
      </c>
      <c r="Y39" s="211">
        <f t="shared" si="7"/>
        <v>-262</v>
      </c>
      <c r="Z39" s="211">
        <f t="shared" si="19"/>
        <v>0</v>
      </c>
      <c r="AA39" s="211">
        <f t="shared" si="8"/>
        <v>0</v>
      </c>
      <c r="AB39" s="211">
        <f t="shared" si="9"/>
        <v>0</v>
      </c>
      <c r="AC39" s="211">
        <f t="shared" si="10"/>
        <v>0</v>
      </c>
      <c r="AD39" s="211">
        <f t="shared" si="11"/>
        <v>0</v>
      </c>
      <c r="AE39" s="76" t="s">
        <v>518</v>
      </c>
      <c r="AF39" s="76" t="s">
        <v>23</v>
      </c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76">
        <f t="shared" si="5"/>
        <v>0</v>
      </c>
      <c r="AT39" s="76" t="s">
        <v>518</v>
      </c>
      <c r="AU39" s="76" t="s">
        <v>23</v>
      </c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>
        <f t="shared" si="12"/>
        <v>0</v>
      </c>
      <c r="BI39" s="76" t="s">
        <v>518</v>
      </c>
      <c r="BJ39" s="76" t="s">
        <v>23</v>
      </c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>
        <f t="shared" si="13"/>
        <v>0</v>
      </c>
      <c r="BX39" s="76" t="s">
        <v>518</v>
      </c>
      <c r="BY39" s="76" t="s">
        <v>23</v>
      </c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>
        <f t="shared" si="14"/>
        <v>0</v>
      </c>
      <c r="CM39" s="211">
        <f t="shared" si="15"/>
        <v>-101</v>
      </c>
      <c r="CN39" s="211">
        <f t="shared" si="20"/>
        <v>0</v>
      </c>
      <c r="CO39" s="211">
        <f t="shared" si="17"/>
        <v>0</v>
      </c>
      <c r="CP39" s="211">
        <f t="shared" si="18"/>
        <v>-161</v>
      </c>
    </row>
    <row r="40" spans="1:94" s="296" customFormat="1" ht="23.4" customHeight="1" x14ac:dyDescent="0.3">
      <c r="A40" s="4">
        <v>38</v>
      </c>
      <c r="B40" s="282">
        <v>16262</v>
      </c>
      <c r="C40" s="282" t="s">
        <v>166</v>
      </c>
      <c r="D40" s="76">
        <f>2+2+2+2</f>
        <v>8</v>
      </c>
      <c r="E40" s="282" t="s">
        <v>171</v>
      </c>
      <c r="F40" s="282" t="s">
        <v>509</v>
      </c>
      <c r="G40" s="282" t="s">
        <v>176</v>
      </c>
      <c r="H40" s="292">
        <v>45793</v>
      </c>
      <c r="I40" s="292">
        <v>45961</v>
      </c>
      <c r="J40" s="293">
        <v>7424</v>
      </c>
      <c r="K40" s="294">
        <v>3910</v>
      </c>
      <c r="L40" s="294">
        <v>160</v>
      </c>
      <c r="M40" s="294"/>
      <c r="N40" s="294"/>
      <c r="O40" s="294">
        <f t="shared" si="0"/>
        <v>4070</v>
      </c>
      <c r="P40" s="294">
        <v>2243</v>
      </c>
      <c r="Q40" s="294">
        <v>25.33</v>
      </c>
      <c r="R40" s="294">
        <v>89</v>
      </c>
      <c r="S40" s="294">
        <v>35</v>
      </c>
      <c r="T40" s="294">
        <f t="shared" si="6"/>
        <v>2392.33</v>
      </c>
      <c r="U40" s="294">
        <f t="shared" si="1"/>
        <v>1667</v>
      </c>
      <c r="V40" s="294">
        <f t="shared" si="2"/>
        <v>134.67000000000002</v>
      </c>
      <c r="W40" s="294">
        <f t="shared" si="3"/>
        <v>-89</v>
      </c>
      <c r="X40" s="294">
        <f t="shared" si="4"/>
        <v>-35</v>
      </c>
      <c r="Y40" s="294">
        <f t="shared" si="7"/>
        <v>1677.67</v>
      </c>
      <c r="Z40" s="294">
        <f t="shared" si="19"/>
        <v>0</v>
      </c>
      <c r="AA40" s="294">
        <f t="shared" si="8"/>
        <v>0</v>
      </c>
      <c r="AB40" s="294">
        <f t="shared" si="9"/>
        <v>0</v>
      </c>
      <c r="AC40" s="294">
        <f t="shared" si="10"/>
        <v>0</v>
      </c>
      <c r="AD40" s="294">
        <f t="shared" si="11"/>
        <v>0</v>
      </c>
      <c r="AE40" s="295" t="s">
        <v>516</v>
      </c>
      <c r="AF40" s="282" t="s">
        <v>22</v>
      </c>
      <c r="AG40" s="299"/>
      <c r="AH40" s="299"/>
      <c r="AI40" s="299"/>
      <c r="AJ40" s="299"/>
      <c r="AK40" s="299"/>
      <c r="AL40" s="299"/>
      <c r="AM40" s="299"/>
      <c r="AN40" s="299"/>
      <c r="AO40" s="293"/>
      <c r="AP40" s="293"/>
      <c r="AQ40" s="293"/>
      <c r="AR40" s="293"/>
      <c r="AS40" s="282">
        <f t="shared" si="5"/>
        <v>0</v>
      </c>
      <c r="AT40" s="295" t="s">
        <v>516</v>
      </c>
      <c r="AU40" s="282" t="s">
        <v>22</v>
      </c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>
        <f t="shared" si="12"/>
        <v>0</v>
      </c>
      <c r="BI40" s="295" t="s">
        <v>516</v>
      </c>
      <c r="BJ40" s="282" t="s">
        <v>22</v>
      </c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>
        <f t="shared" si="13"/>
        <v>0</v>
      </c>
      <c r="BX40" s="295" t="s">
        <v>516</v>
      </c>
      <c r="BY40" s="282" t="s">
        <v>22</v>
      </c>
      <c r="BZ40" s="282"/>
      <c r="CA40" s="282"/>
      <c r="CB40" s="282"/>
      <c r="CC40" s="282"/>
      <c r="CD40" s="282"/>
      <c r="CE40" s="282"/>
      <c r="CF40" s="282"/>
      <c r="CG40" s="282"/>
      <c r="CH40" s="282"/>
      <c r="CI40" s="282"/>
      <c r="CJ40" s="282"/>
      <c r="CK40" s="282"/>
      <c r="CL40" s="282">
        <f t="shared" si="14"/>
        <v>0</v>
      </c>
      <c r="CM40" s="294">
        <f t="shared" si="15"/>
        <v>1667</v>
      </c>
      <c r="CN40" s="294">
        <f t="shared" si="20"/>
        <v>134.67000000000002</v>
      </c>
      <c r="CO40" s="294">
        <f t="shared" si="17"/>
        <v>-89</v>
      </c>
      <c r="CP40" s="294">
        <f t="shared" si="18"/>
        <v>-35</v>
      </c>
    </row>
    <row r="41" spans="1:94" s="6" customFormat="1" ht="24" customHeight="1" x14ac:dyDescent="0.3">
      <c r="A41" s="78">
        <v>39</v>
      </c>
      <c r="B41" s="76">
        <v>15540</v>
      </c>
      <c r="C41" s="76" t="s">
        <v>166</v>
      </c>
      <c r="D41" s="76">
        <f>2+2+2+1</f>
        <v>7</v>
      </c>
      <c r="E41" s="76" t="s">
        <v>187</v>
      </c>
      <c r="F41" s="76" t="s">
        <v>505</v>
      </c>
      <c r="G41" s="76" t="s">
        <v>178</v>
      </c>
      <c r="H41" s="215">
        <v>45796</v>
      </c>
      <c r="I41" s="215">
        <v>45988</v>
      </c>
      <c r="J41" s="255">
        <v>2690</v>
      </c>
      <c r="K41" s="211"/>
      <c r="L41" s="211"/>
      <c r="M41" s="211"/>
      <c r="N41" s="211">
        <v>4</v>
      </c>
      <c r="O41" s="211">
        <f t="shared" si="0"/>
        <v>4</v>
      </c>
      <c r="P41" s="211">
        <v>15</v>
      </c>
      <c r="Q41" s="211">
        <v>48</v>
      </c>
      <c r="R41" s="211">
        <v>1.75</v>
      </c>
      <c r="S41" s="211">
        <v>55</v>
      </c>
      <c r="T41" s="211">
        <f t="shared" si="6"/>
        <v>119.75</v>
      </c>
      <c r="U41" s="211">
        <f t="shared" si="1"/>
        <v>-15</v>
      </c>
      <c r="V41" s="211">
        <f t="shared" si="2"/>
        <v>-48</v>
      </c>
      <c r="W41" s="211">
        <f t="shared" si="3"/>
        <v>-1.75</v>
      </c>
      <c r="X41" s="211">
        <f t="shared" si="4"/>
        <v>-51</v>
      </c>
      <c r="Y41" s="211">
        <f t="shared" si="7"/>
        <v>-115.75</v>
      </c>
      <c r="Z41" s="211">
        <f t="shared" si="19"/>
        <v>0</v>
      </c>
      <c r="AA41" s="211">
        <f t="shared" si="8"/>
        <v>0</v>
      </c>
      <c r="AB41" s="211">
        <f t="shared" si="9"/>
        <v>0</v>
      </c>
      <c r="AC41" s="211">
        <f t="shared" si="10"/>
        <v>0</v>
      </c>
      <c r="AD41" s="211">
        <f t="shared" si="11"/>
        <v>0</v>
      </c>
      <c r="AE41" s="76" t="s">
        <v>518</v>
      </c>
      <c r="AF41" s="76" t="s">
        <v>23</v>
      </c>
      <c r="AG41" s="298"/>
      <c r="AH41" s="298"/>
      <c r="AI41" s="298"/>
      <c r="AJ41" s="298"/>
      <c r="AK41" s="298"/>
      <c r="AL41" s="298"/>
      <c r="AM41" s="298"/>
      <c r="AN41" s="298"/>
      <c r="AO41" s="255"/>
      <c r="AP41" s="255"/>
      <c r="AQ41" s="255"/>
      <c r="AR41" s="255"/>
      <c r="AS41" s="76">
        <f t="shared" si="5"/>
        <v>0</v>
      </c>
      <c r="AT41" s="76" t="s">
        <v>518</v>
      </c>
      <c r="AU41" s="76" t="s">
        <v>23</v>
      </c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>
        <f t="shared" si="12"/>
        <v>0</v>
      </c>
      <c r="BI41" s="76" t="s">
        <v>518</v>
      </c>
      <c r="BJ41" s="76" t="s">
        <v>23</v>
      </c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>
        <f t="shared" si="13"/>
        <v>0</v>
      </c>
      <c r="BX41" s="76" t="s">
        <v>518</v>
      </c>
      <c r="BY41" s="76" t="s">
        <v>23</v>
      </c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>
        <f t="shared" si="14"/>
        <v>0</v>
      </c>
      <c r="CM41" s="211">
        <f t="shared" si="15"/>
        <v>-15</v>
      </c>
      <c r="CN41" s="211">
        <f t="shared" si="20"/>
        <v>-48</v>
      </c>
      <c r="CO41" s="211">
        <f t="shared" si="17"/>
        <v>-1.75</v>
      </c>
      <c r="CP41" s="211">
        <f t="shared" si="18"/>
        <v>-51</v>
      </c>
    </row>
    <row r="42" spans="1:94" s="6" customFormat="1" ht="23.4" customHeight="1" x14ac:dyDescent="0.3">
      <c r="A42" s="4">
        <v>40</v>
      </c>
      <c r="B42" s="76">
        <v>17368</v>
      </c>
      <c r="C42" s="76" t="s">
        <v>166</v>
      </c>
      <c r="D42" s="76">
        <v>1</v>
      </c>
      <c r="E42" s="76" t="s">
        <v>190</v>
      </c>
      <c r="F42" s="76" t="s">
        <v>506</v>
      </c>
      <c r="G42" s="76" t="s">
        <v>178</v>
      </c>
      <c r="H42" s="215">
        <v>45825</v>
      </c>
      <c r="I42" s="215">
        <v>46178</v>
      </c>
      <c r="J42" s="255">
        <v>4310</v>
      </c>
      <c r="K42" s="211">
        <v>1277</v>
      </c>
      <c r="L42" s="211">
        <v>30</v>
      </c>
      <c r="M42" s="211">
        <v>108</v>
      </c>
      <c r="N42" s="211">
        <v>300</v>
      </c>
      <c r="O42" s="211">
        <f t="shared" si="0"/>
        <v>1715</v>
      </c>
      <c r="P42" s="211">
        <v>1616</v>
      </c>
      <c r="Q42" s="211">
        <v>178</v>
      </c>
      <c r="R42" s="211">
        <v>298</v>
      </c>
      <c r="S42" s="211">
        <v>447</v>
      </c>
      <c r="T42" s="211">
        <f t="shared" si="6"/>
        <v>2539</v>
      </c>
      <c r="U42" s="211">
        <f t="shared" si="1"/>
        <v>-339</v>
      </c>
      <c r="V42" s="211">
        <f t="shared" si="2"/>
        <v>-148</v>
      </c>
      <c r="W42" s="211">
        <f t="shared" si="3"/>
        <v>-190</v>
      </c>
      <c r="X42" s="211">
        <f t="shared" si="4"/>
        <v>-147</v>
      </c>
      <c r="Y42" s="211">
        <f t="shared" si="7"/>
        <v>-824</v>
      </c>
      <c r="Z42" s="211">
        <f t="shared" si="19"/>
        <v>0</v>
      </c>
      <c r="AA42" s="211">
        <f t="shared" si="8"/>
        <v>0</v>
      </c>
      <c r="AB42" s="211">
        <f t="shared" si="9"/>
        <v>0</v>
      </c>
      <c r="AC42" s="211">
        <f t="shared" si="10"/>
        <v>0</v>
      </c>
      <c r="AD42" s="211">
        <f t="shared" si="11"/>
        <v>0</v>
      </c>
      <c r="AE42" s="76" t="s">
        <v>518</v>
      </c>
      <c r="AF42" s="76" t="s">
        <v>23</v>
      </c>
      <c r="AG42" s="298"/>
      <c r="AH42" s="298"/>
      <c r="AI42" s="298"/>
      <c r="AJ42" s="298"/>
      <c r="AK42" s="298"/>
      <c r="AL42" s="298"/>
      <c r="AM42" s="298"/>
      <c r="AN42" s="298"/>
      <c r="AO42" s="255"/>
      <c r="AP42" s="255"/>
      <c r="AQ42" s="255"/>
      <c r="AR42" s="255"/>
      <c r="AS42" s="76">
        <f t="shared" si="5"/>
        <v>0</v>
      </c>
      <c r="AT42" s="76" t="s">
        <v>518</v>
      </c>
      <c r="AU42" s="76" t="s">
        <v>23</v>
      </c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>
        <f t="shared" si="12"/>
        <v>0</v>
      </c>
      <c r="BI42" s="76" t="s">
        <v>518</v>
      </c>
      <c r="BJ42" s="76" t="s">
        <v>23</v>
      </c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>
        <f t="shared" si="13"/>
        <v>0</v>
      </c>
      <c r="BX42" s="76" t="s">
        <v>518</v>
      </c>
      <c r="BY42" s="76" t="s">
        <v>23</v>
      </c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>
        <f t="shared" si="14"/>
        <v>0</v>
      </c>
      <c r="CM42" s="211">
        <f t="shared" si="15"/>
        <v>-339</v>
      </c>
      <c r="CN42" s="211">
        <f t="shared" si="20"/>
        <v>-148</v>
      </c>
      <c r="CO42" s="211">
        <f t="shared" si="17"/>
        <v>-190</v>
      </c>
      <c r="CP42" s="211">
        <f t="shared" si="18"/>
        <v>-147</v>
      </c>
    </row>
    <row r="43" spans="1:94" s="6" customFormat="1" ht="37.799999999999997" x14ac:dyDescent="0.3">
      <c r="A43" s="78">
        <v>41</v>
      </c>
      <c r="B43" s="76" t="s">
        <v>263</v>
      </c>
      <c r="C43" s="76">
        <v>20140</v>
      </c>
      <c r="D43" s="76">
        <v>12</v>
      </c>
      <c r="E43" s="76" t="s">
        <v>208</v>
      </c>
      <c r="F43" s="76"/>
      <c r="G43" s="76" t="s">
        <v>176</v>
      </c>
      <c r="H43" s="215">
        <v>45827</v>
      </c>
      <c r="I43" s="215">
        <v>46132</v>
      </c>
      <c r="J43" s="255">
        <v>100000</v>
      </c>
      <c r="K43" s="211">
        <v>24257.142857142859</v>
      </c>
      <c r="L43" s="211">
        <v>60</v>
      </c>
      <c r="M43" s="211">
        <v>600</v>
      </c>
      <c r="N43" s="211"/>
      <c r="O43" s="211">
        <f t="shared" si="0"/>
        <v>24917.142857142859</v>
      </c>
      <c r="P43" s="211"/>
      <c r="Q43" s="211"/>
      <c r="R43" s="211"/>
      <c r="S43" s="211"/>
      <c r="T43" s="211">
        <f t="shared" si="6"/>
        <v>0</v>
      </c>
      <c r="U43" s="211">
        <f t="shared" si="1"/>
        <v>24257.142857142859</v>
      </c>
      <c r="V43" s="211">
        <f t="shared" si="2"/>
        <v>60</v>
      </c>
      <c r="W43" s="211">
        <f t="shared" si="3"/>
        <v>600</v>
      </c>
      <c r="X43" s="211">
        <f t="shared" si="4"/>
        <v>0</v>
      </c>
      <c r="Y43" s="211">
        <f t="shared" si="7"/>
        <v>24917.142857142859</v>
      </c>
      <c r="Z43" s="211">
        <f t="shared" si="19"/>
        <v>24257</v>
      </c>
      <c r="AA43" s="211">
        <f t="shared" si="8"/>
        <v>60</v>
      </c>
      <c r="AB43" s="211">
        <f t="shared" si="9"/>
        <v>600</v>
      </c>
      <c r="AC43" s="211">
        <f t="shared" si="10"/>
        <v>0</v>
      </c>
      <c r="AD43" s="211">
        <f t="shared" si="11"/>
        <v>24917</v>
      </c>
      <c r="AE43" s="252" t="s">
        <v>516</v>
      </c>
      <c r="AF43" s="76" t="s">
        <v>22</v>
      </c>
      <c r="AG43" s="298">
        <v>1757</v>
      </c>
      <c r="AH43" s="298">
        <v>2500</v>
      </c>
      <c r="AI43" s="298">
        <v>2500</v>
      </c>
      <c r="AJ43" s="298">
        <v>2500</v>
      </c>
      <c r="AK43" s="298">
        <v>2500</v>
      </c>
      <c r="AL43" s="298">
        <v>2500</v>
      </c>
      <c r="AM43" s="298">
        <v>2500</v>
      </c>
      <c r="AN43" s="298">
        <v>2500</v>
      </c>
      <c r="AO43" s="255">
        <v>2500</v>
      </c>
      <c r="AP43" s="255">
        <v>2500</v>
      </c>
      <c r="AQ43" s="255"/>
      <c r="AR43" s="255"/>
      <c r="AS43" s="76">
        <f t="shared" si="5"/>
        <v>24257</v>
      </c>
      <c r="AT43" s="252" t="s">
        <v>516</v>
      </c>
      <c r="AU43" s="76" t="s">
        <v>22</v>
      </c>
      <c r="AV43" s="76"/>
      <c r="AW43" s="76"/>
      <c r="AX43" s="76">
        <v>10</v>
      </c>
      <c r="AY43" s="76">
        <v>10</v>
      </c>
      <c r="AZ43" s="76">
        <v>10</v>
      </c>
      <c r="BA43" s="76">
        <v>10</v>
      </c>
      <c r="BB43" s="76">
        <v>10</v>
      </c>
      <c r="BC43" s="76">
        <v>10</v>
      </c>
      <c r="BD43" s="76"/>
      <c r="BE43" s="76"/>
      <c r="BF43" s="76"/>
      <c r="BG43" s="76"/>
      <c r="BH43" s="76">
        <f t="shared" si="12"/>
        <v>60</v>
      </c>
      <c r="BI43" s="252" t="s">
        <v>516</v>
      </c>
      <c r="BJ43" s="76" t="s">
        <v>22</v>
      </c>
      <c r="BK43" s="76"/>
      <c r="BL43" s="76"/>
      <c r="BM43" s="76">
        <v>100</v>
      </c>
      <c r="BN43" s="76">
        <v>100</v>
      </c>
      <c r="BO43" s="76">
        <v>100</v>
      </c>
      <c r="BP43" s="76">
        <v>100</v>
      </c>
      <c r="BQ43" s="76">
        <v>100</v>
      </c>
      <c r="BR43" s="76">
        <v>100</v>
      </c>
      <c r="BS43" s="76"/>
      <c r="BT43" s="76"/>
      <c r="BU43" s="76"/>
      <c r="BV43" s="76"/>
      <c r="BW43" s="76">
        <f t="shared" si="13"/>
        <v>600</v>
      </c>
      <c r="BX43" s="252" t="s">
        <v>516</v>
      </c>
      <c r="BY43" s="76" t="s">
        <v>22</v>
      </c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>
        <f t="shared" si="14"/>
        <v>0</v>
      </c>
      <c r="CM43" s="211">
        <f t="shared" si="15"/>
        <v>0.14285714285870199</v>
      </c>
      <c r="CN43" s="211">
        <f t="shared" si="20"/>
        <v>0</v>
      </c>
      <c r="CO43" s="211">
        <f t="shared" si="17"/>
        <v>0</v>
      </c>
      <c r="CP43" s="211">
        <f t="shared" si="18"/>
        <v>0</v>
      </c>
    </row>
    <row r="44" spans="1:94" s="288" customFormat="1" ht="23.4" customHeight="1" x14ac:dyDescent="0.3">
      <c r="A44" s="4">
        <v>42</v>
      </c>
      <c r="B44" s="283">
        <v>20143</v>
      </c>
      <c r="C44" s="283" t="s">
        <v>166</v>
      </c>
      <c r="D44" s="283">
        <v>12</v>
      </c>
      <c r="E44" s="283" t="s">
        <v>207</v>
      </c>
      <c r="F44" s="283" t="s">
        <v>505</v>
      </c>
      <c r="G44" s="283" t="s">
        <v>176</v>
      </c>
      <c r="H44" s="284">
        <v>45827</v>
      </c>
      <c r="I44" s="284">
        <v>46142</v>
      </c>
      <c r="J44" s="285">
        <v>12000</v>
      </c>
      <c r="K44" s="286"/>
      <c r="L44" s="286"/>
      <c r="M44" s="286"/>
      <c r="N44" s="286">
        <v>1800</v>
      </c>
      <c r="O44" s="286">
        <f t="shared" si="0"/>
        <v>1800</v>
      </c>
      <c r="P44" s="286"/>
      <c r="Q44" s="286"/>
      <c r="R44" s="286"/>
      <c r="S44" s="286"/>
      <c r="T44" s="286">
        <f t="shared" si="6"/>
        <v>0</v>
      </c>
      <c r="U44" s="286">
        <f t="shared" si="1"/>
        <v>0</v>
      </c>
      <c r="V44" s="286">
        <f t="shared" si="2"/>
        <v>0</v>
      </c>
      <c r="W44" s="286">
        <f t="shared" si="3"/>
        <v>0</v>
      </c>
      <c r="X44" s="286">
        <f t="shared" si="4"/>
        <v>1800</v>
      </c>
      <c r="Y44" s="286">
        <f t="shared" si="7"/>
        <v>1800</v>
      </c>
      <c r="Z44" s="286">
        <f t="shared" si="19"/>
        <v>0</v>
      </c>
      <c r="AA44" s="286">
        <f t="shared" si="8"/>
        <v>0</v>
      </c>
      <c r="AB44" s="286">
        <f t="shared" si="9"/>
        <v>0</v>
      </c>
      <c r="AC44" s="286">
        <f t="shared" si="10"/>
        <v>1800</v>
      </c>
      <c r="AD44" s="286">
        <f t="shared" si="11"/>
        <v>1800</v>
      </c>
      <c r="AE44" s="287" t="s">
        <v>516</v>
      </c>
      <c r="AF44" s="283" t="s">
        <v>22</v>
      </c>
      <c r="AG44" s="298"/>
      <c r="AH44" s="298"/>
      <c r="AI44" s="298"/>
      <c r="AJ44" s="298"/>
      <c r="AK44" s="298"/>
      <c r="AL44" s="298"/>
      <c r="AM44" s="298"/>
      <c r="AN44" s="298"/>
      <c r="AO44" s="285"/>
      <c r="AP44" s="285"/>
      <c r="AQ44" s="285"/>
      <c r="AR44" s="285"/>
      <c r="AS44" s="76">
        <f t="shared" si="5"/>
        <v>0</v>
      </c>
      <c r="AT44" s="287" t="s">
        <v>516</v>
      </c>
      <c r="AU44" s="283" t="s">
        <v>22</v>
      </c>
      <c r="AV44" s="283"/>
      <c r="AW44" s="283"/>
      <c r="AX44" s="283"/>
      <c r="AY44" s="283"/>
      <c r="AZ44" s="283"/>
      <c r="BA44" s="283"/>
      <c r="BB44" s="283"/>
      <c r="BC44" s="283"/>
      <c r="BD44" s="283"/>
      <c r="BE44" s="283"/>
      <c r="BF44" s="283"/>
      <c r="BG44" s="283"/>
      <c r="BH44" s="283">
        <f t="shared" si="12"/>
        <v>0</v>
      </c>
      <c r="BI44" s="287" t="s">
        <v>516</v>
      </c>
      <c r="BJ44" s="283" t="s">
        <v>22</v>
      </c>
      <c r="BK44" s="283"/>
      <c r="BL44" s="283"/>
      <c r="BM44" s="283"/>
      <c r="BN44" s="283"/>
      <c r="BO44" s="283"/>
      <c r="BP44" s="283"/>
      <c r="BQ44" s="283"/>
      <c r="BR44" s="283"/>
      <c r="BS44" s="283"/>
      <c r="BT44" s="283"/>
      <c r="BU44" s="283"/>
      <c r="BV44" s="283"/>
      <c r="BW44" s="283">
        <f t="shared" si="13"/>
        <v>0</v>
      </c>
      <c r="BX44" s="287" t="s">
        <v>516</v>
      </c>
      <c r="BY44" s="283" t="s">
        <v>22</v>
      </c>
      <c r="BZ44" s="283"/>
      <c r="CA44" s="283"/>
      <c r="CB44" s="283"/>
      <c r="CC44" s="283"/>
      <c r="CD44" s="283">
        <v>300</v>
      </c>
      <c r="CE44" s="283">
        <v>300</v>
      </c>
      <c r="CF44" s="283">
        <v>300</v>
      </c>
      <c r="CG44" s="283">
        <v>300</v>
      </c>
      <c r="CH44" s="283">
        <v>300</v>
      </c>
      <c r="CI44" s="283">
        <v>300</v>
      </c>
      <c r="CJ44" s="283"/>
      <c r="CK44" s="283"/>
      <c r="CL44" s="283">
        <f t="shared" si="14"/>
        <v>1800</v>
      </c>
      <c r="CM44" s="286">
        <f t="shared" si="15"/>
        <v>0</v>
      </c>
      <c r="CN44" s="286">
        <f t="shared" si="20"/>
        <v>0</v>
      </c>
      <c r="CO44" s="286">
        <f t="shared" si="17"/>
        <v>0</v>
      </c>
      <c r="CP44" s="286">
        <f t="shared" si="18"/>
        <v>0</v>
      </c>
    </row>
    <row r="45" spans="1:94" s="6" customFormat="1" ht="23.4" customHeight="1" x14ac:dyDescent="0.3">
      <c r="A45" s="78">
        <v>43</v>
      </c>
      <c r="B45" s="76" t="s">
        <v>191</v>
      </c>
      <c r="C45" s="76" t="s">
        <v>24</v>
      </c>
      <c r="D45" s="76"/>
      <c r="E45" s="76" t="s">
        <v>193</v>
      </c>
      <c r="F45" s="76"/>
      <c r="G45" s="76" t="s">
        <v>288</v>
      </c>
      <c r="H45" s="215"/>
      <c r="I45" s="215"/>
      <c r="J45" s="255"/>
      <c r="K45" s="211"/>
      <c r="L45" s="211"/>
      <c r="M45" s="211"/>
      <c r="N45" s="211"/>
      <c r="O45" s="211">
        <f t="shared" si="0"/>
        <v>0</v>
      </c>
      <c r="P45" s="211">
        <v>11271</v>
      </c>
      <c r="Q45" s="211">
        <v>933.1</v>
      </c>
      <c r="R45" s="211">
        <v>7638.05</v>
      </c>
      <c r="S45" s="211">
        <v>2192</v>
      </c>
      <c r="T45" s="211">
        <f t="shared" si="6"/>
        <v>22034.15</v>
      </c>
      <c r="U45" s="211">
        <f t="shared" si="1"/>
        <v>-11271</v>
      </c>
      <c r="V45" s="211">
        <f t="shared" si="2"/>
        <v>-933.1</v>
      </c>
      <c r="W45" s="211">
        <f t="shared" si="3"/>
        <v>-7638.05</v>
      </c>
      <c r="X45" s="211">
        <f t="shared" si="4"/>
        <v>-2192</v>
      </c>
      <c r="Y45" s="211">
        <f t="shared" si="7"/>
        <v>-22034.15</v>
      </c>
      <c r="Z45" s="211">
        <f t="shared" si="19"/>
        <v>3600</v>
      </c>
      <c r="AA45" s="211">
        <f t="shared" si="8"/>
        <v>1000</v>
      </c>
      <c r="AB45" s="211">
        <f t="shared" si="9"/>
        <v>1050</v>
      </c>
      <c r="AC45" s="211">
        <f t="shared" si="10"/>
        <v>0</v>
      </c>
      <c r="AD45" s="211">
        <f t="shared" si="11"/>
        <v>5650</v>
      </c>
      <c r="AE45" s="76" t="s">
        <v>518</v>
      </c>
      <c r="AF45" s="76" t="s">
        <v>24</v>
      </c>
      <c r="AG45" s="298">
        <v>300</v>
      </c>
      <c r="AH45" s="298">
        <v>300</v>
      </c>
      <c r="AI45" s="298">
        <v>300</v>
      </c>
      <c r="AJ45" s="298">
        <v>300</v>
      </c>
      <c r="AK45" s="298">
        <v>300</v>
      </c>
      <c r="AL45" s="298">
        <v>300</v>
      </c>
      <c r="AM45" s="298">
        <v>300</v>
      </c>
      <c r="AN45" s="298">
        <v>300</v>
      </c>
      <c r="AO45" s="298">
        <v>300</v>
      </c>
      <c r="AP45" s="298">
        <v>300</v>
      </c>
      <c r="AQ45" s="298">
        <v>300</v>
      </c>
      <c r="AR45" s="298">
        <v>300</v>
      </c>
      <c r="AS45" s="76">
        <f t="shared" si="5"/>
        <v>3600</v>
      </c>
      <c r="AT45" s="76" t="s">
        <v>518</v>
      </c>
      <c r="AU45" s="76" t="s">
        <v>24</v>
      </c>
      <c r="AV45" s="76">
        <v>200</v>
      </c>
      <c r="AW45" s="76">
        <v>200</v>
      </c>
      <c r="AX45" s="76">
        <v>200</v>
      </c>
      <c r="AY45" s="76">
        <v>200</v>
      </c>
      <c r="AZ45" s="76">
        <v>200</v>
      </c>
      <c r="BA45" s="76"/>
      <c r="BB45" s="76"/>
      <c r="BC45" s="76"/>
      <c r="BD45" s="76"/>
      <c r="BE45" s="76"/>
      <c r="BF45" s="76"/>
      <c r="BG45" s="76"/>
      <c r="BH45" s="76">
        <f t="shared" si="12"/>
        <v>1000</v>
      </c>
      <c r="BI45" s="76" t="s">
        <v>518</v>
      </c>
      <c r="BJ45" s="76" t="s">
        <v>24</v>
      </c>
      <c r="BK45" s="76">
        <v>350</v>
      </c>
      <c r="BL45" s="76">
        <v>350</v>
      </c>
      <c r="BM45" s="76">
        <v>350</v>
      </c>
      <c r="BN45" s="76"/>
      <c r="BO45" s="76"/>
      <c r="BP45" s="76"/>
      <c r="BQ45" s="76"/>
      <c r="BR45" s="76"/>
      <c r="BS45" s="76"/>
      <c r="BT45" s="76"/>
      <c r="BU45" s="76"/>
      <c r="BV45" s="76"/>
      <c r="BW45" s="76">
        <f t="shared" si="13"/>
        <v>1050</v>
      </c>
      <c r="BX45" s="76" t="s">
        <v>518</v>
      </c>
      <c r="BY45" s="76" t="s">
        <v>24</v>
      </c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>
        <f t="shared" si="14"/>
        <v>0</v>
      </c>
      <c r="CM45" s="211">
        <f t="shared" si="15"/>
        <v>-14871</v>
      </c>
      <c r="CN45" s="211">
        <f t="shared" si="20"/>
        <v>-1933.1</v>
      </c>
      <c r="CO45" s="211">
        <f t="shared" si="17"/>
        <v>-8688.0499999999993</v>
      </c>
      <c r="CP45" s="211">
        <f t="shared" si="18"/>
        <v>-2192</v>
      </c>
    </row>
    <row r="46" spans="1:94" s="6" customFormat="1" ht="23.4" customHeight="1" x14ac:dyDescent="0.3">
      <c r="A46" s="4">
        <v>44</v>
      </c>
      <c r="B46" s="76" t="s">
        <v>192</v>
      </c>
      <c r="C46" s="76" t="s">
        <v>24</v>
      </c>
      <c r="D46" s="76"/>
      <c r="E46" s="76" t="s">
        <v>194</v>
      </c>
      <c r="F46" s="76" t="s">
        <v>505</v>
      </c>
      <c r="G46" s="76" t="s">
        <v>288</v>
      </c>
      <c r="H46" s="215"/>
      <c r="I46" s="215"/>
      <c r="J46" s="255"/>
      <c r="K46" s="211"/>
      <c r="L46" s="211"/>
      <c r="M46" s="211"/>
      <c r="N46" s="211"/>
      <c r="O46" s="211">
        <f t="shared" si="0"/>
        <v>0</v>
      </c>
      <c r="P46" s="211">
        <v>1047.3</v>
      </c>
      <c r="Q46" s="211"/>
      <c r="R46" s="211">
        <v>1048.4000000000001</v>
      </c>
      <c r="S46" s="211">
        <v>1740</v>
      </c>
      <c r="T46" s="211">
        <f t="shared" si="6"/>
        <v>3835.7</v>
      </c>
      <c r="U46" s="211">
        <f t="shared" si="1"/>
        <v>-1047.3</v>
      </c>
      <c r="V46" s="211">
        <f t="shared" si="2"/>
        <v>0</v>
      </c>
      <c r="W46" s="211">
        <f t="shared" si="3"/>
        <v>-1048.4000000000001</v>
      </c>
      <c r="X46" s="211">
        <f t="shared" si="4"/>
        <v>-1740</v>
      </c>
      <c r="Y46" s="211">
        <f t="shared" si="7"/>
        <v>-3835.7</v>
      </c>
      <c r="Z46" s="211">
        <f t="shared" si="19"/>
        <v>0</v>
      </c>
      <c r="AA46" s="211">
        <f t="shared" si="8"/>
        <v>0</v>
      </c>
      <c r="AB46" s="211">
        <f t="shared" si="9"/>
        <v>0</v>
      </c>
      <c r="AC46" s="211">
        <f t="shared" si="10"/>
        <v>0</v>
      </c>
      <c r="AD46" s="211">
        <f t="shared" si="11"/>
        <v>0</v>
      </c>
      <c r="AE46" s="76" t="s">
        <v>518</v>
      </c>
      <c r="AF46" s="76" t="s">
        <v>24</v>
      </c>
      <c r="AG46" s="298"/>
      <c r="AH46" s="298"/>
      <c r="AI46" s="298"/>
      <c r="AJ46" s="298"/>
      <c r="AK46" s="298"/>
      <c r="AL46" s="298"/>
      <c r="AM46" s="298"/>
      <c r="AN46" s="298"/>
      <c r="AO46" s="255"/>
      <c r="AP46" s="255"/>
      <c r="AQ46" s="255"/>
      <c r="AR46" s="255"/>
      <c r="AS46" s="76">
        <f t="shared" si="5"/>
        <v>0</v>
      </c>
      <c r="AT46" s="76" t="s">
        <v>518</v>
      </c>
      <c r="AU46" s="76" t="s">
        <v>24</v>
      </c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>
        <f t="shared" si="12"/>
        <v>0</v>
      </c>
      <c r="BI46" s="76" t="s">
        <v>518</v>
      </c>
      <c r="BJ46" s="76" t="s">
        <v>24</v>
      </c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>
        <f t="shared" si="13"/>
        <v>0</v>
      </c>
      <c r="BX46" s="76" t="s">
        <v>518</v>
      </c>
      <c r="BY46" s="76" t="s">
        <v>24</v>
      </c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>
        <f t="shared" si="14"/>
        <v>0</v>
      </c>
      <c r="CM46" s="211">
        <f t="shared" si="15"/>
        <v>-1047.3</v>
      </c>
      <c r="CN46" s="211">
        <f t="shared" si="20"/>
        <v>0</v>
      </c>
      <c r="CO46" s="211">
        <f t="shared" si="17"/>
        <v>-1048.4000000000001</v>
      </c>
      <c r="CP46" s="211">
        <f t="shared" si="18"/>
        <v>-1740</v>
      </c>
    </row>
    <row r="47" spans="1:94" s="6" customFormat="1" ht="23.4" customHeight="1" x14ac:dyDescent="0.3">
      <c r="A47" s="78">
        <v>45</v>
      </c>
      <c r="B47" s="76">
        <v>18010</v>
      </c>
      <c r="C47" s="76" t="s">
        <v>166</v>
      </c>
      <c r="D47" s="76">
        <v>2</v>
      </c>
      <c r="E47" s="76" t="s">
        <v>195</v>
      </c>
      <c r="F47" s="76" t="s">
        <v>509</v>
      </c>
      <c r="G47" s="76" t="s">
        <v>175</v>
      </c>
      <c r="H47" s="215">
        <v>45841</v>
      </c>
      <c r="I47" s="215">
        <v>46081</v>
      </c>
      <c r="J47" s="255">
        <v>5366</v>
      </c>
      <c r="K47" s="211">
        <v>508.00000000000006</v>
      </c>
      <c r="L47" s="211">
        <v>22</v>
      </c>
      <c r="M47" s="211"/>
      <c r="N47" s="211"/>
      <c r="O47" s="211">
        <f t="shared" si="0"/>
        <v>530</v>
      </c>
      <c r="P47" s="211"/>
      <c r="Q47" s="211"/>
      <c r="R47" s="211"/>
      <c r="S47" s="211"/>
      <c r="T47" s="211">
        <f t="shared" si="6"/>
        <v>0</v>
      </c>
      <c r="U47" s="211">
        <f t="shared" si="1"/>
        <v>508.00000000000006</v>
      </c>
      <c r="V47" s="211">
        <f t="shared" si="2"/>
        <v>22</v>
      </c>
      <c r="W47" s="211">
        <f t="shared" si="3"/>
        <v>0</v>
      </c>
      <c r="X47" s="211">
        <f t="shared" si="4"/>
        <v>0</v>
      </c>
      <c r="Y47" s="211">
        <f t="shared" si="7"/>
        <v>530</v>
      </c>
      <c r="Z47" s="211">
        <f t="shared" si="19"/>
        <v>0</v>
      </c>
      <c r="AA47" s="211">
        <f t="shared" si="8"/>
        <v>0</v>
      </c>
      <c r="AB47" s="211">
        <f t="shared" si="9"/>
        <v>0</v>
      </c>
      <c r="AC47" s="211">
        <f t="shared" si="10"/>
        <v>0</v>
      </c>
      <c r="AD47" s="211">
        <f t="shared" si="11"/>
        <v>0</v>
      </c>
      <c r="AE47" s="76" t="s">
        <v>518</v>
      </c>
      <c r="AF47" s="76" t="s">
        <v>23</v>
      </c>
      <c r="AG47" s="298"/>
      <c r="AH47" s="298"/>
      <c r="AI47" s="298"/>
      <c r="AJ47" s="298"/>
      <c r="AK47" s="298"/>
      <c r="AL47" s="298"/>
      <c r="AM47" s="298"/>
      <c r="AN47" s="298"/>
      <c r="AO47" s="255"/>
      <c r="AP47" s="255"/>
      <c r="AQ47" s="255"/>
      <c r="AR47" s="255"/>
      <c r="AS47" s="76">
        <f t="shared" si="5"/>
        <v>0</v>
      </c>
      <c r="AT47" s="76" t="s">
        <v>518</v>
      </c>
      <c r="AU47" s="76" t="s">
        <v>23</v>
      </c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>
        <f t="shared" si="12"/>
        <v>0</v>
      </c>
      <c r="BI47" s="76" t="s">
        <v>518</v>
      </c>
      <c r="BJ47" s="76" t="s">
        <v>23</v>
      </c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>
        <f t="shared" si="13"/>
        <v>0</v>
      </c>
      <c r="BX47" s="76" t="s">
        <v>518</v>
      </c>
      <c r="BY47" s="76" t="s">
        <v>23</v>
      </c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>
        <f t="shared" si="14"/>
        <v>0</v>
      </c>
      <c r="CM47" s="211">
        <f t="shared" si="15"/>
        <v>508.00000000000006</v>
      </c>
      <c r="CN47" s="211">
        <f t="shared" si="20"/>
        <v>22</v>
      </c>
      <c r="CO47" s="211">
        <f t="shared" si="17"/>
        <v>0</v>
      </c>
      <c r="CP47" s="211">
        <f t="shared" si="18"/>
        <v>0</v>
      </c>
    </row>
    <row r="48" spans="1:94" s="6" customFormat="1" ht="23.4" customHeight="1" x14ac:dyDescent="0.3">
      <c r="A48" s="4">
        <v>46</v>
      </c>
      <c r="B48" s="76">
        <v>16925</v>
      </c>
      <c r="C48" s="76" t="s">
        <v>166</v>
      </c>
      <c r="D48" s="76">
        <v>10</v>
      </c>
      <c r="E48" s="76" t="s">
        <v>196</v>
      </c>
      <c r="F48" s="76"/>
      <c r="G48" s="76" t="s">
        <v>178</v>
      </c>
      <c r="H48" s="215">
        <v>45855</v>
      </c>
      <c r="I48" s="215">
        <v>45954</v>
      </c>
      <c r="J48" s="255">
        <v>15000</v>
      </c>
      <c r="K48" s="211">
        <v>800</v>
      </c>
      <c r="L48" s="211">
        <v>60</v>
      </c>
      <c r="M48" s="211"/>
      <c r="N48" s="211">
        <v>140</v>
      </c>
      <c r="O48" s="211">
        <f t="shared" si="0"/>
        <v>1000</v>
      </c>
      <c r="P48" s="211">
        <v>1624</v>
      </c>
      <c r="Q48" s="211">
        <v>178.6</v>
      </c>
      <c r="R48" s="211">
        <v>297.3</v>
      </c>
      <c r="S48" s="211">
        <v>447</v>
      </c>
      <c r="T48" s="211">
        <f t="shared" si="6"/>
        <v>2546.9</v>
      </c>
      <c r="U48" s="211">
        <f t="shared" si="1"/>
        <v>-824</v>
      </c>
      <c r="V48" s="211">
        <f t="shared" si="2"/>
        <v>-118.6</v>
      </c>
      <c r="W48" s="211">
        <f t="shared" si="3"/>
        <v>-297.3</v>
      </c>
      <c r="X48" s="211">
        <f t="shared" si="4"/>
        <v>-307</v>
      </c>
      <c r="Y48" s="211">
        <f t="shared" si="7"/>
        <v>-1546.9</v>
      </c>
      <c r="Z48" s="211">
        <f t="shared" si="19"/>
        <v>0</v>
      </c>
      <c r="AA48" s="211">
        <f t="shared" si="8"/>
        <v>0</v>
      </c>
      <c r="AB48" s="211">
        <f t="shared" si="9"/>
        <v>0</v>
      </c>
      <c r="AC48" s="211">
        <f t="shared" si="10"/>
        <v>0</v>
      </c>
      <c r="AD48" s="211">
        <f t="shared" si="11"/>
        <v>0</v>
      </c>
      <c r="AE48" s="76" t="s">
        <v>518</v>
      </c>
      <c r="AF48" s="76" t="s">
        <v>23</v>
      </c>
      <c r="AG48" s="298"/>
      <c r="AH48" s="298"/>
      <c r="AI48" s="298"/>
      <c r="AJ48" s="298"/>
      <c r="AK48" s="298"/>
      <c r="AL48" s="298"/>
      <c r="AM48" s="298"/>
      <c r="AN48" s="298"/>
      <c r="AO48" s="255"/>
      <c r="AP48" s="255"/>
      <c r="AQ48" s="255"/>
      <c r="AR48" s="255"/>
      <c r="AS48" s="76">
        <f t="shared" si="5"/>
        <v>0</v>
      </c>
      <c r="AT48" s="76" t="s">
        <v>518</v>
      </c>
      <c r="AU48" s="76" t="s">
        <v>23</v>
      </c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>
        <f t="shared" si="12"/>
        <v>0</v>
      </c>
      <c r="BI48" s="76" t="s">
        <v>518</v>
      </c>
      <c r="BJ48" s="76" t="s">
        <v>23</v>
      </c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>
        <f t="shared" si="13"/>
        <v>0</v>
      </c>
      <c r="BX48" s="76" t="s">
        <v>518</v>
      </c>
      <c r="BY48" s="76" t="s">
        <v>23</v>
      </c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>
        <f t="shared" si="14"/>
        <v>0</v>
      </c>
      <c r="CM48" s="211">
        <f t="shared" si="15"/>
        <v>-824</v>
      </c>
      <c r="CN48" s="211">
        <f t="shared" si="20"/>
        <v>-118.6</v>
      </c>
      <c r="CO48" s="211">
        <f t="shared" si="17"/>
        <v>-297.3</v>
      </c>
      <c r="CP48" s="211">
        <f t="shared" si="18"/>
        <v>-307</v>
      </c>
    </row>
    <row r="49" spans="1:94" s="6" customFormat="1" ht="23.4" customHeight="1" x14ac:dyDescent="0.3">
      <c r="A49" s="78">
        <v>47</v>
      </c>
      <c r="B49" s="76">
        <v>18905</v>
      </c>
      <c r="C49" s="76" t="s">
        <v>166</v>
      </c>
      <c r="D49" s="76">
        <v>2</v>
      </c>
      <c r="E49" s="76" t="s">
        <v>197</v>
      </c>
      <c r="F49" s="76" t="s">
        <v>506</v>
      </c>
      <c r="G49" s="76" t="s">
        <v>157</v>
      </c>
      <c r="H49" s="215">
        <v>45863</v>
      </c>
      <c r="I49" s="215">
        <v>46111</v>
      </c>
      <c r="J49" s="255">
        <v>2889</v>
      </c>
      <c r="K49" s="211">
        <v>8</v>
      </c>
      <c r="L49" s="211">
        <v>164</v>
      </c>
      <c r="M49" s="211"/>
      <c r="N49" s="211">
        <v>80</v>
      </c>
      <c r="O49" s="211">
        <f t="shared" si="0"/>
        <v>252</v>
      </c>
      <c r="P49" s="211">
        <v>7</v>
      </c>
      <c r="Q49" s="211">
        <v>91</v>
      </c>
      <c r="R49" s="211">
        <v>426.7</v>
      </c>
      <c r="S49" s="211"/>
      <c r="T49" s="211">
        <f t="shared" si="6"/>
        <v>524.70000000000005</v>
      </c>
      <c r="U49" s="211">
        <f t="shared" si="1"/>
        <v>1</v>
      </c>
      <c r="V49" s="211">
        <f t="shared" si="2"/>
        <v>73</v>
      </c>
      <c r="W49" s="211">
        <f t="shared" si="3"/>
        <v>-426.7</v>
      </c>
      <c r="X49" s="211">
        <f t="shared" si="4"/>
        <v>80</v>
      </c>
      <c r="Y49" s="211">
        <f t="shared" si="7"/>
        <v>-272.7</v>
      </c>
      <c r="Z49" s="211">
        <f t="shared" si="19"/>
        <v>0</v>
      </c>
      <c r="AA49" s="211">
        <f t="shared" si="8"/>
        <v>0</v>
      </c>
      <c r="AB49" s="211">
        <f t="shared" si="9"/>
        <v>0</v>
      </c>
      <c r="AC49" s="211">
        <f t="shared" si="10"/>
        <v>0</v>
      </c>
      <c r="AD49" s="211">
        <f t="shared" si="11"/>
        <v>0</v>
      </c>
      <c r="AE49" s="76" t="s">
        <v>518</v>
      </c>
      <c r="AF49" s="76" t="s">
        <v>23</v>
      </c>
      <c r="AG49" s="298"/>
      <c r="AH49" s="298"/>
      <c r="AI49" s="298"/>
      <c r="AJ49" s="298"/>
      <c r="AK49" s="298"/>
      <c r="AL49" s="298"/>
      <c r="AM49" s="298"/>
      <c r="AN49" s="298"/>
      <c r="AO49" s="255"/>
      <c r="AP49" s="255"/>
      <c r="AQ49" s="255"/>
      <c r="AR49" s="255"/>
      <c r="AS49" s="76">
        <f t="shared" si="5"/>
        <v>0</v>
      </c>
      <c r="AT49" s="76" t="s">
        <v>518</v>
      </c>
      <c r="AU49" s="76" t="s">
        <v>23</v>
      </c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>
        <f t="shared" si="12"/>
        <v>0</v>
      </c>
      <c r="BI49" s="76" t="s">
        <v>518</v>
      </c>
      <c r="BJ49" s="76" t="s">
        <v>23</v>
      </c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>
        <f t="shared" si="13"/>
        <v>0</v>
      </c>
      <c r="BX49" s="76" t="s">
        <v>518</v>
      </c>
      <c r="BY49" s="76" t="s">
        <v>23</v>
      </c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>
        <f t="shared" si="14"/>
        <v>0</v>
      </c>
      <c r="CM49" s="211">
        <f t="shared" si="15"/>
        <v>1</v>
      </c>
      <c r="CN49" s="211">
        <f t="shared" si="20"/>
        <v>73</v>
      </c>
      <c r="CO49" s="211">
        <f t="shared" si="17"/>
        <v>-426.7</v>
      </c>
      <c r="CP49" s="211">
        <f t="shared" si="18"/>
        <v>80</v>
      </c>
    </row>
    <row r="50" spans="1:94" s="6" customFormat="1" ht="23.4" customHeight="1" x14ac:dyDescent="0.3">
      <c r="A50" s="4">
        <v>48</v>
      </c>
      <c r="B50" s="76">
        <v>21043</v>
      </c>
      <c r="C50" s="76" t="s">
        <v>166</v>
      </c>
      <c r="D50" s="76">
        <v>1</v>
      </c>
      <c r="E50" s="76" t="s">
        <v>198</v>
      </c>
      <c r="F50" s="76"/>
      <c r="G50" s="76" t="s">
        <v>156</v>
      </c>
      <c r="H50" s="215">
        <v>45862</v>
      </c>
      <c r="I50" s="215">
        <v>46290</v>
      </c>
      <c r="J50" s="255">
        <v>10122</v>
      </c>
      <c r="K50" s="211">
        <v>2642</v>
      </c>
      <c r="L50" s="211"/>
      <c r="M50" s="211">
        <v>140</v>
      </c>
      <c r="N50" s="211">
        <v>200</v>
      </c>
      <c r="O50" s="211">
        <f t="shared" si="0"/>
        <v>2982</v>
      </c>
      <c r="P50" s="211"/>
      <c r="Q50" s="211"/>
      <c r="R50" s="211"/>
      <c r="S50" s="211">
        <v>6</v>
      </c>
      <c r="T50" s="211">
        <f t="shared" si="6"/>
        <v>6</v>
      </c>
      <c r="U50" s="211">
        <f t="shared" si="1"/>
        <v>2642</v>
      </c>
      <c r="V50" s="211">
        <f t="shared" si="2"/>
        <v>0</v>
      </c>
      <c r="W50" s="211">
        <f t="shared" si="3"/>
        <v>140</v>
      </c>
      <c r="X50" s="211">
        <f t="shared" si="4"/>
        <v>194</v>
      </c>
      <c r="Y50" s="211">
        <f t="shared" si="7"/>
        <v>2976</v>
      </c>
      <c r="Z50" s="211">
        <f t="shared" si="19"/>
        <v>2642</v>
      </c>
      <c r="AA50" s="211">
        <f t="shared" si="8"/>
        <v>0</v>
      </c>
      <c r="AB50" s="211">
        <f t="shared" si="9"/>
        <v>140</v>
      </c>
      <c r="AC50" s="211">
        <f t="shared" si="10"/>
        <v>194</v>
      </c>
      <c r="AD50" s="211">
        <f t="shared" si="11"/>
        <v>2976</v>
      </c>
      <c r="AE50" s="76" t="s">
        <v>518</v>
      </c>
      <c r="AF50" s="76" t="s">
        <v>22</v>
      </c>
      <c r="AG50" s="298">
        <v>662</v>
      </c>
      <c r="AH50" s="298">
        <v>660</v>
      </c>
      <c r="AI50" s="298">
        <v>660</v>
      </c>
      <c r="AJ50" s="298">
        <v>660</v>
      </c>
      <c r="AK50" s="298"/>
      <c r="AL50" s="298"/>
      <c r="AM50" s="298"/>
      <c r="AN50" s="298"/>
      <c r="AO50" s="255"/>
      <c r="AP50" s="255"/>
      <c r="AQ50" s="255"/>
      <c r="AR50" s="255"/>
      <c r="AS50" s="76">
        <f t="shared" si="5"/>
        <v>2642</v>
      </c>
      <c r="AT50" s="76" t="s">
        <v>518</v>
      </c>
      <c r="AU50" s="76" t="s">
        <v>22</v>
      </c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>
        <f t="shared" si="12"/>
        <v>0</v>
      </c>
      <c r="BI50" s="76" t="s">
        <v>518</v>
      </c>
      <c r="BJ50" s="76" t="s">
        <v>22</v>
      </c>
      <c r="BK50" s="76"/>
      <c r="BL50" s="76"/>
      <c r="BM50" s="76">
        <v>140</v>
      </c>
      <c r="BN50" s="76"/>
      <c r="BO50" s="76"/>
      <c r="BP50" s="76"/>
      <c r="BQ50" s="76"/>
      <c r="BR50" s="76"/>
      <c r="BS50" s="76"/>
      <c r="BT50" s="76"/>
      <c r="BU50" s="76"/>
      <c r="BV50" s="76"/>
      <c r="BW50" s="76">
        <f t="shared" si="13"/>
        <v>140</v>
      </c>
      <c r="BX50" s="76" t="s">
        <v>518</v>
      </c>
      <c r="BY50" s="76" t="s">
        <v>22</v>
      </c>
      <c r="BZ50" s="76"/>
      <c r="CA50" s="76"/>
      <c r="CB50" s="76">
        <v>194</v>
      </c>
      <c r="CC50" s="76"/>
      <c r="CD50" s="76"/>
      <c r="CE50" s="76"/>
      <c r="CF50" s="76"/>
      <c r="CG50" s="76"/>
      <c r="CH50" s="76"/>
      <c r="CI50" s="76"/>
      <c r="CJ50" s="76"/>
      <c r="CK50" s="76"/>
      <c r="CL50" s="76">
        <f t="shared" si="14"/>
        <v>194</v>
      </c>
      <c r="CM50" s="211">
        <f t="shared" si="15"/>
        <v>0</v>
      </c>
      <c r="CN50" s="211">
        <f t="shared" si="20"/>
        <v>0</v>
      </c>
      <c r="CO50" s="211">
        <f t="shared" si="17"/>
        <v>0</v>
      </c>
      <c r="CP50" s="211">
        <f t="shared" si="18"/>
        <v>0</v>
      </c>
    </row>
    <row r="51" spans="1:94" s="6" customFormat="1" ht="23.4" customHeight="1" x14ac:dyDescent="0.3">
      <c r="A51" s="78">
        <v>49</v>
      </c>
      <c r="B51" s="76" t="s">
        <v>309</v>
      </c>
      <c r="C51" s="76">
        <v>19815</v>
      </c>
      <c r="D51" s="76">
        <v>1</v>
      </c>
      <c r="E51" s="76" t="s">
        <v>199</v>
      </c>
      <c r="F51" s="76"/>
      <c r="G51" s="76" t="s">
        <v>232</v>
      </c>
      <c r="H51" s="215">
        <v>45862</v>
      </c>
      <c r="I51" s="215"/>
      <c r="J51" s="255">
        <v>9731</v>
      </c>
      <c r="K51" s="211">
        <v>1252</v>
      </c>
      <c r="L51" s="211">
        <v>200</v>
      </c>
      <c r="M51" s="211">
        <v>60</v>
      </c>
      <c r="N51" s="211">
        <v>80</v>
      </c>
      <c r="O51" s="211">
        <f t="shared" si="0"/>
        <v>1592</v>
      </c>
      <c r="P51" s="211">
        <v>1355</v>
      </c>
      <c r="Q51" s="211">
        <v>57</v>
      </c>
      <c r="R51" s="211">
        <v>39</v>
      </c>
      <c r="S51" s="211"/>
      <c r="T51" s="211">
        <f t="shared" si="6"/>
        <v>1451</v>
      </c>
      <c r="U51" s="211">
        <f t="shared" si="1"/>
        <v>-103</v>
      </c>
      <c r="V51" s="211">
        <f t="shared" si="2"/>
        <v>143</v>
      </c>
      <c r="W51" s="211">
        <f t="shared" si="3"/>
        <v>21</v>
      </c>
      <c r="X51" s="211">
        <f t="shared" si="4"/>
        <v>80</v>
      </c>
      <c r="Y51" s="211">
        <f t="shared" si="7"/>
        <v>141</v>
      </c>
      <c r="Z51" s="211">
        <f t="shared" si="19"/>
        <v>0</v>
      </c>
      <c r="AA51" s="211">
        <f t="shared" si="8"/>
        <v>143</v>
      </c>
      <c r="AB51" s="211">
        <f t="shared" si="9"/>
        <v>21</v>
      </c>
      <c r="AC51" s="211">
        <f t="shared" si="10"/>
        <v>80</v>
      </c>
      <c r="AD51" s="211">
        <f t="shared" si="11"/>
        <v>244</v>
      </c>
      <c r="AE51" s="76" t="s">
        <v>518</v>
      </c>
      <c r="AF51" s="76" t="s">
        <v>23</v>
      </c>
      <c r="AG51" s="298"/>
      <c r="AH51" s="298"/>
      <c r="AI51" s="298"/>
      <c r="AJ51" s="298"/>
      <c r="AK51" s="298"/>
      <c r="AL51" s="298"/>
      <c r="AM51" s="298"/>
      <c r="AN51" s="298"/>
      <c r="AO51" s="255"/>
      <c r="AP51" s="255"/>
      <c r="AQ51" s="255"/>
      <c r="AR51" s="255"/>
      <c r="AS51" s="76">
        <f t="shared" si="5"/>
        <v>0</v>
      </c>
      <c r="AT51" s="76" t="s">
        <v>518</v>
      </c>
      <c r="AU51" s="76" t="s">
        <v>23</v>
      </c>
      <c r="AV51" s="76">
        <v>100</v>
      </c>
      <c r="AW51" s="76">
        <v>43</v>
      </c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>
        <f t="shared" si="12"/>
        <v>143</v>
      </c>
      <c r="BI51" s="76" t="s">
        <v>518</v>
      </c>
      <c r="BJ51" s="76" t="s">
        <v>23</v>
      </c>
      <c r="BK51" s="76">
        <v>21</v>
      </c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>
        <f t="shared" si="13"/>
        <v>21</v>
      </c>
      <c r="BX51" s="76" t="s">
        <v>518</v>
      </c>
      <c r="BY51" s="76" t="s">
        <v>23</v>
      </c>
      <c r="BZ51" s="76"/>
      <c r="CA51" s="76">
        <v>80</v>
      </c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>
        <f t="shared" si="14"/>
        <v>80</v>
      </c>
      <c r="CM51" s="211">
        <f t="shared" si="15"/>
        <v>-103</v>
      </c>
      <c r="CN51" s="211">
        <f t="shared" si="20"/>
        <v>0</v>
      </c>
      <c r="CO51" s="211">
        <f t="shared" si="17"/>
        <v>0</v>
      </c>
      <c r="CP51" s="211">
        <f t="shared" si="18"/>
        <v>0</v>
      </c>
    </row>
    <row r="52" spans="1:94" s="6" customFormat="1" ht="37.799999999999997" x14ac:dyDescent="0.3">
      <c r="A52" s="4">
        <v>50</v>
      </c>
      <c r="B52" s="76" t="s">
        <v>260</v>
      </c>
      <c r="C52" s="76">
        <v>17892</v>
      </c>
      <c r="D52" s="76">
        <v>14</v>
      </c>
      <c r="E52" s="76" t="s">
        <v>200</v>
      </c>
      <c r="F52" s="76"/>
      <c r="G52" s="76" t="s">
        <v>158</v>
      </c>
      <c r="H52" s="215">
        <v>45866</v>
      </c>
      <c r="I52" s="215"/>
      <c r="J52" s="255">
        <v>14374</v>
      </c>
      <c r="K52" s="211">
        <v>36</v>
      </c>
      <c r="L52" s="211"/>
      <c r="M52" s="211">
        <v>320</v>
      </c>
      <c r="N52" s="211">
        <v>280</v>
      </c>
      <c r="O52" s="211">
        <f t="shared" si="0"/>
        <v>636</v>
      </c>
      <c r="P52" s="211">
        <v>220.06</v>
      </c>
      <c r="Q52" s="211">
        <v>817</v>
      </c>
      <c r="R52" s="211">
        <v>340.04</v>
      </c>
      <c r="S52" s="211"/>
      <c r="T52" s="211">
        <f t="shared" si="6"/>
        <v>1377.1</v>
      </c>
      <c r="U52" s="211">
        <f t="shared" si="1"/>
        <v>-184.06</v>
      </c>
      <c r="V52" s="211">
        <f t="shared" si="2"/>
        <v>-817</v>
      </c>
      <c r="W52" s="211">
        <f t="shared" si="3"/>
        <v>-20.04000000000002</v>
      </c>
      <c r="X52" s="211">
        <f t="shared" si="4"/>
        <v>280</v>
      </c>
      <c r="Y52" s="211">
        <f t="shared" si="7"/>
        <v>-741.09999999999991</v>
      </c>
      <c r="Z52" s="211">
        <f t="shared" si="19"/>
        <v>0</v>
      </c>
      <c r="AA52" s="211">
        <f t="shared" si="8"/>
        <v>0</v>
      </c>
      <c r="AB52" s="211">
        <f t="shared" si="9"/>
        <v>100</v>
      </c>
      <c r="AC52" s="211">
        <f t="shared" si="10"/>
        <v>280</v>
      </c>
      <c r="AD52" s="211">
        <f t="shared" si="11"/>
        <v>380</v>
      </c>
      <c r="AE52" s="76" t="s">
        <v>518</v>
      </c>
      <c r="AF52" s="76" t="s">
        <v>23</v>
      </c>
      <c r="AG52" s="298"/>
      <c r="AH52" s="298"/>
      <c r="AI52" s="298"/>
      <c r="AJ52" s="298"/>
      <c r="AK52" s="298"/>
      <c r="AL52" s="298"/>
      <c r="AM52" s="298"/>
      <c r="AN52" s="298"/>
      <c r="AO52" s="255"/>
      <c r="AP52" s="255"/>
      <c r="AQ52" s="255"/>
      <c r="AR52" s="255"/>
      <c r="AS52" s="76">
        <f t="shared" si="5"/>
        <v>0</v>
      </c>
      <c r="AT52" s="76" t="s">
        <v>518</v>
      </c>
      <c r="AU52" s="76" t="s">
        <v>23</v>
      </c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>
        <f t="shared" si="12"/>
        <v>0</v>
      </c>
      <c r="BI52" s="76" t="s">
        <v>518</v>
      </c>
      <c r="BJ52" s="76" t="s">
        <v>23</v>
      </c>
      <c r="BK52" s="76">
        <v>100</v>
      </c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>
        <f t="shared" si="13"/>
        <v>100</v>
      </c>
      <c r="BX52" s="76" t="s">
        <v>518</v>
      </c>
      <c r="BY52" s="76" t="s">
        <v>23</v>
      </c>
      <c r="BZ52" s="76"/>
      <c r="CA52" s="76">
        <v>280</v>
      </c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>
        <f t="shared" si="14"/>
        <v>280</v>
      </c>
      <c r="CM52" s="211">
        <f t="shared" si="15"/>
        <v>-184.06</v>
      </c>
      <c r="CN52" s="211">
        <f t="shared" si="20"/>
        <v>-817</v>
      </c>
      <c r="CO52" s="211">
        <f t="shared" si="17"/>
        <v>-120.04000000000002</v>
      </c>
      <c r="CP52" s="211">
        <f t="shared" si="18"/>
        <v>0</v>
      </c>
    </row>
    <row r="53" spans="1:94" s="296" customFormat="1" ht="23.4" customHeight="1" x14ac:dyDescent="0.3">
      <c r="A53" s="78">
        <v>51</v>
      </c>
      <c r="B53" s="282" t="s">
        <v>206</v>
      </c>
      <c r="C53" s="282" t="s">
        <v>24</v>
      </c>
      <c r="D53" s="76">
        <v>1</v>
      </c>
      <c r="E53" s="282" t="s">
        <v>204</v>
      </c>
      <c r="F53" s="282" t="s">
        <v>505</v>
      </c>
      <c r="G53" s="282" t="s">
        <v>176</v>
      </c>
      <c r="H53" s="292">
        <v>45840</v>
      </c>
      <c r="I53" s="292"/>
      <c r="J53" s="293">
        <v>25000</v>
      </c>
      <c r="K53" s="294">
        <v>1985</v>
      </c>
      <c r="L53" s="294">
        <v>148</v>
      </c>
      <c r="M53" s="294">
        <v>32</v>
      </c>
      <c r="N53" s="294">
        <v>300</v>
      </c>
      <c r="O53" s="294">
        <f t="shared" si="0"/>
        <v>2465</v>
      </c>
      <c r="P53" s="294">
        <v>1748</v>
      </c>
      <c r="Q53" s="294">
        <v>173</v>
      </c>
      <c r="R53" s="294">
        <v>304</v>
      </c>
      <c r="S53" s="294">
        <v>333</v>
      </c>
      <c r="T53" s="294">
        <v>2572</v>
      </c>
      <c r="U53" s="294">
        <f t="shared" si="1"/>
        <v>237</v>
      </c>
      <c r="V53" s="294">
        <f t="shared" si="2"/>
        <v>-25</v>
      </c>
      <c r="W53" s="294">
        <f t="shared" si="3"/>
        <v>-272</v>
      </c>
      <c r="X53" s="294">
        <f t="shared" si="4"/>
        <v>-33</v>
      </c>
      <c r="Y53" s="294">
        <f t="shared" si="7"/>
        <v>-93</v>
      </c>
      <c r="Z53" s="294">
        <f t="shared" si="19"/>
        <v>0</v>
      </c>
      <c r="AA53" s="294">
        <f t="shared" si="8"/>
        <v>0</v>
      </c>
      <c r="AB53" s="294">
        <f t="shared" si="9"/>
        <v>0</v>
      </c>
      <c r="AC53" s="294">
        <f t="shared" si="10"/>
        <v>0</v>
      </c>
      <c r="AD53" s="294">
        <f t="shared" si="11"/>
        <v>0</v>
      </c>
      <c r="AE53" s="282" t="s">
        <v>518</v>
      </c>
      <c r="AF53" s="282" t="s">
        <v>24</v>
      </c>
      <c r="AG53" s="299"/>
      <c r="AH53" s="299"/>
      <c r="AI53" s="299"/>
      <c r="AJ53" s="299"/>
      <c r="AK53" s="299"/>
      <c r="AL53" s="299"/>
      <c r="AM53" s="299"/>
      <c r="AN53" s="299"/>
      <c r="AO53" s="293"/>
      <c r="AP53" s="293"/>
      <c r="AQ53" s="293"/>
      <c r="AR53" s="293"/>
      <c r="AS53" s="282">
        <f t="shared" si="5"/>
        <v>0</v>
      </c>
      <c r="AT53" s="282" t="s">
        <v>518</v>
      </c>
      <c r="AU53" s="282" t="s">
        <v>24</v>
      </c>
      <c r="AV53" s="282"/>
      <c r="AW53" s="282"/>
      <c r="AX53" s="282"/>
      <c r="AY53" s="282"/>
      <c r="AZ53" s="282"/>
      <c r="BA53" s="282"/>
      <c r="BB53" s="282"/>
      <c r="BC53" s="282"/>
      <c r="BD53" s="282"/>
      <c r="BE53" s="282"/>
      <c r="BF53" s="282"/>
      <c r="BG53" s="282"/>
      <c r="BH53" s="282">
        <f t="shared" si="12"/>
        <v>0</v>
      </c>
      <c r="BI53" s="282" t="s">
        <v>518</v>
      </c>
      <c r="BJ53" s="282" t="s">
        <v>24</v>
      </c>
      <c r="BK53" s="282"/>
      <c r="BL53" s="282"/>
      <c r="BM53" s="282"/>
      <c r="BN53" s="282"/>
      <c r="BO53" s="282"/>
      <c r="BP53" s="282"/>
      <c r="BQ53" s="282"/>
      <c r="BR53" s="282"/>
      <c r="BS53" s="282"/>
      <c r="BT53" s="282"/>
      <c r="BU53" s="282"/>
      <c r="BV53" s="282"/>
      <c r="BW53" s="282">
        <f t="shared" si="13"/>
        <v>0</v>
      </c>
      <c r="BX53" s="282" t="s">
        <v>518</v>
      </c>
      <c r="BY53" s="282" t="s">
        <v>24</v>
      </c>
      <c r="BZ53" s="282"/>
      <c r="CA53" s="282"/>
      <c r="CB53" s="282"/>
      <c r="CC53" s="282"/>
      <c r="CD53" s="282"/>
      <c r="CE53" s="282"/>
      <c r="CF53" s="282"/>
      <c r="CG53" s="282"/>
      <c r="CH53" s="282"/>
      <c r="CI53" s="282"/>
      <c r="CJ53" s="282"/>
      <c r="CK53" s="282"/>
      <c r="CL53" s="282">
        <f t="shared" si="14"/>
        <v>0</v>
      </c>
      <c r="CM53" s="294">
        <f t="shared" si="15"/>
        <v>237</v>
      </c>
      <c r="CN53" s="294">
        <f t="shared" si="20"/>
        <v>-25</v>
      </c>
      <c r="CO53" s="294">
        <f t="shared" si="17"/>
        <v>-272</v>
      </c>
      <c r="CP53" s="294">
        <f t="shared" si="18"/>
        <v>-33</v>
      </c>
    </row>
    <row r="54" spans="1:94" s="6" customFormat="1" ht="21.6" customHeight="1" x14ac:dyDescent="0.3">
      <c r="A54" s="4">
        <v>52</v>
      </c>
      <c r="B54" s="76" t="s">
        <v>210</v>
      </c>
      <c r="C54" s="76" t="s">
        <v>24</v>
      </c>
      <c r="D54" s="76">
        <v>1</v>
      </c>
      <c r="E54" s="76" t="s">
        <v>184</v>
      </c>
      <c r="F54" s="76" t="s">
        <v>505</v>
      </c>
      <c r="G54" s="76" t="s">
        <v>157</v>
      </c>
      <c r="H54" s="215">
        <v>45863</v>
      </c>
      <c r="I54" s="215"/>
      <c r="J54" s="255">
        <v>13557</v>
      </c>
      <c r="K54" s="211">
        <v>4750</v>
      </c>
      <c r="L54" s="211">
        <v>640</v>
      </c>
      <c r="M54" s="211"/>
      <c r="N54" s="211">
        <v>800</v>
      </c>
      <c r="O54" s="211">
        <f t="shared" si="0"/>
        <v>6190</v>
      </c>
      <c r="P54" s="211">
        <v>5857</v>
      </c>
      <c r="Q54" s="211">
        <v>508</v>
      </c>
      <c r="R54" s="211">
        <v>190</v>
      </c>
      <c r="S54" s="211">
        <v>678</v>
      </c>
      <c r="T54" s="211">
        <f t="shared" si="6"/>
        <v>7233</v>
      </c>
      <c r="U54" s="211">
        <f t="shared" si="1"/>
        <v>-1107</v>
      </c>
      <c r="V54" s="211">
        <f t="shared" si="2"/>
        <v>132</v>
      </c>
      <c r="W54" s="211">
        <f t="shared" si="3"/>
        <v>-190</v>
      </c>
      <c r="X54" s="211">
        <f t="shared" si="4"/>
        <v>122</v>
      </c>
      <c r="Y54" s="211">
        <f t="shared" si="7"/>
        <v>-1043</v>
      </c>
      <c r="Z54" s="211">
        <f t="shared" si="19"/>
        <v>0</v>
      </c>
      <c r="AA54" s="211">
        <f t="shared" si="8"/>
        <v>0</v>
      </c>
      <c r="AB54" s="211">
        <f t="shared" si="9"/>
        <v>0</v>
      </c>
      <c r="AC54" s="211">
        <f t="shared" si="10"/>
        <v>30</v>
      </c>
      <c r="AD54" s="211">
        <f t="shared" si="11"/>
        <v>30</v>
      </c>
      <c r="AE54" s="76" t="s">
        <v>518</v>
      </c>
      <c r="AF54" s="76" t="s">
        <v>24</v>
      </c>
      <c r="AG54" s="298"/>
      <c r="AH54" s="298"/>
      <c r="AI54" s="298"/>
      <c r="AJ54" s="298"/>
      <c r="AK54" s="298"/>
      <c r="AL54" s="298"/>
      <c r="AM54" s="298"/>
      <c r="AN54" s="298"/>
      <c r="AO54" s="255"/>
      <c r="AP54" s="255"/>
      <c r="AQ54" s="255"/>
      <c r="AR54" s="255"/>
      <c r="AS54" s="76">
        <f t="shared" si="5"/>
        <v>0</v>
      </c>
      <c r="AT54" s="76" t="s">
        <v>518</v>
      </c>
      <c r="AU54" s="76" t="s">
        <v>24</v>
      </c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>
        <f t="shared" si="12"/>
        <v>0</v>
      </c>
      <c r="BI54" s="76" t="s">
        <v>518</v>
      </c>
      <c r="BJ54" s="76" t="s">
        <v>24</v>
      </c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>
        <f t="shared" si="13"/>
        <v>0</v>
      </c>
      <c r="BX54" s="76" t="s">
        <v>518</v>
      </c>
      <c r="BY54" s="76" t="s">
        <v>24</v>
      </c>
      <c r="BZ54" s="76">
        <v>30</v>
      </c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>
        <f t="shared" si="14"/>
        <v>30</v>
      </c>
      <c r="CM54" s="211">
        <f t="shared" si="15"/>
        <v>-1107</v>
      </c>
      <c r="CN54" s="211">
        <f t="shared" si="20"/>
        <v>132</v>
      </c>
      <c r="CO54" s="211">
        <f t="shared" si="17"/>
        <v>-190</v>
      </c>
      <c r="CP54" s="211">
        <f t="shared" si="18"/>
        <v>92</v>
      </c>
    </row>
    <row r="55" spans="1:94" s="6" customFormat="1" ht="23.4" customHeight="1" x14ac:dyDescent="0.3">
      <c r="A55" s="78">
        <v>53</v>
      </c>
      <c r="B55" s="76" t="s">
        <v>211</v>
      </c>
      <c r="C55" s="76" t="s">
        <v>24</v>
      </c>
      <c r="D55" s="76">
        <v>1</v>
      </c>
      <c r="E55" s="76" t="s">
        <v>205</v>
      </c>
      <c r="F55" s="76" t="s">
        <v>505</v>
      </c>
      <c r="G55" s="76" t="s">
        <v>174</v>
      </c>
      <c r="H55" s="215">
        <v>45863</v>
      </c>
      <c r="I55" s="215"/>
      <c r="J55" s="255">
        <v>8885</v>
      </c>
      <c r="K55" s="211">
        <v>2253.25</v>
      </c>
      <c r="L55" s="211">
        <v>46</v>
      </c>
      <c r="M55" s="211"/>
      <c r="N55" s="211"/>
      <c r="O55" s="211">
        <f t="shared" si="0"/>
        <v>2299.25</v>
      </c>
      <c r="P55" s="211">
        <v>2573</v>
      </c>
      <c r="Q55" s="211">
        <v>1.4</v>
      </c>
      <c r="R55" s="211">
        <v>34.1</v>
      </c>
      <c r="S55" s="211">
        <v>22</v>
      </c>
      <c r="T55" s="211">
        <f t="shared" si="6"/>
        <v>2630.5</v>
      </c>
      <c r="U55" s="211">
        <f t="shared" si="1"/>
        <v>-319.75</v>
      </c>
      <c r="V55" s="211">
        <f t="shared" si="2"/>
        <v>44.6</v>
      </c>
      <c r="W55" s="211">
        <f t="shared" si="3"/>
        <v>-34.1</v>
      </c>
      <c r="X55" s="211">
        <f t="shared" si="4"/>
        <v>-22</v>
      </c>
      <c r="Y55" s="211">
        <f t="shared" si="7"/>
        <v>-331.25</v>
      </c>
      <c r="Z55" s="211">
        <f t="shared" si="19"/>
        <v>0</v>
      </c>
      <c r="AA55" s="211">
        <f t="shared" si="8"/>
        <v>0</v>
      </c>
      <c r="AB55" s="211">
        <f t="shared" si="9"/>
        <v>0</v>
      </c>
      <c r="AC55" s="211">
        <f t="shared" si="10"/>
        <v>0</v>
      </c>
      <c r="AD55" s="211">
        <f t="shared" si="11"/>
        <v>0</v>
      </c>
      <c r="AE55" s="76" t="s">
        <v>518</v>
      </c>
      <c r="AF55" s="76" t="s">
        <v>24</v>
      </c>
      <c r="AG55" s="298"/>
      <c r="AH55" s="298"/>
      <c r="AI55" s="298"/>
      <c r="AJ55" s="298"/>
      <c r="AK55" s="298"/>
      <c r="AL55" s="298"/>
      <c r="AM55" s="298"/>
      <c r="AN55" s="298"/>
      <c r="AO55" s="255"/>
      <c r="AP55" s="255"/>
      <c r="AQ55" s="255"/>
      <c r="AR55" s="255"/>
      <c r="AS55" s="76">
        <f t="shared" si="5"/>
        <v>0</v>
      </c>
      <c r="AT55" s="76" t="s">
        <v>518</v>
      </c>
      <c r="AU55" s="76" t="s">
        <v>24</v>
      </c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>
        <f t="shared" si="12"/>
        <v>0</v>
      </c>
      <c r="BI55" s="76" t="s">
        <v>518</v>
      </c>
      <c r="BJ55" s="76" t="s">
        <v>24</v>
      </c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>
        <f t="shared" si="13"/>
        <v>0</v>
      </c>
      <c r="BX55" s="76" t="s">
        <v>518</v>
      </c>
      <c r="BY55" s="76" t="s">
        <v>24</v>
      </c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>
        <f t="shared" si="14"/>
        <v>0</v>
      </c>
      <c r="CM55" s="211">
        <f t="shared" si="15"/>
        <v>-319.75</v>
      </c>
      <c r="CN55" s="211">
        <f t="shared" si="20"/>
        <v>44.6</v>
      </c>
      <c r="CO55" s="211">
        <f t="shared" si="17"/>
        <v>-34.1</v>
      </c>
      <c r="CP55" s="211">
        <f t="shared" si="18"/>
        <v>-22</v>
      </c>
    </row>
    <row r="56" spans="1:94" s="296" customFormat="1" ht="23.4" customHeight="1" x14ac:dyDescent="0.3">
      <c r="A56" s="4">
        <v>54</v>
      </c>
      <c r="B56" s="282" t="s">
        <v>216</v>
      </c>
      <c r="C56" s="282" t="s">
        <v>24</v>
      </c>
      <c r="D56" s="76">
        <v>1</v>
      </c>
      <c r="E56" s="282" t="s">
        <v>217</v>
      </c>
      <c r="F56" s="282" t="s">
        <v>505</v>
      </c>
      <c r="G56" s="282" t="s">
        <v>176</v>
      </c>
      <c r="H56" s="292"/>
      <c r="I56" s="292"/>
      <c r="J56" s="293">
        <v>25000</v>
      </c>
      <c r="K56" s="294">
        <v>1975</v>
      </c>
      <c r="L56" s="294">
        <v>148</v>
      </c>
      <c r="M56" s="294">
        <v>32</v>
      </c>
      <c r="N56" s="294">
        <v>300</v>
      </c>
      <c r="O56" s="294">
        <f t="shared" si="0"/>
        <v>2455</v>
      </c>
      <c r="P56" s="294">
        <v>1770</v>
      </c>
      <c r="Q56" s="294">
        <v>148.6</v>
      </c>
      <c r="R56" s="294">
        <v>361.55</v>
      </c>
      <c r="S56" s="294">
        <v>117</v>
      </c>
      <c r="T56" s="294">
        <f t="shared" si="6"/>
        <v>2397.15</v>
      </c>
      <c r="U56" s="294">
        <f t="shared" si="1"/>
        <v>205</v>
      </c>
      <c r="V56" s="294">
        <f t="shared" si="2"/>
        <v>-0.59999999999999432</v>
      </c>
      <c r="W56" s="294">
        <f t="shared" si="3"/>
        <v>-329.55</v>
      </c>
      <c r="X56" s="294">
        <f t="shared" si="4"/>
        <v>183</v>
      </c>
      <c r="Y56" s="294">
        <f t="shared" si="7"/>
        <v>57.849999999999994</v>
      </c>
      <c r="Z56" s="294">
        <f t="shared" si="19"/>
        <v>0</v>
      </c>
      <c r="AA56" s="294">
        <f t="shared" si="8"/>
        <v>0</v>
      </c>
      <c r="AB56" s="294">
        <f t="shared" si="9"/>
        <v>0</v>
      </c>
      <c r="AC56" s="294">
        <f t="shared" si="10"/>
        <v>0</v>
      </c>
      <c r="AD56" s="294">
        <f t="shared" si="11"/>
        <v>0</v>
      </c>
      <c r="AE56" s="282" t="s">
        <v>518</v>
      </c>
      <c r="AF56" s="282" t="s">
        <v>24</v>
      </c>
      <c r="AG56" s="299"/>
      <c r="AH56" s="299"/>
      <c r="AI56" s="299"/>
      <c r="AJ56" s="299"/>
      <c r="AK56" s="299"/>
      <c r="AL56" s="299"/>
      <c r="AM56" s="299"/>
      <c r="AN56" s="299"/>
      <c r="AO56" s="293"/>
      <c r="AP56" s="293"/>
      <c r="AQ56" s="293"/>
      <c r="AR56" s="293"/>
      <c r="AS56" s="282">
        <f t="shared" si="5"/>
        <v>0</v>
      </c>
      <c r="AT56" s="282" t="s">
        <v>518</v>
      </c>
      <c r="AU56" s="282" t="s">
        <v>24</v>
      </c>
      <c r="AV56" s="282"/>
      <c r="AW56" s="282"/>
      <c r="AX56" s="282"/>
      <c r="AY56" s="282"/>
      <c r="AZ56" s="282"/>
      <c r="BA56" s="282"/>
      <c r="BB56" s="282"/>
      <c r="BC56" s="282"/>
      <c r="BD56" s="282"/>
      <c r="BE56" s="282"/>
      <c r="BF56" s="282"/>
      <c r="BG56" s="282"/>
      <c r="BH56" s="282">
        <f t="shared" si="12"/>
        <v>0</v>
      </c>
      <c r="BI56" s="282" t="s">
        <v>518</v>
      </c>
      <c r="BJ56" s="282" t="s">
        <v>24</v>
      </c>
      <c r="BK56" s="282"/>
      <c r="BL56" s="282"/>
      <c r="BM56" s="282"/>
      <c r="BN56" s="282"/>
      <c r="BO56" s="282"/>
      <c r="BP56" s="282"/>
      <c r="BQ56" s="282"/>
      <c r="BR56" s="282"/>
      <c r="BS56" s="282"/>
      <c r="BT56" s="282"/>
      <c r="BU56" s="282"/>
      <c r="BV56" s="282"/>
      <c r="BW56" s="282">
        <f t="shared" si="13"/>
        <v>0</v>
      </c>
      <c r="BX56" s="282" t="s">
        <v>518</v>
      </c>
      <c r="BY56" s="282" t="s">
        <v>24</v>
      </c>
      <c r="BZ56" s="282"/>
      <c r="CA56" s="282"/>
      <c r="CB56" s="282"/>
      <c r="CC56" s="282"/>
      <c r="CD56" s="282"/>
      <c r="CE56" s="282"/>
      <c r="CF56" s="282"/>
      <c r="CG56" s="282"/>
      <c r="CH56" s="282"/>
      <c r="CI56" s="282"/>
      <c r="CJ56" s="282"/>
      <c r="CK56" s="282"/>
      <c r="CL56" s="282">
        <f t="shared" si="14"/>
        <v>0</v>
      </c>
      <c r="CM56" s="294">
        <f t="shared" si="15"/>
        <v>205</v>
      </c>
      <c r="CN56" s="294">
        <f t="shared" si="20"/>
        <v>-0.59999999999999432</v>
      </c>
      <c r="CO56" s="294">
        <f t="shared" si="17"/>
        <v>-329.55</v>
      </c>
      <c r="CP56" s="294">
        <f t="shared" si="18"/>
        <v>183</v>
      </c>
    </row>
    <row r="57" spans="1:94" s="296" customFormat="1" ht="23.4" customHeight="1" x14ac:dyDescent="0.3">
      <c r="A57" s="78">
        <v>55</v>
      </c>
      <c r="B57" s="282" t="s">
        <v>218</v>
      </c>
      <c r="C57" s="282" t="s">
        <v>24</v>
      </c>
      <c r="D57" s="76">
        <v>1</v>
      </c>
      <c r="E57" s="282" t="s">
        <v>219</v>
      </c>
      <c r="F57" s="282" t="s">
        <v>505</v>
      </c>
      <c r="G57" s="282" t="s">
        <v>176</v>
      </c>
      <c r="H57" s="292"/>
      <c r="I57" s="292"/>
      <c r="J57" s="293">
        <v>25000</v>
      </c>
      <c r="K57" s="294">
        <v>1985</v>
      </c>
      <c r="L57" s="294">
        <v>148</v>
      </c>
      <c r="M57" s="294">
        <v>32</v>
      </c>
      <c r="N57" s="294">
        <v>300</v>
      </c>
      <c r="O57" s="294">
        <f t="shared" si="0"/>
        <v>2465</v>
      </c>
      <c r="P57" s="294">
        <v>2364</v>
      </c>
      <c r="Q57" s="294">
        <v>114</v>
      </c>
      <c r="R57" s="294">
        <v>154</v>
      </c>
      <c r="S57" s="294">
        <v>312</v>
      </c>
      <c r="T57" s="294">
        <f t="shared" si="6"/>
        <v>2944</v>
      </c>
      <c r="U57" s="294">
        <f t="shared" si="1"/>
        <v>-379</v>
      </c>
      <c r="V57" s="294">
        <f t="shared" si="2"/>
        <v>34</v>
      </c>
      <c r="W57" s="294">
        <f t="shared" si="3"/>
        <v>-122</v>
      </c>
      <c r="X57" s="294">
        <f t="shared" si="4"/>
        <v>-12</v>
      </c>
      <c r="Y57" s="294">
        <f t="shared" si="7"/>
        <v>-479</v>
      </c>
      <c r="Z57" s="294">
        <f t="shared" si="19"/>
        <v>0</v>
      </c>
      <c r="AA57" s="294">
        <f t="shared" si="8"/>
        <v>0</v>
      </c>
      <c r="AB57" s="294">
        <f t="shared" si="9"/>
        <v>0</v>
      </c>
      <c r="AC57" s="294">
        <f t="shared" si="10"/>
        <v>0</v>
      </c>
      <c r="AD57" s="294">
        <f t="shared" si="11"/>
        <v>0</v>
      </c>
      <c r="AE57" s="282" t="s">
        <v>518</v>
      </c>
      <c r="AF57" s="282" t="s">
        <v>24</v>
      </c>
      <c r="AG57" s="299"/>
      <c r="AH57" s="299"/>
      <c r="AI57" s="299"/>
      <c r="AJ57" s="299"/>
      <c r="AK57" s="299"/>
      <c r="AL57" s="299"/>
      <c r="AM57" s="299"/>
      <c r="AN57" s="299"/>
      <c r="AO57" s="293"/>
      <c r="AP57" s="293"/>
      <c r="AQ57" s="293"/>
      <c r="AR57" s="293"/>
      <c r="AS57" s="282">
        <f t="shared" si="5"/>
        <v>0</v>
      </c>
      <c r="AT57" s="282" t="s">
        <v>518</v>
      </c>
      <c r="AU57" s="282" t="s">
        <v>24</v>
      </c>
      <c r="AV57" s="282"/>
      <c r="AW57" s="282"/>
      <c r="AX57" s="282"/>
      <c r="AY57" s="282"/>
      <c r="AZ57" s="282"/>
      <c r="BA57" s="282"/>
      <c r="BB57" s="282"/>
      <c r="BC57" s="282"/>
      <c r="BD57" s="282"/>
      <c r="BE57" s="282"/>
      <c r="BF57" s="282"/>
      <c r="BG57" s="282"/>
      <c r="BH57" s="282">
        <f t="shared" si="12"/>
        <v>0</v>
      </c>
      <c r="BI57" s="282" t="s">
        <v>518</v>
      </c>
      <c r="BJ57" s="282" t="s">
        <v>24</v>
      </c>
      <c r="BK57" s="282"/>
      <c r="BL57" s="282"/>
      <c r="BM57" s="282"/>
      <c r="BN57" s="282"/>
      <c r="BO57" s="282"/>
      <c r="BP57" s="282"/>
      <c r="BQ57" s="282"/>
      <c r="BR57" s="282"/>
      <c r="BS57" s="282"/>
      <c r="BT57" s="282"/>
      <c r="BU57" s="282"/>
      <c r="BV57" s="282"/>
      <c r="BW57" s="282">
        <f t="shared" si="13"/>
        <v>0</v>
      </c>
      <c r="BX57" s="282" t="s">
        <v>518</v>
      </c>
      <c r="BY57" s="282" t="s">
        <v>24</v>
      </c>
      <c r="BZ57" s="282"/>
      <c r="CA57" s="282"/>
      <c r="CB57" s="282"/>
      <c r="CC57" s="282"/>
      <c r="CD57" s="282"/>
      <c r="CE57" s="282"/>
      <c r="CF57" s="282"/>
      <c r="CG57" s="282"/>
      <c r="CH57" s="282"/>
      <c r="CI57" s="282"/>
      <c r="CJ57" s="282"/>
      <c r="CK57" s="282"/>
      <c r="CL57" s="282">
        <f t="shared" si="14"/>
        <v>0</v>
      </c>
      <c r="CM57" s="294">
        <f t="shared" si="15"/>
        <v>-379</v>
      </c>
      <c r="CN57" s="294">
        <f t="shared" si="20"/>
        <v>34</v>
      </c>
      <c r="CO57" s="294">
        <f t="shared" si="17"/>
        <v>-122</v>
      </c>
      <c r="CP57" s="294">
        <f t="shared" si="18"/>
        <v>-12</v>
      </c>
    </row>
    <row r="58" spans="1:94" s="6" customFormat="1" ht="23.4" customHeight="1" x14ac:dyDescent="0.3">
      <c r="A58" s="4">
        <v>56</v>
      </c>
      <c r="B58" s="76">
        <v>19678</v>
      </c>
      <c r="C58" s="76" t="s">
        <v>166</v>
      </c>
      <c r="D58" s="76">
        <v>1</v>
      </c>
      <c r="E58" s="76" t="s">
        <v>201</v>
      </c>
      <c r="F58" s="76"/>
      <c r="G58" s="76" t="s">
        <v>175</v>
      </c>
      <c r="H58" s="215">
        <v>45870</v>
      </c>
      <c r="I58" s="215">
        <v>46295</v>
      </c>
      <c r="J58" s="255">
        <v>108785</v>
      </c>
      <c r="K58" s="211">
        <v>13731</v>
      </c>
      <c r="L58" s="211">
        <v>190</v>
      </c>
      <c r="M58" s="211">
        <v>120</v>
      </c>
      <c r="N58" s="211"/>
      <c r="O58" s="211">
        <f t="shared" si="0"/>
        <v>14041</v>
      </c>
      <c r="P58" s="211">
        <v>9938</v>
      </c>
      <c r="Q58" s="211"/>
      <c r="R58" s="211"/>
      <c r="S58" s="211"/>
      <c r="T58" s="211">
        <f t="shared" si="6"/>
        <v>9938</v>
      </c>
      <c r="U58" s="211">
        <f t="shared" si="1"/>
        <v>3793</v>
      </c>
      <c r="V58" s="211">
        <f t="shared" si="2"/>
        <v>190</v>
      </c>
      <c r="W58" s="211">
        <f t="shared" si="3"/>
        <v>120</v>
      </c>
      <c r="X58" s="211">
        <f t="shared" si="4"/>
        <v>0</v>
      </c>
      <c r="Y58" s="211">
        <f t="shared" si="7"/>
        <v>4103</v>
      </c>
      <c r="Z58" s="211">
        <f t="shared" si="19"/>
        <v>3793</v>
      </c>
      <c r="AA58" s="211">
        <f t="shared" si="8"/>
        <v>190</v>
      </c>
      <c r="AB58" s="211">
        <f t="shared" si="9"/>
        <v>120</v>
      </c>
      <c r="AC58" s="211">
        <f t="shared" si="10"/>
        <v>0</v>
      </c>
      <c r="AD58" s="211">
        <f t="shared" si="11"/>
        <v>4103</v>
      </c>
      <c r="AE58" s="76" t="s">
        <v>518</v>
      </c>
      <c r="AF58" s="76" t="s">
        <v>23</v>
      </c>
      <c r="AG58" s="298">
        <v>1897</v>
      </c>
      <c r="AH58" s="298">
        <v>1896</v>
      </c>
      <c r="AI58" s="298"/>
      <c r="AJ58" s="298"/>
      <c r="AK58" s="298"/>
      <c r="AL58" s="298"/>
      <c r="AM58" s="298"/>
      <c r="AN58" s="298"/>
      <c r="AO58" s="255"/>
      <c r="AP58" s="255"/>
      <c r="AQ58" s="255"/>
      <c r="AR58" s="255"/>
      <c r="AS58" s="76">
        <f t="shared" si="5"/>
        <v>3793</v>
      </c>
      <c r="AT58" s="76" t="s">
        <v>518</v>
      </c>
      <c r="AU58" s="76" t="s">
        <v>23</v>
      </c>
      <c r="AV58" s="76"/>
      <c r="AW58" s="76">
        <v>90</v>
      </c>
      <c r="AX58" s="76">
        <v>100</v>
      </c>
      <c r="AY58" s="76"/>
      <c r="AZ58" s="76"/>
      <c r="BA58" s="76"/>
      <c r="BB58" s="76"/>
      <c r="BC58" s="76"/>
      <c r="BD58" s="76"/>
      <c r="BE58" s="76"/>
      <c r="BF58" s="76"/>
      <c r="BG58" s="76"/>
      <c r="BH58" s="76">
        <f t="shared" si="12"/>
        <v>190</v>
      </c>
      <c r="BI58" s="76" t="s">
        <v>518</v>
      </c>
      <c r="BJ58" s="76" t="s">
        <v>23</v>
      </c>
      <c r="BK58" s="76"/>
      <c r="BL58" s="76"/>
      <c r="BM58" s="76">
        <v>60</v>
      </c>
      <c r="BN58" s="76">
        <v>60</v>
      </c>
      <c r="BO58" s="76"/>
      <c r="BP58" s="76"/>
      <c r="BQ58" s="76"/>
      <c r="BR58" s="76"/>
      <c r="BS58" s="76"/>
      <c r="BT58" s="76"/>
      <c r="BU58" s="76"/>
      <c r="BV58" s="76"/>
      <c r="BW58" s="76">
        <f t="shared" si="13"/>
        <v>120</v>
      </c>
      <c r="BX58" s="76" t="s">
        <v>518</v>
      </c>
      <c r="BY58" s="76" t="s">
        <v>23</v>
      </c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>
        <f t="shared" si="14"/>
        <v>0</v>
      </c>
      <c r="CM58" s="211">
        <f t="shared" si="15"/>
        <v>0</v>
      </c>
      <c r="CN58" s="211">
        <f t="shared" si="20"/>
        <v>0</v>
      </c>
      <c r="CO58" s="211">
        <f t="shared" si="17"/>
        <v>0</v>
      </c>
      <c r="CP58" s="211">
        <f t="shared" si="18"/>
        <v>0</v>
      </c>
    </row>
    <row r="59" spans="1:94" s="6" customFormat="1" ht="23.4" customHeight="1" x14ac:dyDescent="0.3">
      <c r="A59" s="78">
        <v>57</v>
      </c>
      <c r="B59" s="76" t="s">
        <v>202</v>
      </c>
      <c r="C59" s="76" t="s">
        <v>24</v>
      </c>
      <c r="D59" s="76">
        <v>584</v>
      </c>
      <c r="E59" s="76" t="s">
        <v>203</v>
      </c>
      <c r="F59" s="76"/>
      <c r="G59" s="76" t="s">
        <v>288</v>
      </c>
      <c r="H59" s="215">
        <v>45870</v>
      </c>
      <c r="I59" s="215"/>
      <c r="J59" s="255"/>
      <c r="K59" s="211">
        <v>932</v>
      </c>
      <c r="L59" s="211"/>
      <c r="M59" s="211">
        <v>1165</v>
      </c>
      <c r="N59" s="211">
        <v>60</v>
      </c>
      <c r="O59" s="211">
        <f t="shared" si="0"/>
        <v>2157</v>
      </c>
      <c r="P59" s="211"/>
      <c r="Q59" s="211"/>
      <c r="R59" s="211"/>
      <c r="S59" s="211"/>
      <c r="T59" s="211">
        <f t="shared" si="6"/>
        <v>0</v>
      </c>
      <c r="U59" s="211">
        <f t="shared" si="1"/>
        <v>932</v>
      </c>
      <c r="V59" s="211">
        <f t="shared" si="2"/>
        <v>0</v>
      </c>
      <c r="W59" s="211">
        <f t="shared" si="3"/>
        <v>1165</v>
      </c>
      <c r="X59" s="211">
        <f t="shared" si="4"/>
        <v>60</v>
      </c>
      <c r="Y59" s="211">
        <f t="shared" si="7"/>
        <v>2157</v>
      </c>
      <c r="Z59" s="211">
        <f t="shared" si="19"/>
        <v>932</v>
      </c>
      <c r="AA59" s="211">
        <f t="shared" si="8"/>
        <v>0</v>
      </c>
      <c r="AB59" s="211">
        <f t="shared" si="9"/>
        <v>1165</v>
      </c>
      <c r="AC59" s="211">
        <f t="shared" si="10"/>
        <v>60</v>
      </c>
      <c r="AD59" s="211">
        <f t="shared" si="11"/>
        <v>2157</v>
      </c>
      <c r="AE59" s="76" t="s">
        <v>518</v>
      </c>
      <c r="AF59" s="76" t="s">
        <v>24</v>
      </c>
      <c r="AG59" s="298">
        <v>200</v>
      </c>
      <c r="AH59" s="298">
        <v>200</v>
      </c>
      <c r="AI59" s="298">
        <v>200</v>
      </c>
      <c r="AJ59" s="298">
        <v>200</v>
      </c>
      <c r="AK59" s="298">
        <v>132</v>
      </c>
      <c r="AL59" s="298"/>
      <c r="AM59" s="298"/>
      <c r="AN59" s="298"/>
      <c r="AO59" s="255"/>
      <c r="AP59" s="255"/>
      <c r="AQ59" s="255"/>
      <c r="AR59" s="255"/>
      <c r="AS59" s="76">
        <f t="shared" si="5"/>
        <v>932</v>
      </c>
      <c r="AT59" s="76" t="s">
        <v>518</v>
      </c>
      <c r="AU59" s="76" t="s">
        <v>24</v>
      </c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>
        <f t="shared" si="12"/>
        <v>0</v>
      </c>
      <c r="BI59" s="76" t="s">
        <v>518</v>
      </c>
      <c r="BJ59" s="76" t="s">
        <v>24</v>
      </c>
      <c r="BK59" s="76">
        <v>250</v>
      </c>
      <c r="BL59" s="76">
        <v>250</v>
      </c>
      <c r="BM59" s="76">
        <v>250</v>
      </c>
      <c r="BN59" s="76">
        <v>250</v>
      </c>
      <c r="BO59" s="76">
        <v>165</v>
      </c>
      <c r="BP59" s="76"/>
      <c r="BQ59" s="76"/>
      <c r="BR59" s="76"/>
      <c r="BS59" s="76"/>
      <c r="BT59" s="76"/>
      <c r="BU59" s="76"/>
      <c r="BV59" s="76"/>
      <c r="BW59" s="76">
        <f t="shared" si="13"/>
        <v>1165</v>
      </c>
      <c r="BX59" s="76" t="s">
        <v>518</v>
      </c>
      <c r="BY59" s="76" t="s">
        <v>24</v>
      </c>
      <c r="BZ59" s="76">
        <v>20</v>
      </c>
      <c r="CA59" s="76">
        <v>20</v>
      </c>
      <c r="CB59" s="76">
        <v>20</v>
      </c>
      <c r="CC59" s="76"/>
      <c r="CD59" s="76"/>
      <c r="CE59" s="76"/>
      <c r="CF59" s="76"/>
      <c r="CG59" s="76"/>
      <c r="CH59" s="76"/>
      <c r="CI59" s="76"/>
      <c r="CJ59" s="76"/>
      <c r="CK59" s="76"/>
      <c r="CL59" s="76">
        <f t="shared" si="14"/>
        <v>60</v>
      </c>
      <c r="CM59" s="211">
        <f t="shared" si="15"/>
        <v>0</v>
      </c>
      <c r="CN59" s="211">
        <f t="shared" si="20"/>
        <v>0</v>
      </c>
      <c r="CO59" s="211">
        <f t="shared" si="17"/>
        <v>0</v>
      </c>
      <c r="CP59" s="211">
        <f t="shared" si="18"/>
        <v>0</v>
      </c>
    </row>
    <row r="60" spans="1:94" s="6" customFormat="1" ht="37.799999999999997" x14ac:dyDescent="0.3">
      <c r="A60" s="4">
        <v>58</v>
      </c>
      <c r="B60" s="76">
        <v>18554</v>
      </c>
      <c r="C60" s="76" t="s">
        <v>166</v>
      </c>
      <c r="D60" s="76">
        <v>1</v>
      </c>
      <c r="E60" s="76" t="s">
        <v>212</v>
      </c>
      <c r="F60" s="76"/>
      <c r="G60" s="76" t="s">
        <v>158</v>
      </c>
      <c r="H60" s="215">
        <v>45880</v>
      </c>
      <c r="I60" s="215">
        <v>46132</v>
      </c>
      <c r="J60" s="255">
        <v>9240</v>
      </c>
      <c r="K60" s="211">
        <v>1710</v>
      </c>
      <c r="L60" s="211">
        <v>188</v>
      </c>
      <c r="M60" s="211">
        <v>55</v>
      </c>
      <c r="N60" s="211"/>
      <c r="O60" s="211">
        <f t="shared" si="0"/>
        <v>1953</v>
      </c>
      <c r="P60" s="211">
        <v>767</v>
      </c>
      <c r="Q60" s="211">
        <v>179</v>
      </c>
      <c r="R60" s="211">
        <v>50</v>
      </c>
      <c r="S60" s="211"/>
      <c r="T60" s="211">
        <f t="shared" si="6"/>
        <v>996</v>
      </c>
      <c r="U60" s="211">
        <f t="shared" si="1"/>
        <v>943</v>
      </c>
      <c r="V60" s="211">
        <f t="shared" si="2"/>
        <v>9</v>
      </c>
      <c r="W60" s="211">
        <f t="shared" si="3"/>
        <v>5</v>
      </c>
      <c r="X60" s="211">
        <f t="shared" si="4"/>
        <v>0</v>
      </c>
      <c r="Y60" s="211">
        <f t="shared" si="7"/>
        <v>957</v>
      </c>
      <c r="Z60" s="211">
        <f t="shared" si="19"/>
        <v>943</v>
      </c>
      <c r="AA60" s="211">
        <f t="shared" si="8"/>
        <v>150</v>
      </c>
      <c r="AB60" s="211">
        <f t="shared" si="9"/>
        <v>5</v>
      </c>
      <c r="AC60" s="211">
        <f t="shared" si="10"/>
        <v>60</v>
      </c>
      <c r="AD60" s="211">
        <f t="shared" si="11"/>
        <v>1158</v>
      </c>
      <c r="AE60" s="76" t="s">
        <v>518</v>
      </c>
      <c r="AF60" s="76" t="s">
        <v>23</v>
      </c>
      <c r="AG60" s="298">
        <v>472</v>
      </c>
      <c r="AH60" s="298">
        <v>471</v>
      </c>
      <c r="AI60" s="298"/>
      <c r="AJ60" s="298"/>
      <c r="AK60" s="298"/>
      <c r="AL60" s="298"/>
      <c r="AM60" s="298"/>
      <c r="AN60" s="298"/>
      <c r="AO60" s="255"/>
      <c r="AP60" s="255"/>
      <c r="AQ60" s="255"/>
      <c r="AR60" s="255"/>
      <c r="AS60" s="76">
        <f t="shared" si="5"/>
        <v>943</v>
      </c>
      <c r="AT60" s="76" t="s">
        <v>518</v>
      </c>
      <c r="AU60" s="76" t="s">
        <v>23</v>
      </c>
      <c r="AV60" s="76"/>
      <c r="AW60" s="76"/>
      <c r="AX60" s="76">
        <v>150</v>
      </c>
      <c r="AY60" s="76"/>
      <c r="AZ60" s="76"/>
      <c r="BA60" s="76"/>
      <c r="BB60" s="76"/>
      <c r="BC60" s="76"/>
      <c r="BD60" s="76"/>
      <c r="BE60" s="76"/>
      <c r="BF60" s="76"/>
      <c r="BG60" s="76"/>
      <c r="BH60" s="76">
        <f t="shared" si="12"/>
        <v>150</v>
      </c>
      <c r="BI60" s="76" t="s">
        <v>518</v>
      </c>
      <c r="BJ60" s="76" t="s">
        <v>23</v>
      </c>
      <c r="BK60" s="76">
        <v>5</v>
      </c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>
        <f t="shared" si="13"/>
        <v>5</v>
      </c>
      <c r="BX60" s="76" t="s">
        <v>518</v>
      </c>
      <c r="BY60" s="76" t="s">
        <v>23</v>
      </c>
      <c r="BZ60" s="76"/>
      <c r="CA60" s="76"/>
      <c r="CB60" s="76"/>
      <c r="CC60" s="76">
        <v>60</v>
      </c>
      <c r="CD60" s="76"/>
      <c r="CE60" s="76"/>
      <c r="CF60" s="76"/>
      <c r="CG60" s="76"/>
      <c r="CH60" s="76"/>
      <c r="CI60" s="76"/>
      <c r="CJ60" s="76"/>
      <c r="CK60" s="76"/>
      <c r="CL60" s="76">
        <f t="shared" si="14"/>
        <v>60</v>
      </c>
      <c r="CM60" s="211">
        <f t="shared" si="15"/>
        <v>0</v>
      </c>
      <c r="CN60" s="211">
        <f t="shared" si="20"/>
        <v>-141</v>
      </c>
      <c r="CO60" s="211">
        <f t="shared" si="17"/>
        <v>0</v>
      </c>
      <c r="CP60" s="211">
        <f t="shared" si="18"/>
        <v>-60</v>
      </c>
    </row>
    <row r="61" spans="1:94" s="6" customFormat="1" ht="23.4" customHeight="1" x14ac:dyDescent="0.3">
      <c r="A61" s="78">
        <v>59</v>
      </c>
      <c r="B61" s="76">
        <v>19070</v>
      </c>
      <c r="C61" s="76" t="s">
        <v>166</v>
      </c>
      <c r="D61" s="76">
        <f>1+1+1+1</f>
        <v>4</v>
      </c>
      <c r="E61" s="76" t="s">
        <v>214</v>
      </c>
      <c r="F61" s="76" t="s">
        <v>506</v>
      </c>
      <c r="G61" s="76" t="s">
        <v>213</v>
      </c>
      <c r="H61" s="215">
        <v>45888</v>
      </c>
      <c r="I61" s="215"/>
      <c r="J61" s="255"/>
      <c r="K61" s="211">
        <v>178</v>
      </c>
      <c r="L61" s="211">
        <v>320</v>
      </c>
      <c r="M61" s="211"/>
      <c r="N61" s="211">
        <v>650</v>
      </c>
      <c r="O61" s="211">
        <f t="shared" ref="O61:O122" si="21">SUM(K61:N61)</f>
        <v>1148</v>
      </c>
      <c r="P61" s="211"/>
      <c r="Q61" s="211"/>
      <c r="R61" s="211"/>
      <c r="S61" s="211"/>
      <c r="T61" s="211">
        <f t="shared" si="6"/>
        <v>0</v>
      </c>
      <c r="U61" s="211">
        <f t="shared" ref="U61:U122" si="22">K61-P61</f>
        <v>178</v>
      </c>
      <c r="V61" s="211">
        <f t="shared" ref="V61:V122" si="23">L61-Q61</f>
        <v>320</v>
      </c>
      <c r="W61" s="211">
        <f t="shared" ref="W61:W122" si="24">M61-R61</f>
        <v>0</v>
      </c>
      <c r="X61" s="211">
        <f t="shared" ref="X61:X122" si="25">N61-S61</f>
        <v>650</v>
      </c>
      <c r="Y61" s="211">
        <f t="shared" si="7"/>
        <v>1148</v>
      </c>
      <c r="Z61" s="211">
        <f t="shared" si="19"/>
        <v>0</v>
      </c>
      <c r="AA61" s="211">
        <f t="shared" si="8"/>
        <v>320</v>
      </c>
      <c r="AB61" s="211">
        <f t="shared" si="9"/>
        <v>650</v>
      </c>
      <c r="AC61" s="211">
        <f t="shared" si="10"/>
        <v>0</v>
      </c>
      <c r="AD61" s="211">
        <f t="shared" si="11"/>
        <v>970</v>
      </c>
      <c r="AE61" s="76" t="s">
        <v>518</v>
      </c>
      <c r="AF61" s="76" t="s">
        <v>23</v>
      </c>
      <c r="AG61" s="298"/>
      <c r="AH61" s="298"/>
      <c r="AI61" s="298"/>
      <c r="AJ61" s="298"/>
      <c r="AK61" s="298"/>
      <c r="AL61" s="298"/>
      <c r="AM61" s="298"/>
      <c r="AN61" s="298"/>
      <c r="AO61" s="255"/>
      <c r="AP61" s="255"/>
      <c r="AQ61" s="255"/>
      <c r="AR61" s="255"/>
      <c r="AS61" s="76">
        <f t="shared" ref="AS61:AS122" si="26">SUM(AG61:AR61)</f>
        <v>0</v>
      </c>
      <c r="AT61" s="76" t="s">
        <v>518</v>
      </c>
      <c r="AU61" s="76" t="s">
        <v>23</v>
      </c>
      <c r="AV61" s="76">
        <v>320</v>
      </c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>
        <f t="shared" si="12"/>
        <v>320</v>
      </c>
      <c r="BI61" s="76" t="s">
        <v>518</v>
      </c>
      <c r="BJ61" s="76" t="s">
        <v>23</v>
      </c>
      <c r="BK61" s="76">
        <v>650</v>
      </c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>
        <f t="shared" si="13"/>
        <v>650</v>
      </c>
      <c r="BX61" s="76" t="s">
        <v>518</v>
      </c>
      <c r="BY61" s="76" t="s">
        <v>23</v>
      </c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>
        <f t="shared" si="14"/>
        <v>0</v>
      </c>
      <c r="CM61" s="211">
        <f t="shared" si="15"/>
        <v>178</v>
      </c>
      <c r="CN61" s="211">
        <f t="shared" si="20"/>
        <v>0</v>
      </c>
      <c r="CO61" s="211">
        <f t="shared" si="17"/>
        <v>-650</v>
      </c>
      <c r="CP61" s="211">
        <f t="shared" si="18"/>
        <v>650</v>
      </c>
    </row>
    <row r="62" spans="1:94" s="6" customFormat="1" ht="23.4" customHeight="1" x14ac:dyDescent="0.3">
      <c r="A62" s="4">
        <v>60</v>
      </c>
      <c r="B62" s="76">
        <v>18082</v>
      </c>
      <c r="C62" s="76" t="s">
        <v>166</v>
      </c>
      <c r="D62" s="76">
        <v>5</v>
      </c>
      <c r="E62" s="76" t="s">
        <v>148</v>
      </c>
      <c r="F62" s="76"/>
      <c r="G62" s="76" t="s">
        <v>178</v>
      </c>
      <c r="H62" s="215">
        <v>45889</v>
      </c>
      <c r="I62" s="215">
        <v>46071</v>
      </c>
      <c r="J62" s="255">
        <v>1453</v>
      </c>
      <c r="K62" s="211">
        <v>328</v>
      </c>
      <c r="L62" s="211"/>
      <c r="M62" s="211"/>
      <c r="N62" s="211">
        <v>80</v>
      </c>
      <c r="O62" s="211">
        <f t="shared" si="21"/>
        <v>408</v>
      </c>
      <c r="P62" s="211">
        <v>574</v>
      </c>
      <c r="Q62" s="211"/>
      <c r="R62" s="211">
        <v>22</v>
      </c>
      <c r="S62" s="211">
        <v>125</v>
      </c>
      <c r="T62" s="211">
        <f t="shared" ref="T62:T123" si="27">SUM(P62:S62)</f>
        <v>721</v>
      </c>
      <c r="U62" s="211">
        <f t="shared" si="22"/>
        <v>-246</v>
      </c>
      <c r="V62" s="211">
        <f t="shared" si="23"/>
        <v>0</v>
      </c>
      <c r="W62" s="211">
        <f t="shared" si="24"/>
        <v>-22</v>
      </c>
      <c r="X62" s="211">
        <f t="shared" si="25"/>
        <v>-45</v>
      </c>
      <c r="Y62" s="211">
        <f t="shared" ref="Y62:Y123" si="28">SUM(U62:X62)</f>
        <v>-313</v>
      </c>
      <c r="Z62" s="211">
        <f t="shared" ref="Z62:Z123" si="29">AS62</f>
        <v>0</v>
      </c>
      <c r="AA62" s="211">
        <f t="shared" ref="AA62:AA123" si="30">BH62</f>
        <v>0</v>
      </c>
      <c r="AB62" s="211">
        <f t="shared" ref="AB62:AB123" si="31">BW62</f>
        <v>0</v>
      </c>
      <c r="AC62" s="211">
        <f t="shared" ref="AC62:AC123" si="32">CL62</f>
        <v>0</v>
      </c>
      <c r="AD62" s="211">
        <f t="shared" ref="AD62:AD123" si="33">SUM(Z62:AC62)</f>
        <v>0</v>
      </c>
      <c r="AE62" s="76" t="s">
        <v>518</v>
      </c>
      <c r="AF62" s="76" t="s">
        <v>23</v>
      </c>
      <c r="AG62" s="298"/>
      <c r="AH62" s="298"/>
      <c r="AI62" s="298"/>
      <c r="AJ62" s="298"/>
      <c r="AK62" s="298"/>
      <c r="AL62" s="298"/>
      <c r="AM62" s="298"/>
      <c r="AN62" s="298"/>
      <c r="AO62" s="255"/>
      <c r="AP62" s="255"/>
      <c r="AQ62" s="255"/>
      <c r="AR62" s="255"/>
      <c r="AS62" s="76">
        <f t="shared" si="26"/>
        <v>0</v>
      </c>
      <c r="AT62" s="76" t="s">
        <v>518</v>
      </c>
      <c r="AU62" s="76" t="s">
        <v>23</v>
      </c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>
        <f t="shared" ref="BH62:BH123" si="34">SUM(AV62:BG62)</f>
        <v>0</v>
      </c>
      <c r="BI62" s="76" t="s">
        <v>518</v>
      </c>
      <c r="BJ62" s="76" t="s">
        <v>23</v>
      </c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>
        <f t="shared" ref="BW62:BW123" si="35">SUM(BK62:BV62)</f>
        <v>0</v>
      </c>
      <c r="BX62" s="76" t="s">
        <v>518</v>
      </c>
      <c r="BY62" s="76" t="s">
        <v>23</v>
      </c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>
        <f t="shared" ref="CL62:CL123" si="36">SUM(BZ62:CK62)</f>
        <v>0</v>
      </c>
      <c r="CM62" s="211">
        <f t="shared" ref="CM62:CM123" si="37">U62-Z62</f>
        <v>-246</v>
      </c>
      <c r="CN62" s="211">
        <f t="shared" ref="CN62:CN123" si="38">V62-AA62</f>
        <v>0</v>
      </c>
      <c r="CO62" s="211">
        <f t="shared" ref="CO62:CO123" si="39">W62-AB62</f>
        <v>-22</v>
      </c>
      <c r="CP62" s="211">
        <f t="shared" ref="CP62:CP123" si="40">X62-AC62</f>
        <v>-45</v>
      </c>
    </row>
    <row r="63" spans="1:94" s="6" customFormat="1" ht="23.4" customHeight="1" x14ac:dyDescent="0.3">
      <c r="A63" s="78">
        <v>61</v>
      </c>
      <c r="B63" s="76">
        <v>20565</v>
      </c>
      <c r="C63" s="76" t="s">
        <v>166</v>
      </c>
      <c r="D63" s="76">
        <v>1</v>
      </c>
      <c r="E63" s="76" t="s">
        <v>215</v>
      </c>
      <c r="F63" s="76"/>
      <c r="G63" s="76" t="s">
        <v>162</v>
      </c>
      <c r="H63" s="215">
        <v>45880</v>
      </c>
      <c r="I63" s="215">
        <v>46173</v>
      </c>
      <c r="J63" s="255">
        <v>158000</v>
      </c>
      <c r="K63" s="211">
        <v>12420</v>
      </c>
      <c r="L63" s="211">
        <v>670</v>
      </c>
      <c r="M63" s="211">
        <v>1080</v>
      </c>
      <c r="N63" s="211">
        <v>2500</v>
      </c>
      <c r="O63" s="211">
        <f t="shared" si="21"/>
        <v>16670</v>
      </c>
      <c r="P63" s="211">
        <v>13633</v>
      </c>
      <c r="Q63" s="211">
        <v>875</v>
      </c>
      <c r="R63" s="211">
        <v>192</v>
      </c>
      <c r="S63" s="211">
        <v>461</v>
      </c>
      <c r="T63" s="211">
        <f t="shared" si="27"/>
        <v>15161</v>
      </c>
      <c r="U63" s="211">
        <f t="shared" si="22"/>
        <v>-1213</v>
      </c>
      <c r="V63" s="211">
        <f t="shared" si="23"/>
        <v>-205</v>
      </c>
      <c r="W63" s="211">
        <f t="shared" si="24"/>
        <v>888</v>
      </c>
      <c r="X63" s="211">
        <f t="shared" si="25"/>
        <v>2039</v>
      </c>
      <c r="Y63" s="211">
        <f t="shared" si="28"/>
        <v>1509</v>
      </c>
      <c r="Z63" s="211">
        <f t="shared" si="29"/>
        <v>300</v>
      </c>
      <c r="AA63" s="211">
        <f t="shared" si="30"/>
        <v>600</v>
      </c>
      <c r="AB63" s="211">
        <f t="shared" si="31"/>
        <v>888</v>
      </c>
      <c r="AC63" s="211">
        <f t="shared" si="32"/>
        <v>2039</v>
      </c>
      <c r="AD63" s="211">
        <f t="shared" si="33"/>
        <v>3827</v>
      </c>
      <c r="AE63" s="76" t="s">
        <v>516</v>
      </c>
      <c r="AF63" s="76" t="s">
        <v>22</v>
      </c>
      <c r="AG63" s="298">
        <v>300</v>
      </c>
      <c r="AH63" s="298"/>
      <c r="AI63" s="298"/>
      <c r="AJ63" s="298"/>
      <c r="AK63" s="298"/>
      <c r="AL63" s="298"/>
      <c r="AM63" s="298"/>
      <c r="AN63" s="298"/>
      <c r="AO63" s="255"/>
      <c r="AP63" s="255"/>
      <c r="AQ63" s="255"/>
      <c r="AR63" s="255"/>
      <c r="AS63" s="76">
        <f t="shared" si="26"/>
        <v>300</v>
      </c>
      <c r="AT63" s="76" t="s">
        <v>516</v>
      </c>
      <c r="AU63" s="76" t="s">
        <v>22</v>
      </c>
      <c r="AV63" s="76">
        <v>600</v>
      </c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>
        <f t="shared" si="34"/>
        <v>600</v>
      </c>
      <c r="BI63" s="76" t="s">
        <v>516</v>
      </c>
      <c r="BJ63" s="76" t="s">
        <v>22</v>
      </c>
      <c r="BK63" s="76">
        <v>445</v>
      </c>
      <c r="BL63" s="76">
        <v>443</v>
      </c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>
        <f t="shared" si="35"/>
        <v>888</v>
      </c>
      <c r="BX63" s="76" t="s">
        <v>516</v>
      </c>
      <c r="BY63" s="76" t="s">
        <v>22</v>
      </c>
      <c r="BZ63" s="76">
        <v>1020</v>
      </c>
      <c r="CA63" s="76">
        <v>1019</v>
      </c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>
        <f t="shared" si="36"/>
        <v>2039</v>
      </c>
      <c r="CM63" s="211">
        <f t="shared" si="37"/>
        <v>-1513</v>
      </c>
      <c r="CN63" s="211">
        <f t="shared" si="38"/>
        <v>-805</v>
      </c>
      <c r="CO63" s="211">
        <f t="shared" si="39"/>
        <v>0</v>
      </c>
      <c r="CP63" s="211">
        <f t="shared" si="40"/>
        <v>0</v>
      </c>
    </row>
    <row r="64" spans="1:94" s="6" customFormat="1" ht="23.4" customHeight="1" x14ac:dyDescent="0.3">
      <c r="A64" s="4">
        <v>62</v>
      </c>
      <c r="B64" s="76">
        <v>21311</v>
      </c>
      <c r="C64" s="76" t="s">
        <v>166</v>
      </c>
      <c r="D64" s="76">
        <v>1</v>
      </c>
      <c r="E64" s="76" t="s">
        <v>222</v>
      </c>
      <c r="F64" s="76"/>
      <c r="G64" s="76" t="s">
        <v>168</v>
      </c>
      <c r="H64" s="215">
        <v>45909</v>
      </c>
      <c r="I64" s="215">
        <v>46203</v>
      </c>
      <c r="J64" s="255">
        <v>13580</v>
      </c>
      <c r="K64" s="211">
        <v>1182</v>
      </c>
      <c r="L64" s="211">
        <v>170</v>
      </c>
      <c r="M64" s="211">
        <v>120</v>
      </c>
      <c r="N64" s="211">
        <v>80</v>
      </c>
      <c r="O64" s="211">
        <f t="shared" si="21"/>
        <v>1552</v>
      </c>
      <c r="P64" s="211">
        <v>1055</v>
      </c>
      <c r="Q64" s="211">
        <v>53.2</v>
      </c>
      <c r="R64" s="211">
        <v>16.899999999999999</v>
      </c>
      <c r="S64" s="211"/>
      <c r="T64" s="211">
        <f t="shared" si="27"/>
        <v>1125.1000000000001</v>
      </c>
      <c r="U64" s="211">
        <f t="shared" si="22"/>
        <v>127</v>
      </c>
      <c r="V64" s="211">
        <f t="shared" si="23"/>
        <v>116.8</v>
      </c>
      <c r="W64" s="211">
        <f t="shared" si="24"/>
        <v>103.1</v>
      </c>
      <c r="X64" s="211">
        <f t="shared" si="25"/>
        <v>80</v>
      </c>
      <c r="Y64" s="211">
        <f t="shared" si="28"/>
        <v>426.9</v>
      </c>
      <c r="Z64" s="211">
        <f t="shared" si="29"/>
        <v>127</v>
      </c>
      <c r="AA64" s="211">
        <f t="shared" si="30"/>
        <v>116.5</v>
      </c>
      <c r="AB64" s="211">
        <f t="shared" si="31"/>
        <v>103</v>
      </c>
      <c r="AC64" s="211">
        <f t="shared" si="32"/>
        <v>80</v>
      </c>
      <c r="AD64" s="211">
        <f t="shared" si="33"/>
        <v>426.5</v>
      </c>
      <c r="AE64" s="76" t="s">
        <v>518</v>
      </c>
      <c r="AF64" s="76" t="s">
        <v>23</v>
      </c>
      <c r="AG64" s="298">
        <v>127</v>
      </c>
      <c r="AH64" s="298"/>
      <c r="AI64" s="298"/>
      <c r="AJ64" s="298"/>
      <c r="AK64" s="298"/>
      <c r="AL64" s="298"/>
      <c r="AM64" s="298"/>
      <c r="AN64" s="298"/>
      <c r="AO64" s="255"/>
      <c r="AP64" s="255"/>
      <c r="AQ64" s="255"/>
      <c r="AR64" s="255"/>
      <c r="AS64" s="76">
        <f t="shared" si="26"/>
        <v>127</v>
      </c>
      <c r="AT64" s="76" t="s">
        <v>518</v>
      </c>
      <c r="AU64" s="76" t="s">
        <v>23</v>
      </c>
      <c r="AV64" s="76">
        <v>35</v>
      </c>
      <c r="AW64" s="76">
        <f>58.5+23</f>
        <v>81.5</v>
      </c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>
        <f t="shared" si="34"/>
        <v>116.5</v>
      </c>
      <c r="BI64" s="76" t="s">
        <v>518</v>
      </c>
      <c r="BJ64" s="76" t="s">
        <v>23</v>
      </c>
      <c r="BK64" s="76">
        <v>103</v>
      </c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>
        <f t="shared" si="35"/>
        <v>103</v>
      </c>
      <c r="BX64" s="76" t="s">
        <v>518</v>
      </c>
      <c r="BY64" s="76" t="s">
        <v>23</v>
      </c>
      <c r="BZ64" s="76"/>
      <c r="CA64" s="76">
        <v>80</v>
      </c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>
        <f t="shared" si="36"/>
        <v>80</v>
      </c>
      <c r="CM64" s="211">
        <f t="shared" si="37"/>
        <v>0</v>
      </c>
      <c r="CN64" s="211">
        <f t="shared" si="38"/>
        <v>0.29999999999999716</v>
      </c>
      <c r="CO64" s="211">
        <f t="shared" si="39"/>
        <v>9.9999999999994316E-2</v>
      </c>
      <c r="CP64" s="211">
        <f t="shared" si="40"/>
        <v>0</v>
      </c>
    </row>
    <row r="65" spans="1:94" s="6" customFormat="1" ht="23.4" customHeight="1" x14ac:dyDescent="0.3">
      <c r="A65" s="78">
        <v>63</v>
      </c>
      <c r="B65" s="76">
        <v>21615</v>
      </c>
      <c r="C65" s="76" t="s">
        <v>166</v>
      </c>
      <c r="D65" s="76">
        <v>1</v>
      </c>
      <c r="E65" s="76" t="s">
        <v>223</v>
      </c>
      <c r="F65" s="76"/>
      <c r="G65" s="76" t="s">
        <v>585</v>
      </c>
      <c r="H65" s="215">
        <v>45912</v>
      </c>
      <c r="I65" s="215">
        <v>46168</v>
      </c>
      <c r="J65" s="255">
        <v>76705</v>
      </c>
      <c r="K65" s="211"/>
      <c r="L65" s="211"/>
      <c r="M65" s="211"/>
      <c r="N65" s="211">
        <v>100</v>
      </c>
      <c r="O65" s="211">
        <f t="shared" si="21"/>
        <v>100</v>
      </c>
      <c r="P65" s="211">
        <v>1</v>
      </c>
      <c r="Q65" s="211">
        <v>116.5</v>
      </c>
      <c r="R65" s="211">
        <v>1786</v>
      </c>
      <c r="S65" s="211">
        <v>1169</v>
      </c>
      <c r="T65" s="211">
        <f t="shared" si="27"/>
        <v>3072.5</v>
      </c>
      <c r="U65" s="211">
        <f t="shared" si="22"/>
        <v>-1</v>
      </c>
      <c r="V65" s="211">
        <f t="shared" si="23"/>
        <v>-116.5</v>
      </c>
      <c r="W65" s="211">
        <f t="shared" si="24"/>
        <v>-1786</v>
      </c>
      <c r="X65" s="211">
        <f t="shared" si="25"/>
        <v>-1069</v>
      </c>
      <c r="Y65" s="211">
        <f t="shared" si="28"/>
        <v>-2972.5</v>
      </c>
      <c r="Z65" s="211">
        <f t="shared" si="29"/>
        <v>0</v>
      </c>
      <c r="AA65" s="211">
        <f t="shared" si="30"/>
        <v>0</v>
      </c>
      <c r="AB65" s="211">
        <f t="shared" si="31"/>
        <v>0</v>
      </c>
      <c r="AC65" s="211">
        <f t="shared" si="32"/>
        <v>0</v>
      </c>
      <c r="AD65" s="211">
        <f t="shared" si="33"/>
        <v>0</v>
      </c>
      <c r="AE65" s="76" t="s">
        <v>518</v>
      </c>
      <c r="AF65" s="76" t="s">
        <v>23</v>
      </c>
      <c r="AG65" s="298"/>
      <c r="AH65" s="298"/>
      <c r="AI65" s="298"/>
      <c r="AJ65" s="298"/>
      <c r="AK65" s="298"/>
      <c r="AL65" s="298"/>
      <c r="AM65" s="298"/>
      <c r="AN65" s="298"/>
      <c r="AO65" s="255"/>
      <c r="AP65" s="255"/>
      <c r="AQ65" s="255"/>
      <c r="AR65" s="255"/>
      <c r="AS65" s="76">
        <f t="shared" si="26"/>
        <v>0</v>
      </c>
      <c r="AT65" s="76" t="s">
        <v>518</v>
      </c>
      <c r="AU65" s="76" t="s">
        <v>23</v>
      </c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>
        <f t="shared" si="34"/>
        <v>0</v>
      </c>
      <c r="BI65" s="76" t="s">
        <v>518</v>
      </c>
      <c r="BJ65" s="76" t="s">
        <v>23</v>
      </c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>
        <f t="shared" si="35"/>
        <v>0</v>
      </c>
      <c r="BX65" s="76" t="s">
        <v>518</v>
      </c>
      <c r="BY65" s="76" t="s">
        <v>23</v>
      </c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>
        <f t="shared" si="36"/>
        <v>0</v>
      </c>
      <c r="CM65" s="211">
        <f t="shared" si="37"/>
        <v>-1</v>
      </c>
      <c r="CN65" s="211">
        <f t="shared" si="38"/>
        <v>-116.5</v>
      </c>
      <c r="CO65" s="211">
        <f t="shared" si="39"/>
        <v>-1786</v>
      </c>
      <c r="CP65" s="211">
        <f t="shared" si="40"/>
        <v>-1069</v>
      </c>
    </row>
    <row r="66" spans="1:94" s="6" customFormat="1" ht="23.4" customHeight="1" x14ac:dyDescent="0.3">
      <c r="A66" s="4">
        <v>64</v>
      </c>
      <c r="B66" s="76" t="s">
        <v>228</v>
      </c>
      <c r="C66" s="76" t="s">
        <v>24</v>
      </c>
      <c r="D66" s="76">
        <v>2</v>
      </c>
      <c r="E66" s="76" t="s">
        <v>161</v>
      </c>
      <c r="F66" s="76"/>
      <c r="G66" s="76" t="s">
        <v>175</v>
      </c>
      <c r="H66" s="215">
        <v>45915</v>
      </c>
      <c r="I66" s="215" t="s">
        <v>227</v>
      </c>
      <c r="J66" s="255">
        <v>109414</v>
      </c>
      <c r="K66" s="211">
        <v>9200</v>
      </c>
      <c r="L66" s="211"/>
      <c r="M66" s="211">
        <v>200</v>
      </c>
      <c r="N66" s="211"/>
      <c r="O66" s="211">
        <f t="shared" si="21"/>
        <v>9400</v>
      </c>
      <c r="P66" s="211">
        <v>6333.31</v>
      </c>
      <c r="Q66" s="211">
        <v>308</v>
      </c>
      <c r="R66" s="211">
        <v>138</v>
      </c>
      <c r="S66" s="211"/>
      <c r="T66" s="211">
        <f t="shared" si="27"/>
        <v>6779.31</v>
      </c>
      <c r="U66" s="211">
        <f t="shared" si="22"/>
        <v>2866.6899999999996</v>
      </c>
      <c r="V66" s="211">
        <f t="shared" si="23"/>
        <v>-308</v>
      </c>
      <c r="W66" s="211">
        <f t="shared" si="24"/>
        <v>62</v>
      </c>
      <c r="X66" s="211">
        <f t="shared" si="25"/>
        <v>0</v>
      </c>
      <c r="Y66" s="211">
        <f t="shared" si="28"/>
        <v>2620.6899999999996</v>
      </c>
      <c r="Z66" s="211">
        <f t="shared" si="29"/>
        <v>2867</v>
      </c>
      <c r="AA66" s="211">
        <f t="shared" si="30"/>
        <v>0</v>
      </c>
      <c r="AB66" s="211">
        <f t="shared" si="31"/>
        <v>62</v>
      </c>
      <c r="AC66" s="211">
        <f t="shared" si="32"/>
        <v>0</v>
      </c>
      <c r="AD66" s="211">
        <f t="shared" si="33"/>
        <v>2929</v>
      </c>
      <c r="AE66" s="76" t="s">
        <v>518</v>
      </c>
      <c r="AF66" s="76" t="s">
        <v>24</v>
      </c>
      <c r="AG66" s="298">
        <v>1433.5</v>
      </c>
      <c r="AH66" s="298">
        <v>1433.5</v>
      </c>
      <c r="AI66" s="298"/>
      <c r="AJ66" s="298"/>
      <c r="AK66" s="298"/>
      <c r="AL66" s="298"/>
      <c r="AM66" s="298"/>
      <c r="AN66" s="298"/>
      <c r="AO66" s="255"/>
      <c r="AP66" s="255"/>
      <c r="AQ66" s="255"/>
      <c r="AR66" s="255"/>
      <c r="AS66" s="76">
        <f t="shared" si="26"/>
        <v>2867</v>
      </c>
      <c r="AT66" s="76" t="s">
        <v>518</v>
      </c>
      <c r="AU66" s="76" t="s">
        <v>24</v>
      </c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>
        <f t="shared" si="34"/>
        <v>0</v>
      </c>
      <c r="BI66" s="76" t="s">
        <v>518</v>
      </c>
      <c r="BJ66" s="76" t="s">
        <v>24</v>
      </c>
      <c r="BK66" s="76">
        <v>62</v>
      </c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>
        <f t="shared" si="35"/>
        <v>62</v>
      </c>
      <c r="BX66" s="76" t="s">
        <v>518</v>
      </c>
      <c r="BY66" s="76" t="s">
        <v>24</v>
      </c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>
        <f t="shared" si="36"/>
        <v>0</v>
      </c>
      <c r="CM66" s="211">
        <f t="shared" si="37"/>
        <v>-0.31000000000040018</v>
      </c>
      <c r="CN66" s="211">
        <f t="shared" si="38"/>
        <v>-308</v>
      </c>
      <c r="CO66" s="211">
        <f t="shared" si="39"/>
        <v>0</v>
      </c>
      <c r="CP66" s="211">
        <f t="shared" si="40"/>
        <v>0</v>
      </c>
    </row>
    <row r="67" spans="1:94" s="6" customFormat="1" ht="23.4" customHeight="1" x14ac:dyDescent="0.3">
      <c r="A67" s="78">
        <v>65</v>
      </c>
      <c r="B67" s="76" t="s">
        <v>229</v>
      </c>
      <c r="C67" s="76" t="s">
        <v>24</v>
      </c>
      <c r="D67" s="76">
        <v>2</v>
      </c>
      <c r="E67" s="76" t="s">
        <v>224</v>
      </c>
      <c r="F67" s="76" t="s">
        <v>505</v>
      </c>
      <c r="G67" s="76" t="s">
        <v>174</v>
      </c>
      <c r="H67" s="215">
        <v>45915</v>
      </c>
      <c r="I67" s="215" t="s">
        <v>227</v>
      </c>
      <c r="J67" s="255">
        <v>63966</v>
      </c>
      <c r="K67" s="211">
        <v>11470</v>
      </c>
      <c r="L67" s="211"/>
      <c r="M67" s="211">
        <v>200</v>
      </c>
      <c r="N67" s="211"/>
      <c r="O67" s="211">
        <f t="shared" si="21"/>
        <v>11670</v>
      </c>
      <c r="P67" s="211">
        <v>12229.14</v>
      </c>
      <c r="Q67" s="211">
        <v>11.8</v>
      </c>
      <c r="R67" s="211">
        <v>517.12</v>
      </c>
      <c r="S67" s="211"/>
      <c r="T67" s="211">
        <f t="shared" si="27"/>
        <v>12758.06</v>
      </c>
      <c r="U67" s="211">
        <f t="shared" si="22"/>
        <v>-759.13999999999942</v>
      </c>
      <c r="V67" s="211">
        <f t="shared" si="23"/>
        <v>-11.8</v>
      </c>
      <c r="W67" s="211">
        <f t="shared" si="24"/>
        <v>-317.12</v>
      </c>
      <c r="X67" s="211">
        <f t="shared" si="25"/>
        <v>0</v>
      </c>
      <c r="Y67" s="211">
        <f t="shared" si="28"/>
        <v>-1088.0599999999995</v>
      </c>
      <c r="Z67" s="211">
        <f t="shared" si="29"/>
        <v>4437</v>
      </c>
      <c r="AA67" s="211">
        <f t="shared" si="30"/>
        <v>3</v>
      </c>
      <c r="AB67" s="211">
        <f t="shared" si="31"/>
        <v>165</v>
      </c>
      <c r="AC67" s="211">
        <f t="shared" si="32"/>
        <v>0</v>
      </c>
      <c r="AD67" s="211">
        <f t="shared" si="33"/>
        <v>4605</v>
      </c>
      <c r="AE67" s="76" t="s">
        <v>518</v>
      </c>
      <c r="AF67" s="76" t="s">
        <v>24</v>
      </c>
      <c r="AG67" s="298">
        <v>4437</v>
      </c>
      <c r="AH67" s="298"/>
      <c r="AI67" s="298"/>
      <c r="AJ67" s="298"/>
      <c r="AK67" s="298"/>
      <c r="AL67" s="298"/>
      <c r="AM67" s="298"/>
      <c r="AN67" s="298"/>
      <c r="AO67" s="255"/>
      <c r="AP67" s="255"/>
      <c r="AQ67" s="255"/>
      <c r="AR67" s="255"/>
      <c r="AS67" s="76">
        <f t="shared" si="26"/>
        <v>4437</v>
      </c>
      <c r="AT67" s="76" t="s">
        <v>518</v>
      </c>
      <c r="AU67" s="76" t="s">
        <v>24</v>
      </c>
      <c r="AV67" s="76">
        <v>3</v>
      </c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>
        <f t="shared" si="34"/>
        <v>3</v>
      </c>
      <c r="BI67" s="76" t="s">
        <v>518</v>
      </c>
      <c r="BJ67" s="76" t="s">
        <v>24</v>
      </c>
      <c r="BK67" s="76">
        <v>165</v>
      </c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>
        <f t="shared" si="35"/>
        <v>165</v>
      </c>
      <c r="BX67" s="76" t="s">
        <v>518</v>
      </c>
      <c r="BY67" s="76" t="s">
        <v>24</v>
      </c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>
        <f t="shared" si="36"/>
        <v>0</v>
      </c>
      <c r="CM67" s="211">
        <f t="shared" si="37"/>
        <v>-5196.1399999999994</v>
      </c>
      <c r="CN67" s="211">
        <f t="shared" si="38"/>
        <v>-14.8</v>
      </c>
      <c r="CO67" s="211">
        <f t="shared" si="39"/>
        <v>-482.12</v>
      </c>
      <c r="CP67" s="211">
        <f t="shared" si="40"/>
        <v>0</v>
      </c>
    </row>
    <row r="68" spans="1:94" s="6" customFormat="1" ht="23.4" customHeight="1" x14ac:dyDescent="0.3">
      <c r="A68" s="4">
        <v>66</v>
      </c>
      <c r="B68" s="76" t="s">
        <v>228</v>
      </c>
      <c r="C68" s="76" t="s">
        <v>24</v>
      </c>
      <c r="D68" s="76">
        <v>12</v>
      </c>
      <c r="E68" s="76" t="s">
        <v>230</v>
      </c>
      <c r="F68" s="76"/>
      <c r="G68" s="76" t="s">
        <v>189</v>
      </c>
      <c r="H68" s="215">
        <v>45925</v>
      </c>
      <c r="I68" s="215" t="s">
        <v>227</v>
      </c>
      <c r="J68" s="255">
        <v>1780</v>
      </c>
      <c r="K68" s="211">
        <v>776</v>
      </c>
      <c r="L68" s="211">
        <v>62</v>
      </c>
      <c r="M68" s="211">
        <v>240</v>
      </c>
      <c r="N68" s="211"/>
      <c r="O68" s="211">
        <f t="shared" si="21"/>
        <v>1078</v>
      </c>
      <c r="P68" s="211"/>
      <c r="Q68" s="211"/>
      <c r="R68" s="211"/>
      <c r="S68" s="211"/>
      <c r="T68" s="211">
        <f t="shared" si="27"/>
        <v>0</v>
      </c>
      <c r="U68" s="211">
        <f t="shared" si="22"/>
        <v>776</v>
      </c>
      <c r="V68" s="211">
        <f t="shared" si="23"/>
        <v>62</v>
      </c>
      <c r="W68" s="211">
        <f t="shared" si="24"/>
        <v>240</v>
      </c>
      <c r="X68" s="211">
        <f t="shared" si="25"/>
        <v>0</v>
      </c>
      <c r="Y68" s="211">
        <f t="shared" si="28"/>
        <v>1078</v>
      </c>
      <c r="Z68" s="211">
        <f t="shared" si="29"/>
        <v>776</v>
      </c>
      <c r="AA68" s="211">
        <f t="shared" si="30"/>
        <v>62</v>
      </c>
      <c r="AB68" s="211">
        <f t="shared" si="31"/>
        <v>240</v>
      </c>
      <c r="AC68" s="211">
        <f t="shared" si="32"/>
        <v>0</v>
      </c>
      <c r="AD68" s="211">
        <f t="shared" si="33"/>
        <v>1078</v>
      </c>
      <c r="AE68" s="76" t="s">
        <v>518</v>
      </c>
      <c r="AF68" s="76" t="s">
        <v>24</v>
      </c>
      <c r="AG68" s="298">
        <v>776</v>
      </c>
      <c r="AH68" s="298"/>
      <c r="AI68" s="298"/>
      <c r="AJ68" s="298"/>
      <c r="AK68" s="298"/>
      <c r="AL68" s="298"/>
      <c r="AM68" s="298"/>
      <c r="AN68" s="298"/>
      <c r="AO68" s="255"/>
      <c r="AP68" s="255"/>
      <c r="AQ68" s="255"/>
      <c r="AR68" s="255"/>
      <c r="AS68" s="76">
        <f t="shared" si="26"/>
        <v>776</v>
      </c>
      <c r="AT68" s="76" t="s">
        <v>518</v>
      </c>
      <c r="AU68" s="76" t="s">
        <v>24</v>
      </c>
      <c r="AV68" s="76"/>
      <c r="AW68" s="76">
        <v>62</v>
      </c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>
        <f t="shared" si="34"/>
        <v>62</v>
      </c>
      <c r="BI68" s="76" t="s">
        <v>518</v>
      </c>
      <c r="BJ68" s="76" t="s">
        <v>24</v>
      </c>
      <c r="BK68" s="76">
        <v>240</v>
      </c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>
        <f t="shared" si="35"/>
        <v>240</v>
      </c>
      <c r="BX68" s="76" t="s">
        <v>518</v>
      </c>
      <c r="BY68" s="76" t="s">
        <v>24</v>
      </c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>
        <f t="shared" si="36"/>
        <v>0</v>
      </c>
      <c r="CM68" s="211">
        <f t="shared" si="37"/>
        <v>0</v>
      </c>
      <c r="CN68" s="211">
        <f t="shared" si="38"/>
        <v>0</v>
      </c>
      <c r="CO68" s="211">
        <f t="shared" si="39"/>
        <v>0</v>
      </c>
      <c r="CP68" s="211">
        <f t="shared" si="40"/>
        <v>0</v>
      </c>
    </row>
    <row r="69" spans="1:94" s="6" customFormat="1" ht="23.4" customHeight="1" x14ac:dyDescent="0.3">
      <c r="A69" s="78">
        <v>67</v>
      </c>
      <c r="B69" s="76">
        <v>22002</v>
      </c>
      <c r="C69" s="76" t="s">
        <v>166</v>
      </c>
      <c r="D69" s="76">
        <v>1</v>
      </c>
      <c r="E69" s="76" t="s">
        <v>225</v>
      </c>
      <c r="F69" s="76"/>
      <c r="G69" s="76" t="s">
        <v>583</v>
      </c>
      <c r="H69" s="215">
        <v>45919</v>
      </c>
      <c r="I69" s="215">
        <v>46070</v>
      </c>
      <c r="J69" s="255">
        <v>1781</v>
      </c>
      <c r="K69" s="211"/>
      <c r="L69" s="211">
        <v>230</v>
      </c>
      <c r="M69" s="211"/>
      <c r="N69" s="211">
        <v>100</v>
      </c>
      <c r="O69" s="211">
        <f t="shared" si="21"/>
        <v>330</v>
      </c>
      <c r="P69" s="211">
        <v>15</v>
      </c>
      <c r="Q69" s="211">
        <v>234.5</v>
      </c>
      <c r="R69" s="211">
        <v>164.5</v>
      </c>
      <c r="S69" s="211"/>
      <c r="T69" s="211">
        <f t="shared" si="27"/>
        <v>414</v>
      </c>
      <c r="U69" s="211">
        <f t="shared" si="22"/>
        <v>-15</v>
      </c>
      <c r="V69" s="211">
        <f t="shared" si="23"/>
        <v>-4.5</v>
      </c>
      <c r="W69" s="211">
        <f t="shared" si="24"/>
        <v>-164.5</v>
      </c>
      <c r="X69" s="211">
        <f t="shared" si="25"/>
        <v>100</v>
      </c>
      <c r="Y69" s="211">
        <f t="shared" si="28"/>
        <v>-84</v>
      </c>
      <c r="Z69" s="211">
        <f t="shared" si="29"/>
        <v>0</v>
      </c>
      <c r="AA69" s="211">
        <f t="shared" si="30"/>
        <v>0</v>
      </c>
      <c r="AB69" s="211">
        <f t="shared" si="31"/>
        <v>0</v>
      </c>
      <c r="AC69" s="211">
        <f t="shared" si="32"/>
        <v>100</v>
      </c>
      <c r="AD69" s="211">
        <f t="shared" si="33"/>
        <v>100</v>
      </c>
      <c r="AE69" s="76" t="s">
        <v>518</v>
      </c>
      <c r="AF69" s="76" t="s">
        <v>23</v>
      </c>
      <c r="AG69" s="298"/>
      <c r="AH69" s="298"/>
      <c r="AI69" s="298"/>
      <c r="AJ69" s="298"/>
      <c r="AK69" s="298"/>
      <c r="AL69" s="298"/>
      <c r="AM69" s="298"/>
      <c r="AN69" s="298"/>
      <c r="AO69" s="255"/>
      <c r="AP69" s="255"/>
      <c r="AQ69" s="255"/>
      <c r="AR69" s="255"/>
      <c r="AS69" s="76">
        <f t="shared" si="26"/>
        <v>0</v>
      </c>
      <c r="AT69" s="76" t="s">
        <v>518</v>
      </c>
      <c r="AU69" s="76" t="s">
        <v>23</v>
      </c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>
        <f t="shared" si="34"/>
        <v>0</v>
      </c>
      <c r="BI69" s="76" t="s">
        <v>518</v>
      </c>
      <c r="BJ69" s="76" t="s">
        <v>23</v>
      </c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>
        <f t="shared" si="35"/>
        <v>0</v>
      </c>
      <c r="BX69" s="76" t="s">
        <v>518</v>
      </c>
      <c r="BY69" s="76" t="s">
        <v>23</v>
      </c>
      <c r="BZ69" s="76">
        <v>100</v>
      </c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>
        <f t="shared" si="36"/>
        <v>100</v>
      </c>
      <c r="CM69" s="211">
        <f t="shared" si="37"/>
        <v>-15</v>
      </c>
      <c r="CN69" s="211">
        <f t="shared" si="38"/>
        <v>-4.5</v>
      </c>
      <c r="CO69" s="211">
        <f t="shared" si="39"/>
        <v>-164.5</v>
      </c>
      <c r="CP69" s="211">
        <f t="shared" si="40"/>
        <v>0</v>
      </c>
    </row>
    <row r="70" spans="1:94" s="6" customFormat="1" ht="23.4" customHeight="1" x14ac:dyDescent="0.3">
      <c r="A70" s="4">
        <v>68</v>
      </c>
      <c r="B70" s="76" t="s">
        <v>261</v>
      </c>
      <c r="C70" s="76">
        <v>21135</v>
      </c>
      <c r="D70" s="76">
        <v>1</v>
      </c>
      <c r="E70" s="76" t="s">
        <v>262</v>
      </c>
      <c r="F70" s="76"/>
      <c r="G70" s="76" t="s">
        <v>158</v>
      </c>
      <c r="H70" s="215">
        <v>45919</v>
      </c>
      <c r="I70" s="215">
        <v>46203</v>
      </c>
      <c r="J70" s="255">
        <v>33920</v>
      </c>
      <c r="K70" s="211">
        <v>310</v>
      </c>
      <c r="L70" s="211">
        <v>190</v>
      </c>
      <c r="M70" s="211">
        <v>190</v>
      </c>
      <c r="N70" s="211">
        <v>300</v>
      </c>
      <c r="O70" s="211">
        <f t="shared" si="21"/>
        <v>990</v>
      </c>
      <c r="P70" s="211">
        <v>1068.3</v>
      </c>
      <c r="Q70" s="211">
        <v>23.8</v>
      </c>
      <c r="R70" s="211">
        <v>72.599999999999994</v>
      </c>
      <c r="S70" s="211"/>
      <c r="T70" s="211">
        <f t="shared" si="27"/>
        <v>1164.6999999999998</v>
      </c>
      <c r="U70" s="211">
        <f t="shared" si="22"/>
        <v>-758.3</v>
      </c>
      <c r="V70" s="211">
        <f t="shared" si="23"/>
        <v>166.2</v>
      </c>
      <c r="W70" s="211">
        <f t="shared" si="24"/>
        <v>117.4</v>
      </c>
      <c r="X70" s="211">
        <f t="shared" si="25"/>
        <v>300</v>
      </c>
      <c r="Y70" s="211">
        <f t="shared" si="28"/>
        <v>-174.69999999999993</v>
      </c>
      <c r="Z70" s="211">
        <f t="shared" si="29"/>
        <v>100</v>
      </c>
      <c r="AA70" s="211">
        <f t="shared" si="30"/>
        <v>166</v>
      </c>
      <c r="AB70" s="211">
        <f t="shared" si="31"/>
        <v>0</v>
      </c>
      <c r="AC70" s="211">
        <f t="shared" si="32"/>
        <v>300</v>
      </c>
      <c r="AD70" s="211">
        <f t="shared" si="33"/>
        <v>566</v>
      </c>
      <c r="AE70" s="76" t="s">
        <v>518</v>
      </c>
      <c r="AF70" s="76" t="s">
        <v>23</v>
      </c>
      <c r="AG70" s="298">
        <v>100</v>
      </c>
      <c r="AH70" s="298"/>
      <c r="AI70" s="298"/>
      <c r="AJ70" s="298"/>
      <c r="AK70" s="298"/>
      <c r="AL70" s="298"/>
      <c r="AM70" s="298"/>
      <c r="AN70" s="298"/>
      <c r="AO70" s="255"/>
      <c r="AP70" s="255"/>
      <c r="AQ70" s="255"/>
      <c r="AR70" s="255"/>
      <c r="AS70" s="76">
        <f t="shared" si="26"/>
        <v>100</v>
      </c>
      <c r="AT70" s="76" t="s">
        <v>518</v>
      </c>
      <c r="AU70" s="76" t="s">
        <v>23</v>
      </c>
      <c r="AV70" s="76">
        <v>166</v>
      </c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>
        <f t="shared" si="34"/>
        <v>166</v>
      </c>
      <c r="BI70" s="76" t="s">
        <v>518</v>
      </c>
      <c r="BJ70" s="76" t="s">
        <v>23</v>
      </c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>
        <f t="shared" si="35"/>
        <v>0</v>
      </c>
      <c r="BX70" s="76" t="s">
        <v>518</v>
      </c>
      <c r="BY70" s="76" t="s">
        <v>23</v>
      </c>
      <c r="BZ70" s="76"/>
      <c r="CA70" s="76">
        <v>300</v>
      </c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>
        <f t="shared" si="36"/>
        <v>300</v>
      </c>
      <c r="CM70" s="211">
        <f t="shared" si="37"/>
        <v>-858.3</v>
      </c>
      <c r="CN70" s="211">
        <f t="shared" si="38"/>
        <v>0.19999999999998863</v>
      </c>
      <c r="CO70" s="211">
        <f t="shared" si="39"/>
        <v>117.4</v>
      </c>
      <c r="CP70" s="211">
        <f t="shared" si="40"/>
        <v>0</v>
      </c>
    </row>
    <row r="71" spans="1:94" s="6" customFormat="1" ht="23.4" customHeight="1" x14ac:dyDescent="0.3">
      <c r="A71" s="78">
        <v>69</v>
      </c>
      <c r="B71" s="76">
        <v>14154</v>
      </c>
      <c r="C71" s="76" t="s">
        <v>166</v>
      </c>
      <c r="D71" s="76">
        <v>1</v>
      </c>
      <c r="E71" s="76" t="s">
        <v>226</v>
      </c>
      <c r="F71" s="76" t="s">
        <v>505</v>
      </c>
      <c r="G71" s="76" t="s">
        <v>213</v>
      </c>
      <c r="H71" s="215">
        <v>45922</v>
      </c>
      <c r="I71" s="215">
        <v>46070</v>
      </c>
      <c r="J71" s="255">
        <v>5816</v>
      </c>
      <c r="K71" s="211">
        <v>7</v>
      </c>
      <c r="L71" s="211">
        <v>113</v>
      </c>
      <c r="M71" s="211"/>
      <c r="N71" s="211"/>
      <c r="O71" s="211">
        <f t="shared" si="21"/>
        <v>120</v>
      </c>
      <c r="P71" s="211">
        <v>10.8</v>
      </c>
      <c r="Q71" s="211">
        <v>183</v>
      </c>
      <c r="R71" s="211">
        <v>39.450000000000003</v>
      </c>
      <c r="S71" s="211">
        <v>10</v>
      </c>
      <c r="T71" s="211">
        <f t="shared" si="27"/>
        <v>243.25</v>
      </c>
      <c r="U71" s="211">
        <f t="shared" si="22"/>
        <v>-3.8000000000000007</v>
      </c>
      <c r="V71" s="211">
        <f t="shared" si="23"/>
        <v>-70</v>
      </c>
      <c r="W71" s="211">
        <f t="shared" si="24"/>
        <v>-39.450000000000003</v>
      </c>
      <c r="X71" s="211">
        <f t="shared" si="25"/>
        <v>-10</v>
      </c>
      <c r="Y71" s="211">
        <f t="shared" si="28"/>
        <v>-123.25</v>
      </c>
      <c r="Z71" s="211">
        <f t="shared" si="29"/>
        <v>0</v>
      </c>
      <c r="AA71" s="211">
        <f t="shared" si="30"/>
        <v>0</v>
      </c>
      <c r="AB71" s="211">
        <f t="shared" si="31"/>
        <v>0</v>
      </c>
      <c r="AC71" s="211">
        <f t="shared" si="32"/>
        <v>0</v>
      </c>
      <c r="AD71" s="211">
        <f t="shared" si="33"/>
        <v>0</v>
      </c>
      <c r="AE71" s="76" t="s">
        <v>518</v>
      </c>
      <c r="AF71" s="76" t="s">
        <v>23</v>
      </c>
      <c r="AG71" s="298"/>
      <c r="AH71" s="298"/>
      <c r="AI71" s="298"/>
      <c r="AJ71" s="298"/>
      <c r="AK71" s="298"/>
      <c r="AL71" s="298"/>
      <c r="AM71" s="298"/>
      <c r="AN71" s="298"/>
      <c r="AO71" s="255"/>
      <c r="AP71" s="255"/>
      <c r="AQ71" s="255"/>
      <c r="AR71" s="255"/>
      <c r="AS71" s="76">
        <f t="shared" si="26"/>
        <v>0</v>
      </c>
      <c r="AT71" s="76" t="s">
        <v>518</v>
      </c>
      <c r="AU71" s="76" t="s">
        <v>23</v>
      </c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>
        <f t="shared" si="34"/>
        <v>0</v>
      </c>
      <c r="BI71" s="76" t="s">
        <v>518</v>
      </c>
      <c r="BJ71" s="76" t="s">
        <v>23</v>
      </c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>
        <f t="shared" si="35"/>
        <v>0</v>
      </c>
      <c r="BX71" s="76" t="s">
        <v>518</v>
      </c>
      <c r="BY71" s="76" t="s">
        <v>23</v>
      </c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>
        <f t="shared" si="36"/>
        <v>0</v>
      </c>
      <c r="CM71" s="211">
        <f t="shared" si="37"/>
        <v>-3.8000000000000007</v>
      </c>
      <c r="CN71" s="211">
        <f t="shared" si="38"/>
        <v>-70</v>
      </c>
      <c r="CO71" s="211">
        <f t="shared" si="39"/>
        <v>-39.450000000000003</v>
      </c>
      <c r="CP71" s="211">
        <f t="shared" si="40"/>
        <v>-10</v>
      </c>
    </row>
    <row r="72" spans="1:94" s="6" customFormat="1" ht="22.95" customHeight="1" x14ac:dyDescent="0.3">
      <c r="A72" s="4">
        <v>70</v>
      </c>
      <c r="B72" s="76">
        <v>22085</v>
      </c>
      <c r="C72" s="76" t="s">
        <v>166</v>
      </c>
      <c r="D72" s="76">
        <f>1+1+1</f>
        <v>3</v>
      </c>
      <c r="E72" s="76" t="s">
        <v>231</v>
      </c>
      <c r="F72" s="76"/>
      <c r="G72" s="76" t="s">
        <v>174</v>
      </c>
      <c r="H72" s="215">
        <v>45923</v>
      </c>
      <c r="I72" s="215">
        <v>46142</v>
      </c>
      <c r="J72" s="255">
        <v>27289</v>
      </c>
      <c r="K72" s="211">
        <v>3800</v>
      </c>
      <c r="L72" s="211">
        <v>40</v>
      </c>
      <c r="M72" s="211">
        <v>28</v>
      </c>
      <c r="N72" s="211"/>
      <c r="O72" s="211">
        <f t="shared" si="21"/>
        <v>3868</v>
      </c>
      <c r="P72" s="211">
        <v>3634.5</v>
      </c>
      <c r="Q72" s="211">
        <v>14.6</v>
      </c>
      <c r="R72" s="211">
        <v>47.65</v>
      </c>
      <c r="S72" s="211"/>
      <c r="T72" s="211">
        <f t="shared" si="27"/>
        <v>3696.75</v>
      </c>
      <c r="U72" s="211">
        <f t="shared" si="22"/>
        <v>165.5</v>
      </c>
      <c r="V72" s="211">
        <f t="shared" si="23"/>
        <v>25.4</v>
      </c>
      <c r="W72" s="211">
        <f t="shared" si="24"/>
        <v>-19.649999999999999</v>
      </c>
      <c r="X72" s="211">
        <f t="shared" si="25"/>
        <v>0</v>
      </c>
      <c r="Y72" s="211">
        <f t="shared" si="28"/>
        <v>171.25</v>
      </c>
      <c r="Z72" s="211">
        <f t="shared" si="29"/>
        <v>166</v>
      </c>
      <c r="AA72" s="211">
        <f t="shared" si="30"/>
        <v>25</v>
      </c>
      <c r="AB72" s="211">
        <f t="shared" si="31"/>
        <v>0</v>
      </c>
      <c r="AC72" s="211">
        <f t="shared" si="32"/>
        <v>0</v>
      </c>
      <c r="AD72" s="211">
        <f t="shared" si="33"/>
        <v>191</v>
      </c>
      <c r="AE72" s="76" t="s">
        <v>518</v>
      </c>
      <c r="AF72" s="76" t="s">
        <v>23</v>
      </c>
      <c r="AG72" s="298">
        <v>166</v>
      </c>
      <c r="AH72" s="298"/>
      <c r="AI72" s="298"/>
      <c r="AJ72" s="298"/>
      <c r="AK72" s="298"/>
      <c r="AL72" s="298"/>
      <c r="AM72" s="298"/>
      <c r="AN72" s="298"/>
      <c r="AO72" s="255"/>
      <c r="AP72" s="255"/>
      <c r="AQ72" s="255"/>
      <c r="AR72" s="255"/>
      <c r="AS72" s="76">
        <f t="shared" si="26"/>
        <v>166</v>
      </c>
      <c r="AT72" s="76" t="s">
        <v>518</v>
      </c>
      <c r="AU72" s="76" t="s">
        <v>23</v>
      </c>
      <c r="AV72" s="76">
        <v>25</v>
      </c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>
        <f t="shared" si="34"/>
        <v>25</v>
      </c>
      <c r="BI72" s="76" t="s">
        <v>518</v>
      </c>
      <c r="BJ72" s="76" t="s">
        <v>23</v>
      </c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>
        <f t="shared" si="35"/>
        <v>0</v>
      </c>
      <c r="BX72" s="76" t="s">
        <v>518</v>
      </c>
      <c r="BY72" s="76" t="s">
        <v>23</v>
      </c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>
        <f t="shared" si="36"/>
        <v>0</v>
      </c>
      <c r="CM72" s="211">
        <f t="shared" si="37"/>
        <v>-0.5</v>
      </c>
      <c r="CN72" s="211">
        <f t="shared" si="38"/>
        <v>0.39999999999999858</v>
      </c>
      <c r="CO72" s="211">
        <f t="shared" si="39"/>
        <v>-19.649999999999999</v>
      </c>
      <c r="CP72" s="211">
        <f t="shared" si="40"/>
        <v>0</v>
      </c>
    </row>
    <row r="73" spans="1:94" s="6" customFormat="1" ht="23.4" customHeight="1" x14ac:dyDescent="0.3">
      <c r="A73" s="78">
        <v>71</v>
      </c>
      <c r="B73" s="76">
        <v>21010</v>
      </c>
      <c r="C73" s="76" t="s">
        <v>166</v>
      </c>
      <c r="D73" s="76">
        <v>1</v>
      </c>
      <c r="E73" s="76" t="s">
        <v>188</v>
      </c>
      <c r="F73" s="76"/>
      <c r="G73" s="76" t="s">
        <v>178</v>
      </c>
      <c r="H73" s="215">
        <v>45930</v>
      </c>
      <c r="I73" s="215"/>
      <c r="J73" s="255">
        <v>210</v>
      </c>
      <c r="K73" s="211"/>
      <c r="L73" s="211"/>
      <c r="M73" s="211"/>
      <c r="N73" s="211"/>
      <c r="O73" s="211">
        <f t="shared" si="21"/>
        <v>0</v>
      </c>
      <c r="P73" s="211"/>
      <c r="Q73" s="211"/>
      <c r="R73" s="211"/>
      <c r="S73" s="211"/>
      <c r="T73" s="211">
        <f t="shared" si="27"/>
        <v>0</v>
      </c>
      <c r="U73" s="211">
        <f t="shared" si="22"/>
        <v>0</v>
      </c>
      <c r="V73" s="211">
        <f t="shared" si="23"/>
        <v>0</v>
      </c>
      <c r="W73" s="211">
        <f t="shared" si="24"/>
        <v>0</v>
      </c>
      <c r="X73" s="211">
        <f t="shared" si="25"/>
        <v>0</v>
      </c>
      <c r="Y73" s="211">
        <f t="shared" si="28"/>
        <v>0</v>
      </c>
      <c r="Z73" s="211">
        <f t="shared" si="29"/>
        <v>0</v>
      </c>
      <c r="AA73" s="211">
        <f t="shared" si="30"/>
        <v>0</v>
      </c>
      <c r="AB73" s="211">
        <f t="shared" si="31"/>
        <v>0</v>
      </c>
      <c r="AC73" s="211">
        <f t="shared" si="32"/>
        <v>0</v>
      </c>
      <c r="AD73" s="211">
        <f t="shared" si="33"/>
        <v>0</v>
      </c>
      <c r="AE73" s="76" t="s">
        <v>518</v>
      </c>
      <c r="AF73" s="76" t="s">
        <v>23</v>
      </c>
      <c r="AG73" s="298"/>
      <c r="AH73" s="298"/>
      <c r="AI73" s="298"/>
      <c r="AJ73" s="298"/>
      <c r="AK73" s="298"/>
      <c r="AL73" s="298"/>
      <c r="AM73" s="298"/>
      <c r="AN73" s="298"/>
      <c r="AO73" s="255"/>
      <c r="AP73" s="255"/>
      <c r="AQ73" s="255"/>
      <c r="AR73" s="255"/>
      <c r="AS73" s="76">
        <f t="shared" si="26"/>
        <v>0</v>
      </c>
      <c r="AT73" s="76" t="s">
        <v>518</v>
      </c>
      <c r="AU73" s="76" t="s">
        <v>23</v>
      </c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>
        <f t="shared" si="34"/>
        <v>0</v>
      </c>
      <c r="BI73" s="76" t="s">
        <v>518</v>
      </c>
      <c r="BJ73" s="76" t="s">
        <v>23</v>
      </c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>
        <f t="shared" si="35"/>
        <v>0</v>
      </c>
      <c r="BX73" s="76" t="s">
        <v>518</v>
      </c>
      <c r="BY73" s="76" t="s">
        <v>23</v>
      </c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>
        <f t="shared" si="36"/>
        <v>0</v>
      </c>
      <c r="CM73" s="211">
        <f t="shared" si="37"/>
        <v>0</v>
      </c>
      <c r="CN73" s="211">
        <f t="shared" si="38"/>
        <v>0</v>
      </c>
      <c r="CO73" s="211">
        <f t="shared" si="39"/>
        <v>0</v>
      </c>
      <c r="CP73" s="211">
        <f t="shared" si="40"/>
        <v>0</v>
      </c>
    </row>
    <row r="74" spans="1:94" s="6" customFormat="1" ht="25.2" x14ac:dyDescent="0.3">
      <c r="A74" s="4">
        <v>72</v>
      </c>
      <c r="B74" s="76" t="s">
        <v>304</v>
      </c>
      <c r="C74" s="76">
        <v>24910</v>
      </c>
      <c r="D74" s="76">
        <v>3</v>
      </c>
      <c r="E74" s="76" t="s">
        <v>274</v>
      </c>
      <c r="F74" s="76"/>
      <c r="G74" s="76" t="s">
        <v>174</v>
      </c>
      <c r="H74" s="215">
        <v>45931</v>
      </c>
      <c r="I74" s="215">
        <v>46356</v>
      </c>
      <c r="J74" s="255">
        <v>163400</v>
      </c>
      <c r="K74" s="211">
        <v>67096</v>
      </c>
      <c r="L74" s="211">
        <v>1634</v>
      </c>
      <c r="M74" s="211"/>
      <c r="N74" s="211"/>
      <c r="O74" s="211">
        <f t="shared" si="21"/>
        <v>68730</v>
      </c>
      <c r="P74" s="211">
        <v>5641.06</v>
      </c>
      <c r="Q74" s="211"/>
      <c r="R74" s="211"/>
      <c r="S74" s="211"/>
      <c r="T74" s="211">
        <f t="shared" si="27"/>
        <v>5641.06</v>
      </c>
      <c r="U74" s="211">
        <f t="shared" si="22"/>
        <v>61454.94</v>
      </c>
      <c r="V74" s="211">
        <f t="shared" si="23"/>
        <v>1634</v>
      </c>
      <c r="W74" s="211">
        <f t="shared" si="24"/>
        <v>0</v>
      </c>
      <c r="X74" s="211">
        <f t="shared" si="25"/>
        <v>0</v>
      </c>
      <c r="Y74" s="211">
        <f t="shared" si="28"/>
        <v>63088.94</v>
      </c>
      <c r="Z74" s="211">
        <f t="shared" si="29"/>
        <v>61455</v>
      </c>
      <c r="AA74" s="211">
        <f t="shared" si="30"/>
        <v>1633</v>
      </c>
      <c r="AB74" s="211">
        <f t="shared" si="31"/>
        <v>0</v>
      </c>
      <c r="AC74" s="211">
        <f t="shared" si="32"/>
        <v>0</v>
      </c>
      <c r="AD74" s="211">
        <f t="shared" si="33"/>
        <v>63088</v>
      </c>
      <c r="AE74" s="76" t="s">
        <v>517</v>
      </c>
      <c r="AF74" s="76" t="s">
        <v>22</v>
      </c>
      <c r="AG74" s="298">
        <v>10242.5</v>
      </c>
      <c r="AH74" s="298">
        <v>10242.5</v>
      </c>
      <c r="AI74" s="298">
        <v>10242.5</v>
      </c>
      <c r="AJ74" s="298">
        <v>10242.5</v>
      </c>
      <c r="AK74" s="298">
        <v>10242.5</v>
      </c>
      <c r="AL74" s="298">
        <v>10242.5</v>
      </c>
      <c r="AM74" s="298"/>
      <c r="AN74" s="298"/>
      <c r="AO74" s="255"/>
      <c r="AP74" s="255"/>
      <c r="AQ74" s="255"/>
      <c r="AR74" s="255"/>
      <c r="AS74" s="76">
        <f t="shared" si="26"/>
        <v>61455</v>
      </c>
      <c r="AT74" s="76" t="s">
        <v>517</v>
      </c>
      <c r="AU74" s="76" t="s">
        <v>22</v>
      </c>
      <c r="AV74" s="76">
        <v>327</v>
      </c>
      <c r="AW74" s="76">
        <v>327</v>
      </c>
      <c r="AX74" s="76">
        <v>327</v>
      </c>
      <c r="AY74" s="76">
        <v>326</v>
      </c>
      <c r="AZ74" s="76">
        <v>326</v>
      </c>
      <c r="BA74" s="76"/>
      <c r="BB74" s="76"/>
      <c r="BC74" s="76"/>
      <c r="BD74" s="76"/>
      <c r="BE74" s="76"/>
      <c r="BF74" s="76"/>
      <c r="BG74" s="76"/>
      <c r="BH74" s="76">
        <f t="shared" si="34"/>
        <v>1633</v>
      </c>
      <c r="BI74" s="76" t="s">
        <v>517</v>
      </c>
      <c r="BJ74" s="76" t="s">
        <v>22</v>
      </c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>
        <f t="shared" si="35"/>
        <v>0</v>
      </c>
      <c r="BX74" s="76" t="s">
        <v>517</v>
      </c>
      <c r="BY74" s="76" t="s">
        <v>22</v>
      </c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>
        <f t="shared" si="36"/>
        <v>0</v>
      </c>
      <c r="CM74" s="211">
        <f t="shared" si="37"/>
        <v>-5.9999999997671694E-2</v>
      </c>
      <c r="CN74" s="211">
        <f t="shared" si="38"/>
        <v>1</v>
      </c>
      <c r="CO74" s="211">
        <f t="shared" si="39"/>
        <v>0</v>
      </c>
      <c r="CP74" s="211">
        <f t="shared" si="40"/>
        <v>0</v>
      </c>
    </row>
    <row r="75" spans="1:94" s="6" customFormat="1" ht="25.2" x14ac:dyDescent="0.3">
      <c r="A75" s="78">
        <v>73</v>
      </c>
      <c r="B75" s="76">
        <v>22574</v>
      </c>
      <c r="C75" s="76" t="s">
        <v>166</v>
      </c>
      <c r="D75" s="76">
        <v>2</v>
      </c>
      <c r="E75" s="76" t="s">
        <v>233</v>
      </c>
      <c r="F75" s="76"/>
      <c r="G75" s="76" t="s">
        <v>174</v>
      </c>
      <c r="H75" s="215">
        <v>45931</v>
      </c>
      <c r="I75" s="215">
        <v>46193</v>
      </c>
      <c r="J75" s="255">
        <v>13252</v>
      </c>
      <c r="K75" s="211">
        <v>4670</v>
      </c>
      <c r="L75" s="211"/>
      <c r="M75" s="211">
        <v>46</v>
      </c>
      <c r="N75" s="211"/>
      <c r="O75" s="211">
        <f t="shared" si="21"/>
        <v>4716</v>
      </c>
      <c r="P75" s="211">
        <v>323</v>
      </c>
      <c r="Q75" s="211"/>
      <c r="R75" s="211"/>
      <c r="S75" s="211"/>
      <c r="T75" s="211">
        <f t="shared" si="27"/>
        <v>323</v>
      </c>
      <c r="U75" s="211">
        <f t="shared" si="22"/>
        <v>4347</v>
      </c>
      <c r="V75" s="211">
        <f t="shared" si="23"/>
        <v>0</v>
      </c>
      <c r="W75" s="211">
        <f t="shared" si="24"/>
        <v>46</v>
      </c>
      <c r="X75" s="211">
        <f t="shared" si="25"/>
        <v>0</v>
      </c>
      <c r="Y75" s="211">
        <f t="shared" si="28"/>
        <v>4393</v>
      </c>
      <c r="Z75" s="211">
        <f t="shared" si="29"/>
        <v>4347</v>
      </c>
      <c r="AA75" s="211">
        <f t="shared" si="30"/>
        <v>0</v>
      </c>
      <c r="AB75" s="211">
        <f t="shared" si="31"/>
        <v>46</v>
      </c>
      <c r="AC75" s="211">
        <f t="shared" si="32"/>
        <v>0</v>
      </c>
      <c r="AD75" s="211">
        <f t="shared" si="33"/>
        <v>4393</v>
      </c>
      <c r="AE75" s="76" t="s">
        <v>518</v>
      </c>
      <c r="AF75" s="76" t="s">
        <v>23</v>
      </c>
      <c r="AG75" s="298">
        <v>1449</v>
      </c>
      <c r="AH75" s="298">
        <v>1449</v>
      </c>
      <c r="AI75" s="298">
        <v>1449</v>
      </c>
      <c r="AJ75" s="298"/>
      <c r="AK75" s="298"/>
      <c r="AL75" s="298"/>
      <c r="AM75" s="298"/>
      <c r="AN75" s="298"/>
      <c r="AO75" s="255"/>
      <c r="AP75" s="255"/>
      <c r="AQ75" s="255"/>
      <c r="AR75" s="255"/>
      <c r="AS75" s="76">
        <f t="shared" si="26"/>
        <v>4347</v>
      </c>
      <c r="AT75" s="76" t="s">
        <v>518</v>
      </c>
      <c r="AU75" s="76" t="s">
        <v>23</v>
      </c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>
        <f t="shared" si="34"/>
        <v>0</v>
      </c>
      <c r="BI75" s="76" t="s">
        <v>518</v>
      </c>
      <c r="BJ75" s="76" t="s">
        <v>23</v>
      </c>
      <c r="BK75" s="76"/>
      <c r="BL75" s="76"/>
      <c r="BM75" s="76">
        <v>46</v>
      </c>
      <c r="BN75" s="76"/>
      <c r="BO75" s="76"/>
      <c r="BP75" s="76"/>
      <c r="BQ75" s="76"/>
      <c r="BR75" s="76"/>
      <c r="BS75" s="76"/>
      <c r="BT75" s="76"/>
      <c r="BU75" s="76"/>
      <c r="BV75" s="76"/>
      <c r="BW75" s="76">
        <f t="shared" si="35"/>
        <v>46</v>
      </c>
      <c r="BX75" s="76" t="s">
        <v>518</v>
      </c>
      <c r="BY75" s="76" t="s">
        <v>23</v>
      </c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>
        <f t="shared" si="36"/>
        <v>0</v>
      </c>
      <c r="CM75" s="211">
        <f t="shared" si="37"/>
        <v>0</v>
      </c>
      <c r="CN75" s="211">
        <f t="shared" si="38"/>
        <v>0</v>
      </c>
      <c r="CO75" s="211">
        <f t="shared" si="39"/>
        <v>0</v>
      </c>
      <c r="CP75" s="211">
        <f t="shared" si="40"/>
        <v>0</v>
      </c>
    </row>
    <row r="76" spans="1:94" s="6" customFormat="1" ht="37.799999999999997" x14ac:dyDescent="0.3">
      <c r="A76" s="4">
        <v>74</v>
      </c>
      <c r="B76" s="76">
        <v>22797</v>
      </c>
      <c r="C76" s="76" t="s">
        <v>166</v>
      </c>
      <c r="D76" s="76">
        <v>5</v>
      </c>
      <c r="E76" s="76" t="s">
        <v>234</v>
      </c>
      <c r="F76" s="76"/>
      <c r="G76" s="76" t="s">
        <v>174</v>
      </c>
      <c r="H76" s="215">
        <v>45938</v>
      </c>
      <c r="I76" s="215">
        <v>46173</v>
      </c>
      <c r="J76" s="255">
        <v>46190</v>
      </c>
      <c r="K76" s="211">
        <v>10456</v>
      </c>
      <c r="L76" s="211"/>
      <c r="M76" s="211">
        <v>240</v>
      </c>
      <c r="N76" s="211"/>
      <c r="O76" s="211">
        <f t="shared" si="21"/>
        <v>10696</v>
      </c>
      <c r="P76" s="211">
        <v>5411</v>
      </c>
      <c r="Q76" s="211"/>
      <c r="R76" s="211"/>
      <c r="S76" s="211"/>
      <c r="T76" s="211">
        <f t="shared" si="27"/>
        <v>5411</v>
      </c>
      <c r="U76" s="211">
        <f t="shared" si="22"/>
        <v>5045</v>
      </c>
      <c r="V76" s="211">
        <f t="shared" si="23"/>
        <v>0</v>
      </c>
      <c r="W76" s="211">
        <f t="shared" si="24"/>
        <v>240</v>
      </c>
      <c r="X76" s="211">
        <f t="shared" si="25"/>
        <v>0</v>
      </c>
      <c r="Y76" s="211">
        <f t="shared" si="28"/>
        <v>5285</v>
      </c>
      <c r="Z76" s="211">
        <f t="shared" si="29"/>
        <v>5045</v>
      </c>
      <c r="AA76" s="211">
        <f t="shared" si="30"/>
        <v>0</v>
      </c>
      <c r="AB76" s="211">
        <f t="shared" si="31"/>
        <v>240</v>
      </c>
      <c r="AC76" s="211">
        <f t="shared" si="32"/>
        <v>0</v>
      </c>
      <c r="AD76" s="211">
        <f t="shared" si="33"/>
        <v>5285</v>
      </c>
      <c r="AE76" s="76" t="s">
        <v>518</v>
      </c>
      <c r="AF76" s="76" t="s">
        <v>23</v>
      </c>
      <c r="AG76" s="298">
        <v>1261.25</v>
      </c>
      <c r="AH76" s="298">
        <v>1261.25</v>
      </c>
      <c r="AI76" s="298">
        <v>1261.25</v>
      </c>
      <c r="AJ76" s="298">
        <v>1261.25</v>
      </c>
      <c r="AK76" s="298"/>
      <c r="AL76" s="298"/>
      <c r="AM76" s="298"/>
      <c r="AN76" s="298"/>
      <c r="AO76" s="255"/>
      <c r="AP76" s="255"/>
      <c r="AQ76" s="255"/>
      <c r="AR76" s="255"/>
      <c r="AS76" s="76">
        <f t="shared" si="26"/>
        <v>5045</v>
      </c>
      <c r="AT76" s="76" t="s">
        <v>518</v>
      </c>
      <c r="AU76" s="76" t="s">
        <v>23</v>
      </c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>
        <f t="shared" si="34"/>
        <v>0</v>
      </c>
      <c r="BI76" s="76" t="s">
        <v>518</v>
      </c>
      <c r="BJ76" s="76" t="s">
        <v>23</v>
      </c>
      <c r="BK76" s="76">
        <v>40</v>
      </c>
      <c r="BL76" s="76">
        <v>100</v>
      </c>
      <c r="BM76" s="76">
        <v>100</v>
      </c>
      <c r="BN76" s="76"/>
      <c r="BO76" s="76"/>
      <c r="BP76" s="76"/>
      <c r="BQ76" s="76"/>
      <c r="BR76" s="76"/>
      <c r="BS76" s="76"/>
      <c r="BT76" s="76"/>
      <c r="BU76" s="76"/>
      <c r="BV76" s="76"/>
      <c r="BW76" s="76">
        <f t="shared" si="35"/>
        <v>240</v>
      </c>
      <c r="BX76" s="76" t="s">
        <v>518</v>
      </c>
      <c r="BY76" s="76" t="s">
        <v>23</v>
      </c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>
        <f t="shared" si="36"/>
        <v>0</v>
      </c>
      <c r="CM76" s="211">
        <f t="shared" si="37"/>
        <v>0</v>
      </c>
      <c r="CN76" s="211">
        <f t="shared" si="38"/>
        <v>0</v>
      </c>
      <c r="CO76" s="211">
        <f t="shared" si="39"/>
        <v>0</v>
      </c>
      <c r="CP76" s="211">
        <f t="shared" si="40"/>
        <v>0</v>
      </c>
    </row>
    <row r="77" spans="1:94" s="6" customFormat="1" ht="32.4" customHeight="1" x14ac:dyDescent="0.3">
      <c r="A77" s="78">
        <v>75</v>
      </c>
      <c r="B77" s="76">
        <v>23426</v>
      </c>
      <c r="C77" s="76" t="s">
        <v>166</v>
      </c>
      <c r="D77" s="76">
        <v>1</v>
      </c>
      <c r="E77" s="76" t="s">
        <v>235</v>
      </c>
      <c r="F77" s="76"/>
      <c r="G77" s="76" t="s">
        <v>176</v>
      </c>
      <c r="H77" s="215">
        <v>45931</v>
      </c>
      <c r="I77" s="215">
        <v>46223</v>
      </c>
      <c r="J77" s="255">
        <v>47405</v>
      </c>
      <c r="K77" s="211"/>
      <c r="L77" s="211"/>
      <c r="M77" s="211"/>
      <c r="N77" s="211">
        <v>50</v>
      </c>
      <c r="O77" s="211">
        <f t="shared" si="21"/>
        <v>50</v>
      </c>
      <c r="P77" s="211"/>
      <c r="Q77" s="211"/>
      <c r="R77" s="211"/>
      <c r="S77" s="211"/>
      <c r="T77" s="211">
        <f t="shared" si="27"/>
        <v>0</v>
      </c>
      <c r="U77" s="211">
        <f t="shared" si="22"/>
        <v>0</v>
      </c>
      <c r="V77" s="211">
        <f t="shared" si="23"/>
        <v>0</v>
      </c>
      <c r="W77" s="211">
        <f t="shared" si="24"/>
        <v>0</v>
      </c>
      <c r="X77" s="211">
        <f t="shared" si="25"/>
        <v>50</v>
      </c>
      <c r="Y77" s="211">
        <f t="shared" si="28"/>
        <v>50</v>
      </c>
      <c r="Z77" s="211">
        <f t="shared" si="29"/>
        <v>0</v>
      </c>
      <c r="AA77" s="211">
        <f t="shared" si="30"/>
        <v>0</v>
      </c>
      <c r="AB77" s="211">
        <f t="shared" si="31"/>
        <v>0</v>
      </c>
      <c r="AC77" s="211">
        <f t="shared" si="32"/>
        <v>50</v>
      </c>
      <c r="AD77" s="211">
        <f t="shared" si="33"/>
        <v>50</v>
      </c>
      <c r="AE77" s="76" t="s">
        <v>516</v>
      </c>
      <c r="AF77" s="76" t="s">
        <v>22</v>
      </c>
      <c r="AG77" s="298"/>
      <c r="AH77" s="298"/>
      <c r="AI77" s="298"/>
      <c r="AJ77" s="298"/>
      <c r="AK77" s="298"/>
      <c r="AL77" s="298"/>
      <c r="AM77" s="298"/>
      <c r="AN77" s="298"/>
      <c r="AO77" s="255"/>
      <c r="AP77" s="255"/>
      <c r="AQ77" s="255"/>
      <c r="AR77" s="255"/>
      <c r="AS77" s="76">
        <f t="shared" si="26"/>
        <v>0</v>
      </c>
      <c r="AT77" s="76" t="s">
        <v>516</v>
      </c>
      <c r="AU77" s="76" t="s">
        <v>22</v>
      </c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>
        <f t="shared" si="34"/>
        <v>0</v>
      </c>
      <c r="BI77" s="76" t="s">
        <v>516</v>
      </c>
      <c r="BJ77" s="76" t="s">
        <v>22</v>
      </c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>
        <f t="shared" si="35"/>
        <v>0</v>
      </c>
      <c r="BX77" s="76" t="s">
        <v>516</v>
      </c>
      <c r="BY77" s="76" t="s">
        <v>22</v>
      </c>
      <c r="BZ77" s="76"/>
      <c r="CA77" s="76">
        <v>50</v>
      </c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>
        <f t="shared" si="36"/>
        <v>50</v>
      </c>
      <c r="CM77" s="211">
        <f t="shared" si="37"/>
        <v>0</v>
      </c>
      <c r="CN77" s="211">
        <f t="shared" si="38"/>
        <v>0</v>
      </c>
      <c r="CO77" s="211">
        <f t="shared" si="39"/>
        <v>0</v>
      </c>
      <c r="CP77" s="211">
        <f t="shared" si="40"/>
        <v>0</v>
      </c>
    </row>
    <row r="78" spans="1:94" s="6" customFormat="1" ht="32.4" customHeight="1" x14ac:dyDescent="0.3">
      <c r="A78" s="4">
        <v>76</v>
      </c>
      <c r="B78" s="76">
        <v>23424</v>
      </c>
      <c r="C78" s="76" t="s">
        <v>166</v>
      </c>
      <c r="D78" s="76">
        <v>1</v>
      </c>
      <c r="E78" s="76" t="s">
        <v>236</v>
      </c>
      <c r="F78" s="76"/>
      <c r="G78" s="76" t="s">
        <v>176</v>
      </c>
      <c r="H78" s="215">
        <v>45931</v>
      </c>
      <c r="I78" s="215">
        <v>46218</v>
      </c>
      <c r="J78" s="255">
        <v>47405</v>
      </c>
      <c r="K78" s="211">
        <v>4112.2759227272727</v>
      </c>
      <c r="L78" s="211">
        <v>110</v>
      </c>
      <c r="M78" s="211">
        <v>255</v>
      </c>
      <c r="N78" s="211"/>
      <c r="O78" s="211">
        <f t="shared" si="21"/>
        <v>4477.2759227272727</v>
      </c>
      <c r="P78" s="211">
        <v>3940</v>
      </c>
      <c r="Q78" s="211"/>
      <c r="R78" s="211"/>
      <c r="S78" s="211"/>
      <c r="T78" s="211">
        <f t="shared" si="27"/>
        <v>3940</v>
      </c>
      <c r="U78" s="211">
        <f t="shared" si="22"/>
        <v>172.2759227272727</v>
      </c>
      <c r="V78" s="211">
        <f t="shared" si="23"/>
        <v>110</v>
      </c>
      <c r="W78" s="211">
        <f t="shared" si="24"/>
        <v>255</v>
      </c>
      <c r="X78" s="211">
        <f t="shared" si="25"/>
        <v>0</v>
      </c>
      <c r="Y78" s="211">
        <f t="shared" si="28"/>
        <v>537.2759227272727</v>
      </c>
      <c r="Z78" s="211">
        <f t="shared" si="29"/>
        <v>172</v>
      </c>
      <c r="AA78" s="211">
        <f t="shared" si="30"/>
        <v>110</v>
      </c>
      <c r="AB78" s="211">
        <f t="shared" si="31"/>
        <v>255</v>
      </c>
      <c r="AC78" s="211">
        <f t="shared" si="32"/>
        <v>0</v>
      </c>
      <c r="AD78" s="211">
        <f t="shared" si="33"/>
        <v>537</v>
      </c>
      <c r="AE78" s="76" t="s">
        <v>516</v>
      </c>
      <c r="AF78" s="76" t="s">
        <v>22</v>
      </c>
      <c r="AG78" s="298">
        <v>100</v>
      </c>
      <c r="AH78" s="298">
        <v>72</v>
      </c>
      <c r="AI78" s="298"/>
      <c r="AJ78" s="298"/>
      <c r="AK78" s="298"/>
      <c r="AL78" s="298"/>
      <c r="AM78" s="298"/>
      <c r="AN78" s="298"/>
      <c r="AO78" s="255"/>
      <c r="AP78" s="255"/>
      <c r="AQ78" s="255"/>
      <c r="AR78" s="255"/>
      <c r="AS78" s="76">
        <f t="shared" si="26"/>
        <v>172</v>
      </c>
      <c r="AT78" s="76" t="s">
        <v>516</v>
      </c>
      <c r="AU78" s="76" t="s">
        <v>22</v>
      </c>
      <c r="AV78" s="76"/>
      <c r="AW78" s="76">
        <v>110</v>
      </c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>
        <f t="shared" si="34"/>
        <v>110</v>
      </c>
      <c r="BI78" s="76" t="s">
        <v>516</v>
      </c>
      <c r="BJ78" s="76" t="s">
        <v>22</v>
      </c>
      <c r="BK78" s="76"/>
      <c r="BL78" s="76">
        <v>255</v>
      </c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>
        <f t="shared" si="35"/>
        <v>255</v>
      </c>
      <c r="BX78" s="76" t="s">
        <v>516</v>
      </c>
      <c r="BY78" s="76" t="s">
        <v>22</v>
      </c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>
        <f t="shared" si="36"/>
        <v>0</v>
      </c>
      <c r="CM78" s="211">
        <f t="shared" si="37"/>
        <v>0.27592272727270029</v>
      </c>
      <c r="CN78" s="211">
        <f t="shared" si="38"/>
        <v>0</v>
      </c>
      <c r="CO78" s="211">
        <f t="shared" si="39"/>
        <v>0</v>
      </c>
      <c r="CP78" s="211">
        <f t="shared" si="40"/>
        <v>0</v>
      </c>
    </row>
    <row r="79" spans="1:94" s="6" customFormat="1" ht="32.4" customHeight="1" x14ac:dyDescent="0.3">
      <c r="A79" s="78">
        <v>77</v>
      </c>
      <c r="B79" s="76">
        <v>22795</v>
      </c>
      <c r="C79" s="76" t="s">
        <v>166</v>
      </c>
      <c r="D79" s="76">
        <v>2</v>
      </c>
      <c r="E79" s="76" t="s">
        <v>237</v>
      </c>
      <c r="F79" s="76"/>
      <c r="G79" s="76" t="s">
        <v>178</v>
      </c>
      <c r="H79" s="215">
        <v>45940</v>
      </c>
      <c r="I79" s="215">
        <v>46074</v>
      </c>
      <c r="J79" s="255">
        <v>6100</v>
      </c>
      <c r="K79" s="211">
        <v>1850</v>
      </c>
      <c r="L79" s="211"/>
      <c r="M79" s="211">
        <v>40</v>
      </c>
      <c r="N79" s="211"/>
      <c r="O79" s="211">
        <f t="shared" si="21"/>
        <v>1890</v>
      </c>
      <c r="P79" s="211">
        <v>115.45</v>
      </c>
      <c r="Q79" s="211"/>
      <c r="R79" s="211">
        <v>22.8</v>
      </c>
      <c r="S79" s="211"/>
      <c r="T79" s="211">
        <f t="shared" si="27"/>
        <v>138.25</v>
      </c>
      <c r="U79" s="211">
        <f t="shared" si="22"/>
        <v>1734.55</v>
      </c>
      <c r="V79" s="211">
        <f t="shared" si="23"/>
        <v>0</v>
      </c>
      <c r="W79" s="211">
        <f t="shared" si="24"/>
        <v>17.2</v>
      </c>
      <c r="X79" s="211">
        <f t="shared" si="25"/>
        <v>0</v>
      </c>
      <c r="Y79" s="211">
        <f t="shared" si="28"/>
        <v>1751.75</v>
      </c>
      <c r="Z79" s="211">
        <f t="shared" si="29"/>
        <v>1735</v>
      </c>
      <c r="AA79" s="211">
        <f t="shared" si="30"/>
        <v>0</v>
      </c>
      <c r="AB79" s="211">
        <f t="shared" si="31"/>
        <v>17</v>
      </c>
      <c r="AC79" s="211">
        <f t="shared" si="32"/>
        <v>0</v>
      </c>
      <c r="AD79" s="211">
        <f t="shared" si="33"/>
        <v>1752</v>
      </c>
      <c r="AE79" s="76" t="s">
        <v>518</v>
      </c>
      <c r="AF79" s="76" t="s">
        <v>23</v>
      </c>
      <c r="AG79" s="298">
        <v>579</v>
      </c>
      <c r="AH79" s="298">
        <v>578</v>
      </c>
      <c r="AI79" s="298">
        <v>578</v>
      </c>
      <c r="AJ79" s="298"/>
      <c r="AK79" s="298"/>
      <c r="AL79" s="298"/>
      <c r="AM79" s="298"/>
      <c r="AN79" s="298"/>
      <c r="AO79" s="255"/>
      <c r="AP79" s="255"/>
      <c r="AQ79" s="255"/>
      <c r="AR79" s="255"/>
      <c r="AS79" s="76">
        <f t="shared" si="26"/>
        <v>1735</v>
      </c>
      <c r="AT79" s="76" t="s">
        <v>518</v>
      </c>
      <c r="AU79" s="76" t="s">
        <v>23</v>
      </c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>
        <f t="shared" si="34"/>
        <v>0</v>
      </c>
      <c r="BI79" s="76" t="s">
        <v>518</v>
      </c>
      <c r="BJ79" s="76" t="s">
        <v>23</v>
      </c>
      <c r="BK79" s="76"/>
      <c r="BL79" s="76">
        <v>17</v>
      </c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>
        <f t="shared" si="35"/>
        <v>17</v>
      </c>
      <c r="BX79" s="76" t="s">
        <v>518</v>
      </c>
      <c r="BY79" s="76" t="s">
        <v>23</v>
      </c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>
        <f t="shared" si="36"/>
        <v>0</v>
      </c>
      <c r="CM79" s="211">
        <f t="shared" si="37"/>
        <v>-0.45000000000004547</v>
      </c>
      <c r="CN79" s="211">
        <f t="shared" si="38"/>
        <v>0</v>
      </c>
      <c r="CO79" s="211">
        <f t="shared" si="39"/>
        <v>0.19999999999999929</v>
      </c>
      <c r="CP79" s="211">
        <f t="shared" si="40"/>
        <v>0</v>
      </c>
    </row>
    <row r="80" spans="1:94" s="6" customFormat="1" ht="37.799999999999997" x14ac:dyDescent="0.3">
      <c r="A80" s="4">
        <v>78</v>
      </c>
      <c r="B80" s="76" t="s">
        <v>258</v>
      </c>
      <c r="C80" s="76">
        <v>22335</v>
      </c>
      <c r="D80" s="76">
        <v>24</v>
      </c>
      <c r="E80" s="76" t="s">
        <v>141</v>
      </c>
      <c r="F80" s="76" t="s">
        <v>506</v>
      </c>
      <c r="G80" s="76" t="s">
        <v>158</v>
      </c>
      <c r="H80" s="215">
        <v>45946</v>
      </c>
      <c r="I80" s="215">
        <v>46203</v>
      </c>
      <c r="J80" s="255">
        <v>13570</v>
      </c>
      <c r="K80" s="211">
        <v>22</v>
      </c>
      <c r="L80" s="211"/>
      <c r="M80" s="211"/>
      <c r="N80" s="211">
        <v>400</v>
      </c>
      <c r="O80" s="211">
        <f t="shared" si="21"/>
        <v>422</v>
      </c>
      <c r="P80" s="211"/>
      <c r="Q80" s="211"/>
      <c r="R80" s="211"/>
      <c r="S80" s="211"/>
      <c r="T80" s="211">
        <f t="shared" si="27"/>
        <v>0</v>
      </c>
      <c r="U80" s="211">
        <f t="shared" si="22"/>
        <v>22</v>
      </c>
      <c r="V80" s="211">
        <f t="shared" si="23"/>
        <v>0</v>
      </c>
      <c r="W80" s="211">
        <f t="shared" si="24"/>
        <v>0</v>
      </c>
      <c r="X80" s="211">
        <f t="shared" si="25"/>
        <v>400</v>
      </c>
      <c r="Y80" s="211">
        <f t="shared" si="28"/>
        <v>422</v>
      </c>
      <c r="Z80" s="211">
        <f t="shared" si="29"/>
        <v>0</v>
      </c>
      <c r="AA80" s="211">
        <f t="shared" si="30"/>
        <v>0</v>
      </c>
      <c r="AB80" s="211">
        <f t="shared" si="31"/>
        <v>0</v>
      </c>
      <c r="AC80" s="211">
        <f t="shared" si="32"/>
        <v>400</v>
      </c>
      <c r="AD80" s="211">
        <f t="shared" si="33"/>
        <v>400</v>
      </c>
      <c r="AE80" s="76" t="s">
        <v>518</v>
      </c>
      <c r="AF80" s="76" t="s">
        <v>23</v>
      </c>
      <c r="AG80" s="298"/>
      <c r="AH80" s="298"/>
      <c r="AI80" s="298"/>
      <c r="AJ80" s="298"/>
      <c r="AK80" s="298"/>
      <c r="AL80" s="298"/>
      <c r="AM80" s="298"/>
      <c r="AN80" s="298"/>
      <c r="AO80" s="255"/>
      <c r="AP80" s="255"/>
      <c r="AQ80" s="255"/>
      <c r="AR80" s="255"/>
      <c r="AS80" s="76">
        <f t="shared" si="26"/>
        <v>0</v>
      </c>
      <c r="AT80" s="76" t="s">
        <v>518</v>
      </c>
      <c r="AU80" s="76" t="s">
        <v>23</v>
      </c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>
        <f t="shared" si="34"/>
        <v>0</v>
      </c>
      <c r="BI80" s="76" t="s">
        <v>518</v>
      </c>
      <c r="BJ80" s="76" t="s">
        <v>23</v>
      </c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>
        <f t="shared" si="35"/>
        <v>0</v>
      </c>
      <c r="BX80" s="76" t="s">
        <v>518</v>
      </c>
      <c r="BY80" s="76" t="s">
        <v>23</v>
      </c>
      <c r="BZ80" s="76"/>
      <c r="CA80" s="76"/>
      <c r="CB80" s="76">
        <v>400</v>
      </c>
      <c r="CC80" s="76"/>
      <c r="CD80" s="76"/>
      <c r="CE80" s="76"/>
      <c r="CF80" s="76"/>
      <c r="CG80" s="76"/>
      <c r="CH80" s="76"/>
      <c r="CI80" s="76"/>
      <c r="CJ80" s="76"/>
      <c r="CK80" s="76"/>
      <c r="CL80" s="76">
        <f t="shared" si="36"/>
        <v>400</v>
      </c>
      <c r="CM80" s="211">
        <f t="shared" si="37"/>
        <v>22</v>
      </c>
      <c r="CN80" s="211">
        <f t="shared" si="38"/>
        <v>0</v>
      </c>
      <c r="CO80" s="211">
        <f t="shared" si="39"/>
        <v>0</v>
      </c>
      <c r="CP80" s="211">
        <f t="shared" si="40"/>
        <v>0</v>
      </c>
    </row>
    <row r="81" spans="1:94" s="6" customFormat="1" ht="25.2" x14ac:dyDescent="0.3">
      <c r="A81" s="78">
        <v>79</v>
      </c>
      <c r="B81" s="76">
        <v>23583</v>
      </c>
      <c r="C81" s="76" t="s">
        <v>166</v>
      </c>
      <c r="D81" s="76">
        <v>3</v>
      </c>
      <c r="E81" s="76" t="s">
        <v>239</v>
      </c>
      <c r="F81" s="76"/>
      <c r="G81" s="76" t="s">
        <v>178</v>
      </c>
      <c r="H81" s="215">
        <v>45952</v>
      </c>
      <c r="I81" s="215">
        <v>46220</v>
      </c>
      <c r="J81" s="255">
        <v>9710</v>
      </c>
      <c r="K81" s="211"/>
      <c r="L81" s="211"/>
      <c r="M81" s="211">
        <v>18</v>
      </c>
      <c r="N81" s="211">
        <v>500</v>
      </c>
      <c r="O81" s="211">
        <f t="shared" si="21"/>
        <v>518</v>
      </c>
      <c r="P81" s="211">
        <v>15.5</v>
      </c>
      <c r="Q81" s="211">
        <v>35.4</v>
      </c>
      <c r="R81" s="211">
        <v>6</v>
      </c>
      <c r="S81" s="211">
        <v>25.5</v>
      </c>
      <c r="T81" s="211">
        <f t="shared" si="27"/>
        <v>82.4</v>
      </c>
      <c r="U81" s="211">
        <f t="shared" si="22"/>
        <v>-15.5</v>
      </c>
      <c r="V81" s="211">
        <f t="shared" si="23"/>
        <v>-35.4</v>
      </c>
      <c r="W81" s="211">
        <f t="shared" si="24"/>
        <v>12</v>
      </c>
      <c r="X81" s="211">
        <f t="shared" si="25"/>
        <v>474.5</v>
      </c>
      <c r="Y81" s="211">
        <f t="shared" si="28"/>
        <v>435.6</v>
      </c>
      <c r="Z81" s="211">
        <f t="shared" si="29"/>
        <v>0</v>
      </c>
      <c r="AA81" s="211">
        <f t="shared" si="30"/>
        <v>0</v>
      </c>
      <c r="AB81" s="211">
        <f t="shared" si="31"/>
        <v>12</v>
      </c>
      <c r="AC81" s="211">
        <f t="shared" si="32"/>
        <v>0</v>
      </c>
      <c r="AD81" s="211">
        <f t="shared" si="33"/>
        <v>12</v>
      </c>
      <c r="AE81" s="76" t="s">
        <v>518</v>
      </c>
      <c r="AF81" s="76" t="s">
        <v>23</v>
      </c>
      <c r="AG81" s="298"/>
      <c r="AH81" s="298"/>
      <c r="AI81" s="298"/>
      <c r="AJ81" s="298"/>
      <c r="AK81" s="298"/>
      <c r="AL81" s="298"/>
      <c r="AM81" s="298"/>
      <c r="AN81" s="298"/>
      <c r="AO81" s="255"/>
      <c r="AP81" s="255"/>
      <c r="AQ81" s="255"/>
      <c r="AR81" s="255"/>
      <c r="AS81" s="76">
        <f t="shared" si="26"/>
        <v>0</v>
      </c>
      <c r="AT81" s="76" t="s">
        <v>518</v>
      </c>
      <c r="AU81" s="76" t="s">
        <v>23</v>
      </c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>
        <f t="shared" si="34"/>
        <v>0</v>
      </c>
      <c r="BI81" s="76" t="s">
        <v>518</v>
      </c>
      <c r="BJ81" s="76" t="s">
        <v>23</v>
      </c>
      <c r="BK81" s="76">
        <v>12</v>
      </c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>
        <f t="shared" si="35"/>
        <v>12</v>
      </c>
      <c r="BX81" s="76" t="s">
        <v>518</v>
      </c>
      <c r="BY81" s="76" t="s">
        <v>23</v>
      </c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>
        <f t="shared" si="36"/>
        <v>0</v>
      </c>
      <c r="CM81" s="211">
        <f t="shared" si="37"/>
        <v>-15.5</v>
      </c>
      <c r="CN81" s="211">
        <f t="shared" si="38"/>
        <v>-35.4</v>
      </c>
      <c r="CO81" s="211">
        <f t="shared" si="39"/>
        <v>0</v>
      </c>
      <c r="CP81" s="211">
        <f t="shared" si="40"/>
        <v>474.5</v>
      </c>
    </row>
    <row r="82" spans="1:94" s="6" customFormat="1" ht="25.2" x14ac:dyDescent="0.3">
      <c r="A82" s="4">
        <v>80</v>
      </c>
      <c r="B82" s="76">
        <v>23047</v>
      </c>
      <c r="C82" s="76" t="s">
        <v>166</v>
      </c>
      <c r="D82" s="76">
        <v>1</v>
      </c>
      <c r="E82" s="76" t="s">
        <v>240</v>
      </c>
      <c r="F82" s="76"/>
      <c r="G82" s="76" t="s">
        <v>213</v>
      </c>
      <c r="H82" s="215">
        <v>45952</v>
      </c>
      <c r="I82" s="215">
        <v>46164</v>
      </c>
      <c r="J82" s="255">
        <v>3413</v>
      </c>
      <c r="K82" s="211">
        <v>24</v>
      </c>
      <c r="L82" s="211">
        <v>852</v>
      </c>
      <c r="M82" s="211">
        <v>152</v>
      </c>
      <c r="N82" s="211">
        <v>192</v>
      </c>
      <c r="O82" s="211">
        <f t="shared" si="21"/>
        <v>1220</v>
      </c>
      <c r="P82" s="211"/>
      <c r="Q82" s="211"/>
      <c r="R82" s="211">
        <v>215</v>
      </c>
      <c r="S82" s="211"/>
      <c r="T82" s="211">
        <f t="shared" si="27"/>
        <v>215</v>
      </c>
      <c r="U82" s="211">
        <f t="shared" si="22"/>
        <v>24</v>
      </c>
      <c r="V82" s="211">
        <f t="shared" si="23"/>
        <v>852</v>
      </c>
      <c r="W82" s="211">
        <f t="shared" si="24"/>
        <v>-63</v>
      </c>
      <c r="X82" s="211">
        <f t="shared" si="25"/>
        <v>192</v>
      </c>
      <c r="Y82" s="211">
        <f t="shared" si="28"/>
        <v>1005</v>
      </c>
      <c r="Z82" s="211">
        <f t="shared" si="29"/>
        <v>24</v>
      </c>
      <c r="AA82" s="211">
        <f t="shared" si="30"/>
        <v>852</v>
      </c>
      <c r="AB82" s="211">
        <f t="shared" si="31"/>
        <v>0</v>
      </c>
      <c r="AC82" s="211">
        <f t="shared" si="32"/>
        <v>0</v>
      </c>
      <c r="AD82" s="211">
        <f t="shared" si="33"/>
        <v>876</v>
      </c>
      <c r="AE82" s="76" t="s">
        <v>518</v>
      </c>
      <c r="AF82" s="76" t="s">
        <v>23</v>
      </c>
      <c r="AG82" s="298">
        <v>24</v>
      </c>
      <c r="AH82" s="298"/>
      <c r="AI82" s="298"/>
      <c r="AJ82" s="298"/>
      <c r="AK82" s="298"/>
      <c r="AL82" s="298"/>
      <c r="AM82" s="298"/>
      <c r="AN82" s="298"/>
      <c r="AO82" s="255"/>
      <c r="AP82" s="255"/>
      <c r="AQ82" s="255"/>
      <c r="AR82" s="255"/>
      <c r="AS82" s="76">
        <f t="shared" si="26"/>
        <v>24</v>
      </c>
      <c r="AT82" s="76" t="s">
        <v>518</v>
      </c>
      <c r="AU82" s="76" t="s">
        <v>23</v>
      </c>
      <c r="AV82" s="76">
        <v>426</v>
      </c>
      <c r="AW82" s="76">
        <v>426</v>
      </c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>
        <f t="shared" si="34"/>
        <v>852</v>
      </c>
      <c r="BI82" s="76" t="s">
        <v>518</v>
      </c>
      <c r="BJ82" s="76" t="s">
        <v>23</v>
      </c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>
        <f t="shared" si="35"/>
        <v>0</v>
      </c>
      <c r="BX82" s="76" t="s">
        <v>518</v>
      </c>
      <c r="BY82" s="76" t="s">
        <v>23</v>
      </c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>
        <f t="shared" si="36"/>
        <v>0</v>
      </c>
      <c r="CM82" s="211">
        <f t="shared" si="37"/>
        <v>0</v>
      </c>
      <c r="CN82" s="211">
        <f t="shared" si="38"/>
        <v>0</v>
      </c>
      <c r="CO82" s="211">
        <f t="shared" si="39"/>
        <v>-63</v>
      </c>
      <c r="CP82" s="211">
        <f t="shared" si="40"/>
        <v>192</v>
      </c>
    </row>
    <row r="83" spans="1:94" s="6" customFormat="1" ht="25.2" x14ac:dyDescent="0.3">
      <c r="A83" s="78">
        <v>81</v>
      </c>
      <c r="B83" s="76">
        <v>23634</v>
      </c>
      <c r="C83" s="76" t="s">
        <v>166</v>
      </c>
      <c r="D83" s="76">
        <v>5</v>
      </c>
      <c r="E83" s="76" t="s">
        <v>245</v>
      </c>
      <c r="F83" s="76" t="s">
        <v>353</v>
      </c>
      <c r="G83" s="76" t="s">
        <v>174</v>
      </c>
      <c r="H83" s="215">
        <v>45957</v>
      </c>
      <c r="I83" s="215">
        <v>46231</v>
      </c>
      <c r="J83" s="255">
        <v>19350</v>
      </c>
      <c r="K83" s="211">
        <v>4969.5</v>
      </c>
      <c r="L83" s="211">
        <v>110</v>
      </c>
      <c r="M83" s="211"/>
      <c r="N83" s="211"/>
      <c r="O83" s="211">
        <f t="shared" si="21"/>
        <v>5079.5</v>
      </c>
      <c r="P83" s="211"/>
      <c r="Q83" s="211"/>
      <c r="R83" s="211"/>
      <c r="S83" s="211"/>
      <c r="T83" s="211">
        <f t="shared" si="27"/>
        <v>0</v>
      </c>
      <c r="U83" s="211">
        <f t="shared" si="22"/>
        <v>4969.5</v>
      </c>
      <c r="V83" s="211">
        <f t="shared" si="23"/>
        <v>110</v>
      </c>
      <c r="W83" s="211">
        <f t="shared" si="24"/>
        <v>0</v>
      </c>
      <c r="X83" s="211">
        <f t="shared" si="25"/>
        <v>0</v>
      </c>
      <c r="Y83" s="211">
        <f t="shared" si="28"/>
        <v>5079.5</v>
      </c>
      <c r="Z83" s="211">
        <f t="shared" si="29"/>
        <v>0</v>
      </c>
      <c r="AA83" s="211">
        <f t="shared" si="30"/>
        <v>0</v>
      </c>
      <c r="AB83" s="211">
        <f t="shared" si="31"/>
        <v>0</v>
      </c>
      <c r="AC83" s="211">
        <f t="shared" si="32"/>
        <v>0</v>
      </c>
      <c r="AD83" s="211">
        <f t="shared" si="33"/>
        <v>0</v>
      </c>
      <c r="AE83" s="76" t="s">
        <v>518</v>
      </c>
      <c r="AF83" s="76" t="s">
        <v>23</v>
      </c>
      <c r="AG83" s="298"/>
      <c r="AH83" s="298"/>
      <c r="AI83" s="298"/>
      <c r="AJ83" s="298"/>
      <c r="AK83" s="298"/>
      <c r="AL83" s="298"/>
      <c r="AM83" s="298"/>
      <c r="AN83" s="298"/>
      <c r="AO83" s="255"/>
      <c r="AP83" s="255"/>
      <c r="AQ83" s="255"/>
      <c r="AR83" s="255"/>
      <c r="AS83" s="76">
        <f t="shared" si="26"/>
        <v>0</v>
      </c>
      <c r="AT83" s="76" t="s">
        <v>518</v>
      </c>
      <c r="AU83" s="76" t="s">
        <v>23</v>
      </c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>
        <f t="shared" si="34"/>
        <v>0</v>
      </c>
      <c r="BI83" s="76" t="s">
        <v>518</v>
      </c>
      <c r="BJ83" s="76" t="s">
        <v>23</v>
      </c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>
        <f t="shared" si="35"/>
        <v>0</v>
      </c>
      <c r="BX83" s="76" t="s">
        <v>518</v>
      </c>
      <c r="BY83" s="76" t="s">
        <v>23</v>
      </c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>
        <f t="shared" si="36"/>
        <v>0</v>
      </c>
      <c r="CM83" s="211">
        <f t="shared" si="37"/>
        <v>4969.5</v>
      </c>
      <c r="CN83" s="211">
        <f t="shared" si="38"/>
        <v>110</v>
      </c>
      <c r="CO83" s="211">
        <f t="shared" si="39"/>
        <v>0</v>
      </c>
      <c r="CP83" s="211">
        <f t="shared" si="40"/>
        <v>0</v>
      </c>
    </row>
    <row r="84" spans="1:94" s="6" customFormat="1" ht="25.2" x14ac:dyDescent="0.3">
      <c r="A84" s="4">
        <v>82</v>
      </c>
      <c r="B84" s="76">
        <v>23814</v>
      </c>
      <c r="C84" s="76" t="s">
        <v>166</v>
      </c>
      <c r="D84" s="76">
        <v>1</v>
      </c>
      <c r="E84" s="76" t="s">
        <v>247</v>
      </c>
      <c r="F84" s="76"/>
      <c r="G84" s="76" t="s">
        <v>174</v>
      </c>
      <c r="H84" s="215">
        <v>45958</v>
      </c>
      <c r="I84" s="215">
        <v>46196</v>
      </c>
      <c r="J84" s="255">
        <v>6587</v>
      </c>
      <c r="K84" s="211">
        <v>1514</v>
      </c>
      <c r="L84" s="211"/>
      <c r="M84" s="211">
        <v>46</v>
      </c>
      <c r="N84" s="211"/>
      <c r="O84" s="211">
        <f t="shared" si="21"/>
        <v>1560</v>
      </c>
      <c r="P84" s="211">
        <v>893.8</v>
      </c>
      <c r="Q84" s="211"/>
      <c r="R84" s="211"/>
      <c r="S84" s="211"/>
      <c r="T84" s="211">
        <f t="shared" si="27"/>
        <v>893.8</v>
      </c>
      <c r="U84" s="211">
        <f t="shared" si="22"/>
        <v>620.20000000000005</v>
      </c>
      <c r="V84" s="211">
        <f t="shared" si="23"/>
        <v>0</v>
      </c>
      <c r="W84" s="211">
        <f t="shared" si="24"/>
        <v>46</v>
      </c>
      <c r="X84" s="211">
        <f t="shared" si="25"/>
        <v>0</v>
      </c>
      <c r="Y84" s="211">
        <f t="shared" si="28"/>
        <v>666.2</v>
      </c>
      <c r="Z84" s="211">
        <f t="shared" si="29"/>
        <v>620</v>
      </c>
      <c r="AA84" s="211">
        <f t="shared" si="30"/>
        <v>0</v>
      </c>
      <c r="AB84" s="211">
        <f t="shared" si="31"/>
        <v>46</v>
      </c>
      <c r="AC84" s="211">
        <f t="shared" si="32"/>
        <v>0</v>
      </c>
      <c r="AD84" s="211">
        <f t="shared" si="33"/>
        <v>666</v>
      </c>
      <c r="AE84" s="76" t="s">
        <v>518</v>
      </c>
      <c r="AF84" s="76" t="s">
        <v>23</v>
      </c>
      <c r="AG84" s="298">
        <v>310</v>
      </c>
      <c r="AH84" s="298">
        <v>310</v>
      </c>
      <c r="AI84" s="298"/>
      <c r="AJ84" s="298"/>
      <c r="AK84" s="298"/>
      <c r="AL84" s="298"/>
      <c r="AM84" s="298"/>
      <c r="AN84" s="298"/>
      <c r="AO84" s="255"/>
      <c r="AP84" s="255"/>
      <c r="AQ84" s="255"/>
      <c r="AR84" s="255"/>
      <c r="AS84" s="76">
        <f t="shared" si="26"/>
        <v>620</v>
      </c>
      <c r="AT84" s="76" t="s">
        <v>518</v>
      </c>
      <c r="AU84" s="76" t="s">
        <v>23</v>
      </c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>
        <f t="shared" si="34"/>
        <v>0</v>
      </c>
      <c r="BI84" s="76" t="s">
        <v>518</v>
      </c>
      <c r="BJ84" s="76" t="s">
        <v>23</v>
      </c>
      <c r="BK84" s="76"/>
      <c r="BL84" s="76">
        <v>46</v>
      </c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>
        <f t="shared" si="35"/>
        <v>46</v>
      </c>
      <c r="BX84" s="76" t="s">
        <v>518</v>
      </c>
      <c r="BY84" s="76" t="s">
        <v>23</v>
      </c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>
        <f t="shared" si="36"/>
        <v>0</v>
      </c>
      <c r="CM84" s="211">
        <f t="shared" si="37"/>
        <v>0.20000000000004547</v>
      </c>
      <c r="CN84" s="211">
        <f t="shared" si="38"/>
        <v>0</v>
      </c>
      <c r="CO84" s="211">
        <f t="shared" si="39"/>
        <v>0</v>
      </c>
      <c r="CP84" s="211">
        <f t="shared" si="40"/>
        <v>0</v>
      </c>
    </row>
    <row r="85" spans="1:94" s="6" customFormat="1" ht="13.8" x14ac:dyDescent="0.3">
      <c r="A85" s="78">
        <v>83</v>
      </c>
      <c r="B85" s="76">
        <v>24007</v>
      </c>
      <c r="C85" s="76" t="s">
        <v>166</v>
      </c>
      <c r="D85" s="76">
        <v>2</v>
      </c>
      <c r="E85" s="76" t="s">
        <v>248</v>
      </c>
      <c r="F85" s="76"/>
      <c r="G85" s="76" t="s">
        <v>158</v>
      </c>
      <c r="H85" s="215">
        <v>45955</v>
      </c>
      <c r="I85" s="215">
        <v>46213</v>
      </c>
      <c r="J85" s="255">
        <v>44190</v>
      </c>
      <c r="K85" s="211">
        <v>3125</v>
      </c>
      <c r="L85" s="211">
        <v>175</v>
      </c>
      <c r="M85" s="211">
        <v>87</v>
      </c>
      <c r="N85" s="211">
        <v>150</v>
      </c>
      <c r="O85" s="211">
        <f t="shared" si="21"/>
        <v>3537</v>
      </c>
      <c r="P85" s="211">
        <v>865</v>
      </c>
      <c r="Q85" s="211"/>
      <c r="R85" s="211"/>
      <c r="S85" s="211"/>
      <c r="T85" s="211">
        <f t="shared" si="27"/>
        <v>865</v>
      </c>
      <c r="U85" s="211">
        <f t="shared" si="22"/>
        <v>2260</v>
      </c>
      <c r="V85" s="211">
        <f t="shared" si="23"/>
        <v>175</v>
      </c>
      <c r="W85" s="211">
        <f t="shared" si="24"/>
        <v>87</v>
      </c>
      <c r="X85" s="211">
        <f t="shared" si="25"/>
        <v>150</v>
      </c>
      <c r="Y85" s="211">
        <f t="shared" si="28"/>
        <v>2672</v>
      </c>
      <c r="Z85" s="211">
        <f t="shared" si="29"/>
        <v>2260</v>
      </c>
      <c r="AA85" s="211">
        <f t="shared" si="30"/>
        <v>175</v>
      </c>
      <c r="AB85" s="211">
        <f t="shared" si="31"/>
        <v>87</v>
      </c>
      <c r="AC85" s="211">
        <f t="shared" si="32"/>
        <v>50</v>
      </c>
      <c r="AD85" s="211">
        <f t="shared" si="33"/>
        <v>2572</v>
      </c>
      <c r="AE85" s="76" t="s">
        <v>516</v>
      </c>
      <c r="AF85" s="76" t="s">
        <v>22</v>
      </c>
      <c r="AG85" s="298">
        <v>754</v>
      </c>
      <c r="AH85" s="298">
        <v>753</v>
      </c>
      <c r="AI85" s="298">
        <v>753</v>
      </c>
      <c r="AJ85" s="298"/>
      <c r="AK85" s="298"/>
      <c r="AL85" s="298"/>
      <c r="AM85" s="298"/>
      <c r="AN85" s="298"/>
      <c r="AO85" s="255"/>
      <c r="AP85" s="255"/>
      <c r="AQ85" s="255"/>
      <c r="AR85" s="255"/>
      <c r="AS85" s="76">
        <f t="shared" si="26"/>
        <v>2260</v>
      </c>
      <c r="AT85" s="76" t="s">
        <v>516</v>
      </c>
      <c r="AU85" s="76" t="s">
        <v>22</v>
      </c>
      <c r="AV85" s="76">
        <v>75</v>
      </c>
      <c r="AW85" s="211"/>
      <c r="AX85" s="211"/>
      <c r="AY85" s="76">
        <v>100</v>
      </c>
      <c r="AZ85" s="76"/>
      <c r="BA85" s="76"/>
      <c r="BB85" s="76"/>
      <c r="BC85" s="76"/>
      <c r="BD85" s="76"/>
      <c r="BE85" s="76"/>
      <c r="BF85" s="76"/>
      <c r="BG85" s="76"/>
      <c r="BH85" s="76">
        <f>SUM(AV85:BG85)</f>
        <v>175</v>
      </c>
      <c r="BI85" s="76" t="s">
        <v>516</v>
      </c>
      <c r="BJ85" s="76" t="s">
        <v>22</v>
      </c>
      <c r="BK85" s="76">
        <v>87</v>
      </c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>
        <f t="shared" si="35"/>
        <v>87</v>
      </c>
      <c r="BX85" s="76" t="s">
        <v>516</v>
      </c>
      <c r="BY85" s="76" t="s">
        <v>22</v>
      </c>
      <c r="BZ85" s="76"/>
      <c r="CA85" s="76"/>
      <c r="CB85" s="76"/>
      <c r="CC85" s="76">
        <v>50</v>
      </c>
      <c r="CD85" s="76"/>
      <c r="CE85" s="76"/>
      <c r="CF85" s="76"/>
      <c r="CG85" s="76"/>
      <c r="CH85" s="76"/>
      <c r="CI85" s="76"/>
      <c r="CJ85" s="76"/>
      <c r="CK85" s="76"/>
      <c r="CL85" s="76">
        <f t="shared" si="36"/>
        <v>50</v>
      </c>
      <c r="CM85" s="211">
        <f t="shared" si="37"/>
        <v>0</v>
      </c>
      <c r="CN85" s="211">
        <f t="shared" si="38"/>
        <v>0</v>
      </c>
      <c r="CO85" s="211">
        <f t="shared" si="39"/>
        <v>0</v>
      </c>
      <c r="CP85" s="211">
        <f t="shared" si="40"/>
        <v>100</v>
      </c>
    </row>
    <row r="86" spans="1:94" s="6" customFormat="1" ht="24.6" customHeight="1" x14ac:dyDescent="0.3">
      <c r="A86" s="4">
        <v>84</v>
      </c>
      <c r="B86" s="76">
        <v>23817</v>
      </c>
      <c r="C86" s="76" t="s">
        <v>166</v>
      </c>
      <c r="D86" s="76">
        <v>1</v>
      </c>
      <c r="E86" s="76" t="s">
        <v>249</v>
      </c>
      <c r="F86" s="76" t="s">
        <v>505</v>
      </c>
      <c r="G86" s="76" t="s">
        <v>178</v>
      </c>
      <c r="H86" s="215">
        <v>45960</v>
      </c>
      <c r="I86" s="215">
        <v>46007</v>
      </c>
      <c r="J86" s="255">
        <v>2800</v>
      </c>
      <c r="K86" s="211"/>
      <c r="L86" s="211"/>
      <c r="M86" s="211"/>
      <c r="N86" s="211"/>
      <c r="O86" s="211">
        <f t="shared" si="21"/>
        <v>0</v>
      </c>
      <c r="P86" s="211"/>
      <c r="Q86" s="211"/>
      <c r="R86" s="211"/>
      <c r="S86" s="211"/>
      <c r="T86" s="211">
        <f t="shared" si="27"/>
        <v>0</v>
      </c>
      <c r="U86" s="211">
        <f t="shared" si="22"/>
        <v>0</v>
      </c>
      <c r="V86" s="211">
        <f t="shared" si="23"/>
        <v>0</v>
      </c>
      <c r="W86" s="211">
        <f t="shared" si="24"/>
        <v>0</v>
      </c>
      <c r="X86" s="211">
        <f t="shared" si="25"/>
        <v>0</v>
      </c>
      <c r="Y86" s="211">
        <f t="shared" si="28"/>
        <v>0</v>
      </c>
      <c r="Z86" s="211">
        <f t="shared" si="29"/>
        <v>0</v>
      </c>
      <c r="AA86" s="211">
        <f t="shared" si="30"/>
        <v>0</v>
      </c>
      <c r="AB86" s="211">
        <f t="shared" si="31"/>
        <v>0</v>
      </c>
      <c r="AC86" s="211">
        <f t="shared" si="32"/>
        <v>0</v>
      </c>
      <c r="AD86" s="211">
        <f t="shared" si="33"/>
        <v>0</v>
      </c>
      <c r="AE86" s="76" t="s">
        <v>518</v>
      </c>
      <c r="AF86" s="76" t="s">
        <v>23</v>
      </c>
      <c r="AG86" s="298"/>
      <c r="AH86" s="298"/>
      <c r="AI86" s="298"/>
      <c r="AJ86" s="298"/>
      <c r="AK86" s="298"/>
      <c r="AL86" s="298"/>
      <c r="AM86" s="298"/>
      <c r="AN86" s="298"/>
      <c r="AO86" s="255"/>
      <c r="AP86" s="255"/>
      <c r="AQ86" s="255"/>
      <c r="AR86" s="255"/>
      <c r="AS86" s="76">
        <f t="shared" si="26"/>
        <v>0</v>
      </c>
      <c r="AT86" s="76" t="s">
        <v>518</v>
      </c>
      <c r="AU86" s="76" t="s">
        <v>23</v>
      </c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>
        <f t="shared" si="34"/>
        <v>0</v>
      </c>
      <c r="BI86" s="76" t="s">
        <v>518</v>
      </c>
      <c r="BJ86" s="76" t="s">
        <v>23</v>
      </c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>
        <f t="shared" si="35"/>
        <v>0</v>
      </c>
      <c r="BX86" s="76" t="s">
        <v>518</v>
      </c>
      <c r="BY86" s="76" t="s">
        <v>23</v>
      </c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>
        <f t="shared" si="36"/>
        <v>0</v>
      </c>
      <c r="CM86" s="211">
        <f t="shared" si="37"/>
        <v>0</v>
      </c>
      <c r="CN86" s="211">
        <f t="shared" si="38"/>
        <v>0</v>
      </c>
      <c r="CO86" s="211">
        <f t="shared" si="39"/>
        <v>0</v>
      </c>
      <c r="CP86" s="211">
        <f t="shared" si="40"/>
        <v>0</v>
      </c>
    </row>
    <row r="87" spans="1:94" s="6" customFormat="1" ht="37.799999999999997" x14ac:dyDescent="0.3">
      <c r="A87" s="78">
        <v>85</v>
      </c>
      <c r="B87" s="76">
        <v>18848</v>
      </c>
      <c r="C87" s="76" t="s">
        <v>166</v>
      </c>
      <c r="D87" s="76">
        <v>1</v>
      </c>
      <c r="E87" s="76" t="s">
        <v>250</v>
      </c>
      <c r="F87" s="76"/>
      <c r="G87" s="76" t="s">
        <v>178</v>
      </c>
      <c r="H87" s="215">
        <v>45960</v>
      </c>
      <c r="I87" s="215"/>
      <c r="J87" s="255">
        <v>6820</v>
      </c>
      <c r="K87" s="211"/>
      <c r="L87" s="211">
        <v>40</v>
      </c>
      <c r="M87" s="211"/>
      <c r="N87" s="211">
        <v>500</v>
      </c>
      <c r="O87" s="211">
        <f t="shared" si="21"/>
        <v>540</v>
      </c>
      <c r="P87" s="211"/>
      <c r="Q87" s="211"/>
      <c r="R87" s="211"/>
      <c r="S87" s="211">
        <v>112</v>
      </c>
      <c r="T87" s="211">
        <f t="shared" si="27"/>
        <v>112</v>
      </c>
      <c r="U87" s="211">
        <f t="shared" si="22"/>
        <v>0</v>
      </c>
      <c r="V87" s="211">
        <f t="shared" si="23"/>
        <v>40</v>
      </c>
      <c r="W87" s="211">
        <f t="shared" si="24"/>
        <v>0</v>
      </c>
      <c r="X87" s="211">
        <f t="shared" si="25"/>
        <v>388</v>
      </c>
      <c r="Y87" s="211">
        <f t="shared" si="28"/>
        <v>428</v>
      </c>
      <c r="Z87" s="211">
        <f t="shared" si="29"/>
        <v>0</v>
      </c>
      <c r="AA87" s="211">
        <f t="shared" si="30"/>
        <v>40</v>
      </c>
      <c r="AB87" s="211">
        <f t="shared" si="31"/>
        <v>0</v>
      </c>
      <c r="AC87" s="211">
        <f t="shared" si="32"/>
        <v>0</v>
      </c>
      <c r="AD87" s="211">
        <f t="shared" si="33"/>
        <v>40</v>
      </c>
      <c r="AE87" s="76" t="s">
        <v>518</v>
      </c>
      <c r="AF87" s="76" t="s">
        <v>23</v>
      </c>
      <c r="AG87" s="298"/>
      <c r="AH87" s="298"/>
      <c r="AI87" s="298"/>
      <c r="AJ87" s="298"/>
      <c r="AK87" s="298"/>
      <c r="AL87" s="298"/>
      <c r="AM87" s="298"/>
      <c r="AN87" s="298"/>
      <c r="AO87" s="255"/>
      <c r="AP87" s="255"/>
      <c r="AQ87" s="255"/>
      <c r="AR87" s="255"/>
      <c r="AS87" s="76">
        <f t="shared" si="26"/>
        <v>0</v>
      </c>
      <c r="AT87" s="76" t="s">
        <v>518</v>
      </c>
      <c r="AU87" s="76" t="s">
        <v>23</v>
      </c>
      <c r="AV87" s="76"/>
      <c r="AW87" s="76"/>
      <c r="AX87" s="76"/>
      <c r="AY87" s="76">
        <v>40</v>
      </c>
      <c r="AZ87" s="76"/>
      <c r="BA87" s="76"/>
      <c r="BB87" s="76"/>
      <c r="BC87" s="76"/>
      <c r="BD87" s="76"/>
      <c r="BE87" s="76"/>
      <c r="BF87" s="76"/>
      <c r="BG87" s="76"/>
      <c r="BH87" s="76">
        <f t="shared" si="34"/>
        <v>40</v>
      </c>
      <c r="BI87" s="76" t="s">
        <v>518</v>
      </c>
      <c r="BJ87" s="76" t="s">
        <v>23</v>
      </c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>
        <f t="shared" si="35"/>
        <v>0</v>
      </c>
      <c r="BX87" s="76" t="s">
        <v>518</v>
      </c>
      <c r="BY87" s="76" t="s">
        <v>23</v>
      </c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>
        <f t="shared" si="36"/>
        <v>0</v>
      </c>
      <c r="CM87" s="211">
        <f t="shared" si="37"/>
        <v>0</v>
      </c>
      <c r="CN87" s="211">
        <f t="shared" si="38"/>
        <v>0</v>
      </c>
      <c r="CO87" s="211">
        <f t="shared" si="39"/>
        <v>0</v>
      </c>
      <c r="CP87" s="211">
        <f t="shared" si="40"/>
        <v>388</v>
      </c>
    </row>
    <row r="88" spans="1:94" s="6" customFormat="1" ht="24.6" customHeight="1" x14ac:dyDescent="0.3">
      <c r="A88" s="4">
        <v>86</v>
      </c>
      <c r="B88" s="76">
        <v>22911</v>
      </c>
      <c r="C88" s="76" t="s">
        <v>166</v>
      </c>
      <c r="D88" s="76">
        <v>2</v>
      </c>
      <c r="E88" s="76" t="s">
        <v>252</v>
      </c>
      <c r="F88" s="76"/>
      <c r="G88" s="76" t="s">
        <v>174</v>
      </c>
      <c r="H88" s="215">
        <v>45939</v>
      </c>
      <c r="I88" s="215">
        <v>46242</v>
      </c>
      <c r="J88" s="255">
        <v>6650</v>
      </c>
      <c r="K88" s="211">
        <v>1676</v>
      </c>
      <c r="L88" s="211"/>
      <c r="M88" s="211">
        <v>46</v>
      </c>
      <c r="N88" s="211"/>
      <c r="O88" s="211">
        <f t="shared" si="21"/>
        <v>1722</v>
      </c>
      <c r="P88" s="211">
        <v>191</v>
      </c>
      <c r="Q88" s="211"/>
      <c r="R88" s="211"/>
      <c r="S88" s="211"/>
      <c r="T88" s="211">
        <f t="shared" si="27"/>
        <v>191</v>
      </c>
      <c r="U88" s="211">
        <f t="shared" si="22"/>
        <v>1485</v>
      </c>
      <c r="V88" s="211">
        <f t="shared" si="23"/>
        <v>0</v>
      </c>
      <c r="W88" s="211">
        <f t="shared" si="24"/>
        <v>46</v>
      </c>
      <c r="X88" s="211">
        <f t="shared" si="25"/>
        <v>0</v>
      </c>
      <c r="Y88" s="211">
        <f t="shared" si="28"/>
        <v>1531</v>
      </c>
      <c r="Z88" s="211">
        <f t="shared" si="29"/>
        <v>1485</v>
      </c>
      <c r="AA88" s="211">
        <f t="shared" si="30"/>
        <v>0</v>
      </c>
      <c r="AB88" s="211">
        <f t="shared" si="31"/>
        <v>46</v>
      </c>
      <c r="AC88" s="211">
        <f t="shared" si="32"/>
        <v>0</v>
      </c>
      <c r="AD88" s="211">
        <f t="shared" si="33"/>
        <v>1531</v>
      </c>
      <c r="AE88" s="76" t="s">
        <v>518</v>
      </c>
      <c r="AF88" s="76" t="s">
        <v>23</v>
      </c>
      <c r="AG88" s="298">
        <v>297</v>
      </c>
      <c r="AH88" s="298">
        <v>297</v>
      </c>
      <c r="AI88" s="298">
        <v>297</v>
      </c>
      <c r="AJ88" s="298">
        <v>297</v>
      </c>
      <c r="AK88" s="298">
        <v>297</v>
      </c>
      <c r="AL88" s="298"/>
      <c r="AM88" s="298"/>
      <c r="AN88" s="298"/>
      <c r="AO88" s="255"/>
      <c r="AP88" s="255"/>
      <c r="AQ88" s="255"/>
      <c r="AR88" s="255"/>
      <c r="AS88" s="76">
        <f t="shared" si="26"/>
        <v>1485</v>
      </c>
      <c r="AT88" s="76" t="s">
        <v>518</v>
      </c>
      <c r="AU88" s="76" t="s">
        <v>23</v>
      </c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>
        <f t="shared" si="34"/>
        <v>0</v>
      </c>
      <c r="BI88" s="76" t="s">
        <v>518</v>
      </c>
      <c r="BJ88" s="76" t="s">
        <v>23</v>
      </c>
      <c r="BK88" s="76"/>
      <c r="BL88" s="76"/>
      <c r="BM88" s="76"/>
      <c r="BN88" s="76">
        <v>46</v>
      </c>
      <c r="BO88" s="76"/>
      <c r="BP88" s="76"/>
      <c r="BQ88" s="76"/>
      <c r="BR88" s="76"/>
      <c r="BS88" s="76"/>
      <c r="BT88" s="76"/>
      <c r="BU88" s="76"/>
      <c r="BV88" s="76"/>
      <c r="BW88" s="76">
        <f t="shared" si="35"/>
        <v>46</v>
      </c>
      <c r="BX88" s="76" t="s">
        <v>518</v>
      </c>
      <c r="BY88" s="76" t="s">
        <v>23</v>
      </c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>
        <f t="shared" si="36"/>
        <v>0</v>
      </c>
      <c r="CM88" s="211">
        <f t="shared" si="37"/>
        <v>0</v>
      </c>
      <c r="CN88" s="211">
        <f t="shared" si="38"/>
        <v>0</v>
      </c>
      <c r="CO88" s="211">
        <f t="shared" si="39"/>
        <v>0</v>
      </c>
      <c r="CP88" s="211">
        <f t="shared" si="40"/>
        <v>0</v>
      </c>
    </row>
    <row r="89" spans="1:94" s="6" customFormat="1" ht="24.6" customHeight="1" x14ac:dyDescent="0.3">
      <c r="A89" s="78">
        <v>87</v>
      </c>
      <c r="B89" s="76" t="s">
        <v>246</v>
      </c>
      <c r="C89" s="76" t="s">
        <v>24</v>
      </c>
      <c r="D89" s="76">
        <v>1</v>
      </c>
      <c r="E89" s="76" t="s">
        <v>251</v>
      </c>
      <c r="F89" s="76"/>
      <c r="G89" s="76" t="s">
        <v>168</v>
      </c>
      <c r="H89" s="215">
        <v>45965</v>
      </c>
      <c r="I89" s="215">
        <v>46275</v>
      </c>
      <c r="J89" s="255">
        <v>88945</v>
      </c>
      <c r="K89" s="211">
        <v>6755</v>
      </c>
      <c r="L89" s="211">
        <v>130</v>
      </c>
      <c r="M89" s="211">
        <v>42.7</v>
      </c>
      <c r="N89" s="211">
        <v>700</v>
      </c>
      <c r="O89" s="211">
        <f t="shared" si="21"/>
        <v>7627.7</v>
      </c>
      <c r="P89" s="211">
        <v>5122</v>
      </c>
      <c r="Q89" s="211">
        <v>205</v>
      </c>
      <c r="R89" s="211">
        <v>43</v>
      </c>
      <c r="S89" s="211"/>
      <c r="T89" s="211">
        <f t="shared" si="27"/>
        <v>5370</v>
      </c>
      <c r="U89" s="211">
        <f t="shared" si="22"/>
        <v>1633</v>
      </c>
      <c r="V89" s="211">
        <f t="shared" si="23"/>
        <v>-75</v>
      </c>
      <c r="W89" s="211">
        <f t="shared" si="24"/>
        <v>-0.29999999999999716</v>
      </c>
      <c r="X89" s="211">
        <f t="shared" si="25"/>
        <v>700</v>
      </c>
      <c r="Y89" s="211">
        <f t="shared" si="28"/>
        <v>2257.6999999999998</v>
      </c>
      <c r="Z89" s="211">
        <f t="shared" si="29"/>
        <v>1633</v>
      </c>
      <c r="AA89" s="211">
        <f t="shared" si="30"/>
        <v>120</v>
      </c>
      <c r="AB89" s="211">
        <f t="shared" si="31"/>
        <v>30</v>
      </c>
      <c r="AC89" s="211">
        <f t="shared" si="32"/>
        <v>580</v>
      </c>
      <c r="AD89" s="211">
        <f t="shared" si="33"/>
        <v>2363</v>
      </c>
      <c r="AE89" s="76" t="s">
        <v>518</v>
      </c>
      <c r="AF89" s="76" t="s">
        <v>24</v>
      </c>
      <c r="AG89" s="298">
        <v>1000</v>
      </c>
      <c r="AH89" s="298">
        <v>633</v>
      </c>
      <c r="AI89" s="298"/>
      <c r="AJ89" s="298"/>
      <c r="AK89" s="298"/>
      <c r="AL89" s="298"/>
      <c r="AM89" s="298"/>
      <c r="AN89" s="298"/>
      <c r="AO89" s="255"/>
      <c r="AP89" s="255"/>
      <c r="AQ89" s="255"/>
      <c r="AR89" s="255"/>
      <c r="AS89" s="76">
        <f t="shared" si="26"/>
        <v>1633</v>
      </c>
      <c r="AT89" s="76" t="s">
        <v>518</v>
      </c>
      <c r="AU89" s="76" t="s">
        <v>24</v>
      </c>
      <c r="AV89" s="76">
        <v>60</v>
      </c>
      <c r="AW89" s="76">
        <v>60</v>
      </c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>
        <f t="shared" si="34"/>
        <v>120</v>
      </c>
      <c r="BI89" s="76" t="s">
        <v>518</v>
      </c>
      <c r="BJ89" s="76" t="s">
        <v>24</v>
      </c>
      <c r="BK89" s="76">
        <v>22</v>
      </c>
      <c r="BL89" s="76">
        <v>8</v>
      </c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>
        <f t="shared" si="35"/>
        <v>30</v>
      </c>
      <c r="BX89" s="76" t="s">
        <v>518</v>
      </c>
      <c r="BY89" s="76" t="s">
        <v>24</v>
      </c>
      <c r="BZ89" s="76"/>
      <c r="CA89" s="76"/>
      <c r="CB89" s="76"/>
      <c r="CC89" s="76">
        <v>580</v>
      </c>
      <c r="CD89" s="76"/>
      <c r="CE89" s="76"/>
      <c r="CF89" s="76"/>
      <c r="CG89" s="76"/>
      <c r="CH89" s="76"/>
      <c r="CI89" s="76"/>
      <c r="CJ89" s="76"/>
      <c r="CK89" s="76"/>
      <c r="CL89" s="76">
        <f t="shared" si="36"/>
        <v>580</v>
      </c>
      <c r="CM89" s="211">
        <f t="shared" si="37"/>
        <v>0</v>
      </c>
      <c r="CN89" s="211">
        <f t="shared" si="38"/>
        <v>-195</v>
      </c>
      <c r="CO89" s="211">
        <f t="shared" si="39"/>
        <v>-30.299999999999997</v>
      </c>
      <c r="CP89" s="211">
        <f t="shared" si="40"/>
        <v>120</v>
      </c>
    </row>
    <row r="90" spans="1:94" s="6" customFormat="1" ht="24.6" customHeight="1" x14ac:dyDescent="0.3">
      <c r="A90" s="4">
        <v>88</v>
      </c>
      <c r="B90" s="76">
        <v>23985</v>
      </c>
      <c r="C90" s="76" t="s">
        <v>166</v>
      </c>
      <c r="D90" s="76">
        <v>2</v>
      </c>
      <c r="E90" s="76" t="s">
        <v>256</v>
      </c>
      <c r="F90" s="76"/>
      <c r="G90" s="76" t="s">
        <v>178</v>
      </c>
      <c r="H90" s="215">
        <v>45965</v>
      </c>
      <c r="I90" s="215">
        <v>46264</v>
      </c>
      <c r="J90" s="255">
        <v>42450</v>
      </c>
      <c r="K90" s="211">
        <v>1125</v>
      </c>
      <c r="L90" s="211">
        <v>16</v>
      </c>
      <c r="M90" s="211">
        <v>40</v>
      </c>
      <c r="N90" s="211"/>
      <c r="O90" s="211">
        <f t="shared" si="21"/>
        <v>1181</v>
      </c>
      <c r="P90" s="211">
        <v>4797</v>
      </c>
      <c r="Q90" s="211">
        <v>199.8</v>
      </c>
      <c r="R90" s="211">
        <v>81.150000000000006</v>
      </c>
      <c r="S90" s="211"/>
      <c r="T90" s="211">
        <f t="shared" si="27"/>
        <v>5077.95</v>
      </c>
      <c r="U90" s="211">
        <f t="shared" si="22"/>
        <v>-3672</v>
      </c>
      <c r="V90" s="211">
        <f t="shared" si="23"/>
        <v>-183.8</v>
      </c>
      <c r="W90" s="211">
        <f t="shared" si="24"/>
        <v>-41.150000000000006</v>
      </c>
      <c r="X90" s="211">
        <f t="shared" si="25"/>
        <v>0</v>
      </c>
      <c r="Y90" s="211">
        <f t="shared" si="28"/>
        <v>-3896.9500000000003</v>
      </c>
      <c r="Z90" s="211">
        <f t="shared" si="29"/>
        <v>0</v>
      </c>
      <c r="AA90" s="211">
        <f t="shared" si="30"/>
        <v>0</v>
      </c>
      <c r="AB90" s="211">
        <f t="shared" si="31"/>
        <v>0</v>
      </c>
      <c r="AC90" s="211">
        <f t="shared" si="32"/>
        <v>0</v>
      </c>
      <c r="AD90" s="211">
        <f t="shared" si="33"/>
        <v>0</v>
      </c>
      <c r="AE90" s="76" t="s">
        <v>518</v>
      </c>
      <c r="AF90" s="76" t="s">
        <v>23</v>
      </c>
      <c r="AG90" s="298"/>
      <c r="AH90" s="298"/>
      <c r="AI90" s="298"/>
      <c r="AJ90" s="298"/>
      <c r="AK90" s="298"/>
      <c r="AL90" s="298"/>
      <c r="AM90" s="298"/>
      <c r="AN90" s="298"/>
      <c r="AO90" s="255"/>
      <c r="AP90" s="255"/>
      <c r="AQ90" s="255"/>
      <c r="AR90" s="255"/>
      <c r="AS90" s="76">
        <f t="shared" si="26"/>
        <v>0</v>
      </c>
      <c r="AT90" s="76" t="s">
        <v>518</v>
      </c>
      <c r="AU90" s="76" t="s">
        <v>23</v>
      </c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>
        <f t="shared" si="34"/>
        <v>0</v>
      </c>
      <c r="BI90" s="76" t="s">
        <v>518</v>
      </c>
      <c r="BJ90" s="76" t="s">
        <v>23</v>
      </c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>
        <f t="shared" si="35"/>
        <v>0</v>
      </c>
      <c r="BX90" s="76" t="s">
        <v>518</v>
      </c>
      <c r="BY90" s="76" t="s">
        <v>23</v>
      </c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>
        <f t="shared" si="36"/>
        <v>0</v>
      </c>
      <c r="CM90" s="211">
        <f t="shared" si="37"/>
        <v>-3672</v>
      </c>
      <c r="CN90" s="211">
        <f t="shared" si="38"/>
        <v>-183.8</v>
      </c>
      <c r="CO90" s="211">
        <f t="shared" si="39"/>
        <v>-41.150000000000006</v>
      </c>
      <c r="CP90" s="211">
        <f t="shared" si="40"/>
        <v>0</v>
      </c>
    </row>
    <row r="91" spans="1:94" s="6" customFormat="1" ht="24.6" customHeight="1" x14ac:dyDescent="0.3">
      <c r="A91" s="78">
        <v>89</v>
      </c>
      <c r="B91" s="76" t="s">
        <v>281</v>
      </c>
      <c r="C91" s="76">
        <v>18685</v>
      </c>
      <c r="D91" s="76">
        <f>2+1</f>
        <v>3</v>
      </c>
      <c r="E91" s="76" t="s">
        <v>253</v>
      </c>
      <c r="F91" s="76"/>
      <c r="G91" s="76" t="s">
        <v>168</v>
      </c>
      <c r="H91" s="215">
        <v>45965</v>
      </c>
      <c r="I91" s="215">
        <v>46275</v>
      </c>
      <c r="J91" s="255">
        <v>169540</v>
      </c>
      <c r="K91" s="211">
        <v>6755</v>
      </c>
      <c r="L91" s="211">
        <v>130</v>
      </c>
      <c r="M91" s="211">
        <v>170</v>
      </c>
      <c r="N91" s="211">
        <v>700</v>
      </c>
      <c r="O91" s="211">
        <f t="shared" si="21"/>
        <v>7755</v>
      </c>
      <c r="P91" s="211">
        <v>2609</v>
      </c>
      <c r="Q91" s="211"/>
      <c r="R91" s="211"/>
      <c r="S91" s="211"/>
      <c r="T91" s="211">
        <f t="shared" si="27"/>
        <v>2609</v>
      </c>
      <c r="U91" s="211">
        <f t="shared" si="22"/>
        <v>4146</v>
      </c>
      <c r="V91" s="211">
        <f t="shared" si="23"/>
        <v>130</v>
      </c>
      <c r="W91" s="211">
        <f t="shared" si="24"/>
        <v>170</v>
      </c>
      <c r="X91" s="211">
        <f t="shared" si="25"/>
        <v>700</v>
      </c>
      <c r="Y91" s="211">
        <f t="shared" si="28"/>
        <v>5146</v>
      </c>
      <c r="Z91" s="211">
        <f t="shared" si="29"/>
        <v>4146</v>
      </c>
      <c r="AA91" s="211">
        <f t="shared" si="30"/>
        <v>70</v>
      </c>
      <c r="AB91" s="211">
        <f t="shared" si="31"/>
        <v>70</v>
      </c>
      <c r="AC91" s="211">
        <f t="shared" si="32"/>
        <v>600</v>
      </c>
      <c r="AD91" s="211">
        <f t="shared" si="33"/>
        <v>4886</v>
      </c>
      <c r="AE91" s="76" t="s">
        <v>518</v>
      </c>
      <c r="AF91" s="76" t="s">
        <v>23</v>
      </c>
      <c r="AG91" s="298">
        <v>1037</v>
      </c>
      <c r="AH91" s="298">
        <v>1037</v>
      </c>
      <c r="AI91" s="298">
        <v>1036</v>
      </c>
      <c r="AJ91" s="298">
        <v>1036</v>
      </c>
      <c r="AK91" s="298"/>
      <c r="AL91" s="298"/>
      <c r="AM91" s="298"/>
      <c r="AN91" s="298"/>
      <c r="AO91" s="255"/>
      <c r="AP91" s="255"/>
      <c r="AQ91" s="255"/>
      <c r="AR91" s="255"/>
      <c r="AS91" s="76">
        <f t="shared" si="26"/>
        <v>4146</v>
      </c>
      <c r="AT91" s="76" t="s">
        <v>518</v>
      </c>
      <c r="AU91" s="76" t="s">
        <v>23</v>
      </c>
      <c r="AV91" s="76"/>
      <c r="AW91" s="76"/>
      <c r="AX91" s="76"/>
      <c r="AY91" s="76"/>
      <c r="AZ91" s="76">
        <v>70</v>
      </c>
      <c r="BA91" s="76"/>
      <c r="BB91" s="76"/>
      <c r="BC91" s="76"/>
      <c r="BD91" s="76"/>
      <c r="BE91" s="76"/>
      <c r="BF91" s="76"/>
      <c r="BG91" s="76"/>
      <c r="BH91" s="76">
        <f t="shared" si="34"/>
        <v>70</v>
      </c>
      <c r="BI91" s="76" t="s">
        <v>518</v>
      </c>
      <c r="BJ91" s="76" t="s">
        <v>23</v>
      </c>
      <c r="BK91" s="76"/>
      <c r="BL91" s="76"/>
      <c r="BM91" s="76"/>
      <c r="BN91" s="76"/>
      <c r="BO91" s="76">
        <v>70</v>
      </c>
      <c r="BP91" s="76"/>
      <c r="BQ91" s="76"/>
      <c r="BR91" s="76"/>
      <c r="BS91" s="76"/>
      <c r="BT91" s="76"/>
      <c r="BU91" s="76"/>
      <c r="BV91" s="76"/>
      <c r="BW91" s="76">
        <f t="shared" si="35"/>
        <v>70</v>
      </c>
      <c r="BX91" s="76" t="s">
        <v>518</v>
      </c>
      <c r="BY91" s="76" t="s">
        <v>23</v>
      </c>
      <c r="BZ91" s="76"/>
      <c r="CA91" s="76"/>
      <c r="CB91" s="76"/>
      <c r="CC91" s="76"/>
      <c r="CD91" s="76"/>
      <c r="CE91" s="76">
        <v>300</v>
      </c>
      <c r="CF91" s="76">
        <v>300</v>
      </c>
      <c r="CG91" s="76"/>
      <c r="CH91" s="76"/>
      <c r="CI91" s="76"/>
      <c r="CJ91" s="76"/>
      <c r="CK91" s="76"/>
      <c r="CL91" s="76">
        <f t="shared" si="36"/>
        <v>600</v>
      </c>
      <c r="CM91" s="211">
        <f t="shared" si="37"/>
        <v>0</v>
      </c>
      <c r="CN91" s="211">
        <f t="shared" si="38"/>
        <v>60</v>
      </c>
      <c r="CO91" s="211">
        <f t="shared" si="39"/>
        <v>100</v>
      </c>
      <c r="CP91" s="211">
        <f t="shared" si="40"/>
        <v>100</v>
      </c>
    </row>
    <row r="92" spans="1:94" s="6" customFormat="1" ht="24.6" customHeight="1" x14ac:dyDescent="0.3">
      <c r="A92" s="4">
        <v>90</v>
      </c>
      <c r="B92" s="76">
        <v>24358</v>
      </c>
      <c r="C92" s="76" t="s">
        <v>166</v>
      </c>
      <c r="D92" s="76">
        <v>1</v>
      </c>
      <c r="E92" s="76" t="s">
        <v>254</v>
      </c>
      <c r="F92" s="76"/>
      <c r="G92" s="76" t="s">
        <v>168</v>
      </c>
      <c r="H92" s="215">
        <v>45968</v>
      </c>
      <c r="I92" s="215">
        <v>46233</v>
      </c>
      <c r="J92" s="255">
        <v>8472</v>
      </c>
      <c r="K92" s="211">
        <v>1182</v>
      </c>
      <c r="L92" s="211">
        <v>170</v>
      </c>
      <c r="M92" s="211">
        <v>120</v>
      </c>
      <c r="N92" s="211">
        <v>80</v>
      </c>
      <c r="O92" s="211">
        <f t="shared" si="21"/>
        <v>1552</v>
      </c>
      <c r="P92" s="211">
        <v>823.78</v>
      </c>
      <c r="Q92" s="211"/>
      <c r="R92" s="211"/>
      <c r="S92" s="211"/>
      <c r="T92" s="211">
        <f t="shared" si="27"/>
        <v>823.78</v>
      </c>
      <c r="U92" s="211">
        <f t="shared" si="22"/>
        <v>358.22</v>
      </c>
      <c r="V92" s="211">
        <f t="shared" si="23"/>
        <v>170</v>
      </c>
      <c r="W92" s="211">
        <f t="shared" si="24"/>
        <v>120</v>
      </c>
      <c r="X92" s="211">
        <f t="shared" si="25"/>
        <v>80</v>
      </c>
      <c r="Y92" s="211">
        <f t="shared" si="28"/>
        <v>728.22</v>
      </c>
      <c r="Z92" s="211">
        <f t="shared" si="29"/>
        <v>358</v>
      </c>
      <c r="AA92" s="211">
        <f t="shared" si="30"/>
        <v>170</v>
      </c>
      <c r="AB92" s="211">
        <f t="shared" si="31"/>
        <v>120</v>
      </c>
      <c r="AC92" s="211">
        <f t="shared" si="32"/>
        <v>80</v>
      </c>
      <c r="AD92" s="211">
        <f t="shared" si="33"/>
        <v>728</v>
      </c>
      <c r="AE92" s="76" t="s">
        <v>518</v>
      </c>
      <c r="AF92" s="76" t="s">
        <v>23</v>
      </c>
      <c r="AG92" s="298"/>
      <c r="AH92" s="298">
        <v>179</v>
      </c>
      <c r="AI92" s="298">
        <v>179</v>
      </c>
      <c r="AJ92" s="298"/>
      <c r="AK92" s="298"/>
      <c r="AL92" s="298"/>
      <c r="AM92" s="298"/>
      <c r="AN92" s="298"/>
      <c r="AO92" s="255"/>
      <c r="AP92" s="255"/>
      <c r="AQ92" s="255"/>
      <c r="AR92" s="255"/>
      <c r="AS92" s="76">
        <f t="shared" si="26"/>
        <v>358</v>
      </c>
      <c r="AT92" s="76" t="s">
        <v>518</v>
      </c>
      <c r="AU92" s="76" t="s">
        <v>23</v>
      </c>
      <c r="AV92" s="76"/>
      <c r="AW92" s="76"/>
      <c r="AX92" s="76"/>
      <c r="AY92" s="76">
        <v>170</v>
      </c>
      <c r="AZ92" s="76"/>
      <c r="BA92" s="76"/>
      <c r="BB92" s="76"/>
      <c r="BC92" s="76"/>
      <c r="BD92" s="76"/>
      <c r="BE92" s="76"/>
      <c r="BF92" s="76"/>
      <c r="BG92" s="76"/>
      <c r="BH92" s="76">
        <f t="shared" si="34"/>
        <v>170</v>
      </c>
      <c r="BI92" s="76" t="s">
        <v>518</v>
      </c>
      <c r="BJ92" s="76" t="s">
        <v>23</v>
      </c>
      <c r="BK92" s="76"/>
      <c r="BL92" s="76"/>
      <c r="BM92" s="76">
        <v>120</v>
      </c>
      <c r="BN92" s="76"/>
      <c r="BO92" s="76"/>
      <c r="BP92" s="76"/>
      <c r="BQ92" s="76"/>
      <c r="BR92" s="76"/>
      <c r="BS92" s="76"/>
      <c r="BT92" s="76"/>
      <c r="BU92" s="76"/>
      <c r="BV92" s="76"/>
      <c r="BW92" s="76">
        <f t="shared" si="35"/>
        <v>120</v>
      </c>
      <c r="BX92" s="76" t="s">
        <v>518</v>
      </c>
      <c r="BY92" s="76" t="s">
        <v>23</v>
      </c>
      <c r="BZ92" s="76"/>
      <c r="CA92" s="76"/>
      <c r="CB92" s="76"/>
      <c r="CC92" s="76">
        <v>80</v>
      </c>
      <c r="CD92" s="76"/>
      <c r="CE92" s="76"/>
      <c r="CF92" s="76"/>
      <c r="CG92" s="76"/>
      <c r="CH92" s="76"/>
      <c r="CI92" s="76"/>
      <c r="CJ92" s="76"/>
      <c r="CK92" s="76"/>
      <c r="CL92" s="76">
        <f t="shared" si="36"/>
        <v>80</v>
      </c>
      <c r="CM92" s="211">
        <f t="shared" si="37"/>
        <v>0.22000000000002728</v>
      </c>
      <c r="CN92" s="211">
        <f t="shared" si="38"/>
        <v>0</v>
      </c>
      <c r="CO92" s="211">
        <f t="shared" si="39"/>
        <v>0</v>
      </c>
      <c r="CP92" s="211">
        <f t="shared" si="40"/>
        <v>0</v>
      </c>
    </row>
    <row r="93" spans="1:94" s="6" customFormat="1" ht="50.4" x14ac:dyDescent="0.3">
      <c r="A93" s="78">
        <v>91</v>
      </c>
      <c r="B93" s="76">
        <v>24341</v>
      </c>
      <c r="C93" s="76" t="s">
        <v>166</v>
      </c>
      <c r="D93" s="76">
        <v>2</v>
      </c>
      <c r="E93" s="76" t="s">
        <v>255</v>
      </c>
      <c r="F93" s="76" t="s">
        <v>581</v>
      </c>
      <c r="G93" s="76" t="s">
        <v>178</v>
      </c>
      <c r="H93" s="215">
        <v>45952</v>
      </c>
      <c r="I93" s="215">
        <v>46582</v>
      </c>
      <c r="J93" s="255">
        <v>29870</v>
      </c>
      <c r="K93" s="211">
        <f>108*2</f>
        <v>216</v>
      </c>
      <c r="L93" s="211">
        <v>12</v>
      </c>
      <c r="M93" s="211"/>
      <c r="N93" s="211">
        <v>12</v>
      </c>
      <c r="O93" s="211">
        <f t="shared" si="21"/>
        <v>240</v>
      </c>
      <c r="P93" s="211">
        <v>13.3</v>
      </c>
      <c r="Q93" s="211">
        <v>19.3</v>
      </c>
      <c r="R93" s="211">
        <v>17.5</v>
      </c>
      <c r="S93" s="211">
        <v>492.5</v>
      </c>
      <c r="T93" s="211">
        <f t="shared" si="27"/>
        <v>542.6</v>
      </c>
      <c r="U93" s="211">
        <f t="shared" si="22"/>
        <v>202.7</v>
      </c>
      <c r="V93" s="211">
        <f t="shared" si="23"/>
        <v>-7.3000000000000007</v>
      </c>
      <c r="W93" s="211">
        <f t="shared" si="24"/>
        <v>-17.5</v>
      </c>
      <c r="X93" s="211">
        <f t="shared" si="25"/>
        <v>-480.5</v>
      </c>
      <c r="Y93" s="211">
        <f t="shared" si="28"/>
        <v>-302.60000000000002</v>
      </c>
      <c r="Z93" s="211">
        <f t="shared" si="29"/>
        <v>203</v>
      </c>
      <c r="AA93" s="211">
        <f t="shared" si="30"/>
        <v>0</v>
      </c>
      <c r="AB93" s="211">
        <f t="shared" si="31"/>
        <v>0</v>
      </c>
      <c r="AC93" s="211">
        <f t="shared" si="32"/>
        <v>0</v>
      </c>
      <c r="AD93" s="211">
        <f t="shared" si="33"/>
        <v>203</v>
      </c>
      <c r="AE93" s="76" t="s">
        <v>518</v>
      </c>
      <c r="AF93" s="76" t="s">
        <v>23</v>
      </c>
      <c r="AG93" s="298">
        <v>203</v>
      </c>
      <c r="AH93" s="298"/>
      <c r="AI93" s="298"/>
      <c r="AJ93" s="298"/>
      <c r="AK93" s="298"/>
      <c r="AL93" s="298"/>
      <c r="AM93" s="298"/>
      <c r="AN93" s="298"/>
      <c r="AO93" s="255"/>
      <c r="AP93" s="255"/>
      <c r="AQ93" s="255"/>
      <c r="AR93" s="255"/>
      <c r="AS93" s="76">
        <f t="shared" si="26"/>
        <v>203</v>
      </c>
      <c r="AT93" s="76" t="s">
        <v>518</v>
      </c>
      <c r="AU93" s="76" t="s">
        <v>23</v>
      </c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>
        <f t="shared" si="34"/>
        <v>0</v>
      </c>
      <c r="BI93" s="76" t="s">
        <v>518</v>
      </c>
      <c r="BJ93" s="76" t="s">
        <v>23</v>
      </c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>
        <f t="shared" si="35"/>
        <v>0</v>
      </c>
      <c r="BX93" s="76" t="s">
        <v>518</v>
      </c>
      <c r="BY93" s="76" t="s">
        <v>23</v>
      </c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>
        <f t="shared" si="36"/>
        <v>0</v>
      </c>
      <c r="CM93" s="211">
        <f t="shared" si="37"/>
        <v>-0.30000000000001137</v>
      </c>
      <c r="CN93" s="211">
        <f t="shared" si="38"/>
        <v>-7.3000000000000007</v>
      </c>
      <c r="CO93" s="211">
        <f t="shared" si="39"/>
        <v>-17.5</v>
      </c>
      <c r="CP93" s="211">
        <f t="shared" si="40"/>
        <v>-480.5</v>
      </c>
    </row>
    <row r="94" spans="1:94" s="6" customFormat="1" ht="37.799999999999997" x14ac:dyDescent="0.3">
      <c r="A94" s="4">
        <v>92</v>
      </c>
      <c r="B94" s="76">
        <v>24277</v>
      </c>
      <c r="C94" s="76" t="s">
        <v>166</v>
      </c>
      <c r="D94" s="76">
        <v>2</v>
      </c>
      <c r="E94" s="76" t="s">
        <v>266</v>
      </c>
      <c r="F94" s="76" t="s">
        <v>510</v>
      </c>
      <c r="G94" s="76" t="s">
        <v>178</v>
      </c>
      <c r="H94" s="215">
        <v>45971</v>
      </c>
      <c r="I94" s="215">
        <v>45971</v>
      </c>
      <c r="J94" s="255">
        <v>3430</v>
      </c>
      <c r="K94" s="211"/>
      <c r="L94" s="211"/>
      <c r="M94" s="211">
        <v>500</v>
      </c>
      <c r="N94" s="211">
        <v>400</v>
      </c>
      <c r="O94" s="211">
        <f t="shared" si="21"/>
        <v>900</v>
      </c>
      <c r="P94" s="211"/>
      <c r="Q94" s="211"/>
      <c r="R94" s="211"/>
      <c r="S94" s="211">
        <v>50</v>
      </c>
      <c r="T94" s="211">
        <f t="shared" si="27"/>
        <v>50</v>
      </c>
      <c r="U94" s="211">
        <f t="shared" si="22"/>
        <v>0</v>
      </c>
      <c r="V94" s="211">
        <f t="shared" si="23"/>
        <v>0</v>
      </c>
      <c r="W94" s="211">
        <f t="shared" si="24"/>
        <v>500</v>
      </c>
      <c r="X94" s="211">
        <f t="shared" si="25"/>
        <v>350</v>
      </c>
      <c r="Y94" s="211">
        <f t="shared" si="28"/>
        <v>850</v>
      </c>
      <c r="Z94" s="211">
        <f t="shared" si="29"/>
        <v>0</v>
      </c>
      <c r="AA94" s="211">
        <f t="shared" si="30"/>
        <v>0</v>
      </c>
      <c r="AB94" s="211">
        <f t="shared" si="31"/>
        <v>500</v>
      </c>
      <c r="AC94" s="211">
        <f t="shared" si="32"/>
        <v>0</v>
      </c>
      <c r="AD94" s="211">
        <f t="shared" si="33"/>
        <v>500</v>
      </c>
      <c r="AE94" s="76" t="s">
        <v>518</v>
      </c>
      <c r="AF94" s="76" t="s">
        <v>23</v>
      </c>
      <c r="AG94" s="298"/>
      <c r="AH94" s="298"/>
      <c r="AI94" s="298"/>
      <c r="AJ94" s="298"/>
      <c r="AK94" s="298"/>
      <c r="AL94" s="298"/>
      <c r="AM94" s="298"/>
      <c r="AN94" s="298"/>
      <c r="AO94" s="255"/>
      <c r="AP94" s="255"/>
      <c r="AQ94" s="255"/>
      <c r="AR94" s="255"/>
      <c r="AS94" s="76">
        <f t="shared" si="26"/>
        <v>0</v>
      </c>
      <c r="AT94" s="76" t="s">
        <v>518</v>
      </c>
      <c r="AU94" s="76" t="s">
        <v>23</v>
      </c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>
        <f t="shared" si="34"/>
        <v>0</v>
      </c>
      <c r="BI94" s="76" t="s">
        <v>518</v>
      </c>
      <c r="BJ94" s="76" t="s">
        <v>23</v>
      </c>
      <c r="BK94" s="76"/>
      <c r="BL94" s="76"/>
      <c r="BM94" s="76"/>
      <c r="BN94" s="76">
        <v>250</v>
      </c>
      <c r="BO94" s="76">
        <v>250</v>
      </c>
      <c r="BP94" s="76"/>
      <c r="BQ94" s="76"/>
      <c r="BR94" s="76"/>
      <c r="BS94" s="76"/>
      <c r="BT94" s="76"/>
      <c r="BU94" s="76"/>
      <c r="BV94" s="76"/>
      <c r="BW94" s="76">
        <f t="shared" si="35"/>
        <v>500</v>
      </c>
      <c r="BX94" s="76" t="s">
        <v>518</v>
      </c>
      <c r="BY94" s="76" t="s">
        <v>23</v>
      </c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>
        <f t="shared" si="36"/>
        <v>0</v>
      </c>
      <c r="CM94" s="211">
        <f t="shared" si="37"/>
        <v>0</v>
      </c>
      <c r="CN94" s="211">
        <f t="shared" si="38"/>
        <v>0</v>
      </c>
      <c r="CO94" s="211">
        <f t="shared" si="39"/>
        <v>0</v>
      </c>
      <c r="CP94" s="211">
        <f t="shared" si="40"/>
        <v>350</v>
      </c>
    </row>
    <row r="95" spans="1:94" s="6" customFormat="1" ht="25.2" customHeight="1" x14ac:dyDescent="0.3">
      <c r="A95" s="78">
        <v>93</v>
      </c>
      <c r="B95" s="76" t="s">
        <v>282</v>
      </c>
      <c r="C95" s="76">
        <v>26179</v>
      </c>
      <c r="D95" s="76">
        <v>1</v>
      </c>
      <c r="E95" s="76" t="s">
        <v>265</v>
      </c>
      <c r="F95" s="76"/>
      <c r="G95" s="76" t="s">
        <v>158</v>
      </c>
      <c r="H95" s="215">
        <v>45972</v>
      </c>
      <c r="I95" s="215">
        <v>46356</v>
      </c>
      <c r="J95" s="255">
        <v>39000</v>
      </c>
      <c r="K95" s="211">
        <v>2605</v>
      </c>
      <c r="L95" s="211">
        <v>280</v>
      </c>
      <c r="M95" s="211">
        <v>160</v>
      </c>
      <c r="N95" s="211">
        <v>800</v>
      </c>
      <c r="O95" s="211">
        <f t="shared" si="21"/>
        <v>3845</v>
      </c>
      <c r="P95" s="211">
        <v>7</v>
      </c>
      <c r="Q95" s="211"/>
      <c r="R95" s="211"/>
      <c r="S95" s="211"/>
      <c r="T95" s="211">
        <f t="shared" si="27"/>
        <v>7</v>
      </c>
      <c r="U95" s="211">
        <f t="shared" si="22"/>
        <v>2598</v>
      </c>
      <c r="V95" s="211">
        <f t="shared" si="23"/>
        <v>280</v>
      </c>
      <c r="W95" s="211">
        <f t="shared" si="24"/>
        <v>160</v>
      </c>
      <c r="X95" s="211">
        <f t="shared" si="25"/>
        <v>800</v>
      </c>
      <c r="Y95" s="211">
        <f t="shared" si="28"/>
        <v>3838</v>
      </c>
      <c r="Z95" s="211">
        <f t="shared" si="29"/>
        <v>2598</v>
      </c>
      <c r="AA95" s="211">
        <f t="shared" si="30"/>
        <v>280</v>
      </c>
      <c r="AB95" s="211">
        <f t="shared" si="31"/>
        <v>160</v>
      </c>
      <c r="AC95" s="211">
        <f t="shared" si="32"/>
        <v>800</v>
      </c>
      <c r="AD95" s="211">
        <f t="shared" si="33"/>
        <v>3838</v>
      </c>
      <c r="AE95" s="76" t="s">
        <v>518</v>
      </c>
      <c r="AF95" s="76" t="s">
        <v>23</v>
      </c>
      <c r="AG95" s="298"/>
      <c r="AH95" s="298">
        <v>862</v>
      </c>
      <c r="AI95" s="298">
        <v>868</v>
      </c>
      <c r="AJ95" s="298">
        <v>868</v>
      </c>
      <c r="AK95" s="298"/>
      <c r="AL95" s="298"/>
      <c r="AM95" s="298"/>
      <c r="AN95" s="298"/>
      <c r="AO95" s="255"/>
      <c r="AP95" s="255"/>
      <c r="AQ95" s="255"/>
      <c r="AR95" s="255"/>
      <c r="AS95" s="76">
        <f t="shared" si="26"/>
        <v>2598</v>
      </c>
      <c r="AT95" s="76" t="s">
        <v>518</v>
      </c>
      <c r="AU95" s="76" t="s">
        <v>23</v>
      </c>
      <c r="AV95" s="76"/>
      <c r="AW95" s="76"/>
      <c r="AX95" s="76"/>
      <c r="AY95" s="76">
        <v>140</v>
      </c>
      <c r="AZ95" s="76">
        <v>140</v>
      </c>
      <c r="BA95" s="76"/>
      <c r="BB95" s="76"/>
      <c r="BC95" s="76"/>
      <c r="BD95" s="76"/>
      <c r="BE95" s="76"/>
      <c r="BF95" s="76"/>
      <c r="BG95" s="76"/>
      <c r="BH95" s="76">
        <f t="shared" si="34"/>
        <v>280</v>
      </c>
      <c r="BI95" s="76" t="s">
        <v>518</v>
      </c>
      <c r="BJ95" s="76" t="s">
        <v>23</v>
      </c>
      <c r="BK95" s="76"/>
      <c r="BL95" s="76"/>
      <c r="BM95" s="76"/>
      <c r="BN95" s="76">
        <v>60</v>
      </c>
      <c r="BO95" s="76">
        <v>100</v>
      </c>
      <c r="BP95" s="76"/>
      <c r="BQ95" s="76"/>
      <c r="BR95" s="76"/>
      <c r="BS95" s="76"/>
      <c r="BT95" s="76"/>
      <c r="BU95" s="76"/>
      <c r="BV95" s="76"/>
      <c r="BW95" s="76">
        <f t="shared" si="35"/>
        <v>160</v>
      </c>
      <c r="BX95" s="76" t="s">
        <v>518</v>
      </c>
      <c r="BY95" s="76" t="s">
        <v>23</v>
      </c>
      <c r="BZ95" s="76"/>
      <c r="CA95" s="76"/>
      <c r="CB95" s="76"/>
      <c r="CC95" s="76"/>
      <c r="CD95" s="76"/>
      <c r="CE95" s="76">
        <v>400</v>
      </c>
      <c r="CF95" s="76">
        <v>400</v>
      </c>
      <c r="CG95" s="76"/>
      <c r="CH95" s="76"/>
      <c r="CI95" s="76"/>
      <c r="CJ95" s="76"/>
      <c r="CK95" s="76"/>
      <c r="CL95" s="76">
        <f t="shared" si="36"/>
        <v>800</v>
      </c>
      <c r="CM95" s="211">
        <f t="shared" si="37"/>
        <v>0</v>
      </c>
      <c r="CN95" s="211">
        <f t="shared" si="38"/>
        <v>0</v>
      </c>
      <c r="CO95" s="211">
        <f t="shared" si="39"/>
        <v>0</v>
      </c>
      <c r="CP95" s="211">
        <f t="shared" si="40"/>
        <v>0</v>
      </c>
    </row>
    <row r="96" spans="1:94" s="6" customFormat="1" ht="50.4" x14ac:dyDescent="0.3">
      <c r="A96" s="4">
        <v>94</v>
      </c>
      <c r="B96" s="76">
        <v>22661</v>
      </c>
      <c r="C96" s="76" t="s">
        <v>166</v>
      </c>
      <c r="D96" s="76">
        <v>2</v>
      </c>
      <c r="E96" s="76" t="s">
        <v>267</v>
      </c>
      <c r="F96" s="76" t="s">
        <v>505</v>
      </c>
      <c r="G96" s="76" t="s">
        <v>178</v>
      </c>
      <c r="H96" s="215">
        <v>45973</v>
      </c>
      <c r="I96" s="215">
        <v>46103</v>
      </c>
      <c r="J96" s="255">
        <f>607*2</f>
        <v>1214</v>
      </c>
      <c r="K96" s="211"/>
      <c r="L96" s="211"/>
      <c r="M96" s="211"/>
      <c r="N96" s="211"/>
      <c r="O96" s="211">
        <f t="shared" si="21"/>
        <v>0</v>
      </c>
      <c r="P96" s="211"/>
      <c r="Q96" s="211"/>
      <c r="R96" s="211"/>
      <c r="S96" s="211">
        <v>60</v>
      </c>
      <c r="T96" s="211">
        <f t="shared" si="27"/>
        <v>60</v>
      </c>
      <c r="U96" s="211">
        <f t="shared" si="22"/>
        <v>0</v>
      </c>
      <c r="V96" s="211">
        <f t="shared" si="23"/>
        <v>0</v>
      </c>
      <c r="W96" s="211">
        <f t="shared" si="24"/>
        <v>0</v>
      </c>
      <c r="X96" s="211">
        <f t="shared" si="25"/>
        <v>-60</v>
      </c>
      <c r="Y96" s="211">
        <f t="shared" si="28"/>
        <v>-60</v>
      </c>
      <c r="Z96" s="211">
        <f t="shared" si="29"/>
        <v>0</v>
      </c>
      <c r="AA96" s="211">
        <f t="shared" si="30"/>
        <v>0</v>
      </c>
      <c r="AB96" s="211">
        <f t="shared" si="31"/>
        <v>0</v>
      </c>
      <c r="AC96" s="211">
        <f t="shared" si="32"/>
        <v>0</v>
      </c>
      <c r="AD96" s="211">
        <f t="shared" si="33"/>
        <v>0</v>
      </c>
      <c r="AE96" s="76" t="s">
        <v>518</v>
      </c>
      <c r="AF96" s="76" t="s">
        <v>23</v>
      </c>
      <c r="AG96" s="298"/>
      <c r="AH96" s="298"/>
      <c r="AI96" s="298"/>
      <c r="AJ96" s="298"/>
      <c r="AK96" s="298"/>
      <c r="AL96" s="298"/>
      <c r="AM96" s="298"/>
      <c r="AN96" s="298"/>
      <c r="AO96" s="255"/>
      <c r="AP96" s="255"/>
      <c r="AQ96" s="255"/>
      <c r="AR96" s="255"/>
      <c r="AS96" s="76">
        <f t="shared" si="26"/>
        <v>0</v>
      </c>
      <c r="AT96" s="76" t="s">
        <v>518</v>
      </c>
      <c r="AU96" s="76" t="s">
        <v>23</v>
      </c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>
        <f t="shared" si="34"/>
        <v>0</v>
      </c>
      <c r="BI96" s="76" t="s">
        <v>518</v>
      </c>
      <c r="BJ96" s="76" t="s">
        <v>23</v>
      </c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>
        <f t="shared" si="35"/>
        <v>0</v>
      </c>
      <c r="BX96" s="76" t="s">
        <v>518</v>
      </c>
      <c r="BY96" s="76" t="s">
        <v>23</v>
      </c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>
        <f t="shared" si="36"/>
        <v>0</v>
      </c>
      <c r="CM96" s="211">
        <f t="shared" si="37"/>
        <v>0</v>
      </c>
      <c r="CN96" s="211">
        <f t="shared" si="38"/>
        <v>0</v>
      </c>
      <c r="CO96" s="211">
        <f t="shared" si="39"/>
        <v>0</v>
      </c>
      <c r="CP96" s="211">
        <f t="shared" si="40"/>
        <v>-60</v>
      </c>
    </row>
    <row r="97" spans="1:94" s="6" customFormat="1" ht="37.799999999999997" x14ac:dyDescent="0.3">
      <c r="A97" s="78">
        <v>95</v>
      </c>
      <c r="B97" s="76">
        <v>24971</v>
      </c>
      <c r="C97" s="76" t="s">
        <v>166</v>
      </c>
      <c r="D97" s="76">
        <v>2</v>
      </c>
      <c r="E97" s="76" t="s">
        <v>268</v>
      </c>
      <c r="F97" s="76" t="s">
        <v>505</v>
      </c>
      <c r="G97" s="76" t="s">
        <v>178</v>
      </c>
      <c r="H97" s="215">
        <v>45982</v>
      </c>
      <c r="I97" s="215">
        <v>46302</v>
      </c>
      <c r="J97" s="255">
        <v>6490</v>
      </c>
      <c r="K97" s="211"/>
      <c r="L97" s="211"/>
      <c r="M97" s="211"/>
      <c r="N97" s="211"/>
      <c r="O97" s="211">
        <f t="shared" si="21"/>
        <v>0</v>
      </c>
      <c r="P97" s="211"/>
      <c r="Q97" s="211"/>
      <c r="R97" s="211"/>
      <c r="S97" s="211"/>
      <c r="T97" s="211">
        <f t="shared" si="27"/>
        <v>0</v>
      </c>
      <c r="U97" s="211">
        <f t="shared" si="22"/>
        <v>0</v>
      </c>
      <c r="V97" s="211">
        <f t="shared" si="23"/>
        <v>0</v>
      </c>
      <c r="W97" s="211">
        <f t="shared" si="24"/>
        <v>0</v>
      </c>
      <c r="X97" s="211">
        <f t="shared" si="25"/>
        <v>0</v>
      </c>
      <c r="Y97" s="211">
        <f t="shared" si="28"/>
        <v>0</v>
      </c>
      <c r="Z97" s="211">
        <f t="shared" si="29"/>
        <v>0</v>
      </c>
      <c r="AA97" s="211">
        <f t="shared" si="30"/>
        <v>0</v>
      </c>
      <c r="AB97" s="211">
        <f t="shared" si="31"/>
        <v>0</v>
      </c>
      <c r="AC97" s="211">
        <f t="shared" si="32"/>
        <v>0</v>
      </c>
      <c r="AD97" s="211">
        <f t="shared" si="33"/>
        <v>0</v>
      </c>
      <c r="AE97" s="76" t="s">
        <v>518</v>
      </c>
      <c r="AF97" s="76" t="s">
        <v>23</v>
      </c>
      <c r="AG97" s="298"/>
      <c r="AH97" s="298"/>
      <c r="AI97" s="298"/>
      <c r="AJ97" s="298"/>
      <c r="AK97" s="298"/>
      <c r="AL97" s="298"/>
      <c r="AM97" s="298"/>
      <c r="AN97" s="298"/>
      <c r="AO97" s="255"/>
      <c r="AP97" s="255"/>
      <c r="AQ97" s="255"/>
      <c r="AR97" s="255"/>
      <c r="AS97" s="76">
        <f t="shared" si="26"/>
        <v>0</v>
      </c>
      <c r="AT97" s="76" t="s">
        <v>518</v>
      </c>
      <c r="AU97" s="76" t="s">
        <v>23</v>
      </c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>
        <f t="shared" si="34"/>
        <v>0</v>
      </c>
      <c r="BI97" s="76" t="s">
        <v>518</v>
      </c>
      <c r="BJ97" s="76" t="s">
        <v>23</v>
      </c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>
        <f t="shared" si="35"/>
        <v>0</v>
      </c>
      <c r="BX97" s="76" t="s">
        <v>518</v>
      </c>
      <c r="BY97" s="76" t="s">
        <v>23</v>
      </c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>
        <f t="shared" si="36"/>
        <v>0</v>
      </c>
      <c r="CM97" s="211">
        <f t="shared" si="37"/>
        <v>0</v>
      </c>
      <c r="CN97" s="211">
        <f t="shared" si="38"/>
        <v>0</v>
      </c>
      <c r="CO97" s="211">
        <f t="shared" si="39"/>
        <v>0</v>
      </c>
      <c r="CP97" s="211">
        <f t="shared" si="40"/>
        <v>0</v>
      </c>
    </row>
    <row r="98" spans="1:94" s="6" customFormat="1" ht="50.4" x14ac:dyDescent="0.3">
      <c r="A98" s="4">
        <v>96</v>
      </c>
      <c r="B98" s="76">
        <v>23007</v>
      </c>
      <c r="C98" s="76" t="s">
        <v>166</v>
      </c>
      <c r="D98" s="76">
        <v>2</v>
      </c>
      <c r="E98" s="76" t="s">
        <v>269</v>
      </c>
      <c r="F98" s="76" t="s">
        <v>505</v>
      </c>
      <c r="G98" s="76" t="s">
        <v>168</v>
      </c>
      <c r="H98" s="215">
        <v>45978</v>
      </c>
      <c r="I98" s="215"/>
      <c r="J98" s="255">
        <v>18230</v>
      </c>
      <c r="K98" s="211"/>
      <c r="L98" s="211">
        <v>390</v>
      </c>
      <c r="M98" s="211"/>
      <c r="N98" s="211"/>
      <c r="O98" s="211">
        <f t="shared" si="21"/>
        <v>390</v>
      </c>
      <c r="P98" s="211"/>
      <c r="Q98" s="211"/>
      <c r="R98" s="211"/>
      <c r="S98" s="211"/>
      <c r="T98" s="211">
        <f t="shared" si="27"/>
        <v>0</v>
      </c>
      <c r="U98" s="211">
        <f t="shared" si="22"/>
        <v>0</v>
      </c>
      <c r="V98" s="211">
        <f t="shared" si="23"/>
        <v>390</v>
      </c>
      <c r="W98" s="211">
        <f t="shared" si="24"/>
        <v>0</v>
      </c>
      <c r="X98" s="211">
        <f t="shared" si="25"/>
        <v>0</v>
      </c>
      <c r="Y98" s="211">
        <f t="shared" si="28"/>
        <v>390</v>
      </c>
      <c r="Z98" s="211">
        <f t="shared" si="29"/>
        <v>0</v>
      </c>
      <c r="AA98" s="211">
        <f t="shared" si="30"/>
        <v>0</v>
      </c>
      <c r="AB98" s="211">
        <f t="shared" si="31"/>
        <v>0</v>
      </c>
      <c r="AC98" s="211">
        <f t="shared" si="32"/>
        <v>0</v>
      </c>
      <c r="AD98" s="211">
        <f t="shared" si="33"/>
        <v>0</v>
      </c>
      <c r="AE98" s="76" t="s">
        <v>518</v>
      </c>
      <c r="AF98" s="76" t="s">
        <v>23</v>
      </c>
      <c r="AG98" s="298"/>
      <c r="AH98" s="298"/>
      <c r="AI98" s="298"/>
      <c r="AJ98" s="298"/>
      <c r="AK98" s="298"/>
      <c r="AL98" s="298"/>
      <c r="AM98" s="298"/>
      <c r="AN98" s="298"/>
      <c r="AO98" s="255"/>
      <c r="AP98" s="255"/>
      <c r="AQ98" s="255"/>
      <c r="AR98" s="255"/>
      <c r="AS98" s="76">
        <f t="shared" si="26"/>
        <v>0</v>
      </c>
      <c r="AT98" s="76" t="s">
        <v>518</v>
      </c>
      <c r="AU98" s="76" t="s">
        <v>23</v>
      </c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>
        <f t="shared" si="34"/>
        <v>0</v>
      </c>
      <c r="BI98" s="76" t="s">
        <v>518</v>
      </c>
      <c r="BJ98" s="76" t="s">
        <v>23</v>
      </c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>
        <f t="shared" si="35"/>
        <v>0</v>
      </c>
      <c r="BX98" s="76" t="s">
        <v>518</v>
      </c>
      <c r="BY98" s="76" t="s">
        <v>23</v>
      </c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>
        <f t="shared" si="36"/>
        <v>0</v>
      </c>
      <c r="CM98" s="211">
        <f t="shared" si="37"/>
        <v>0</v>
      </c>
      <c r="CN98" s="211">
        <f t="shared" si="38"/>
        <v>390</v>
      </c>
      <c r="CO98" s="211">
        <f t="shared" si="39"/>
        <v>0</v>
      </c>
      <c r="CP98" s="211">
        <f t="shared" si="40"/>
        <v>0</v>
      </c>
    </row>
    <row r="99" spans="1:94" s="6" customFormat="1" ht="24" customHeight="1" x14ac:dyDescent="0.3">
      <c r="A99" s="78">
        <v>97</v>
      </c>
      <c r="B99" s="76">
        <v>23097</v>
      </c>
      <c r="C99" s="76" t="s">
        <v>166</v>
      </c>
      <c r="D99" s="76">
        <v>1</v>
      </c>
      <c r="E99" s="76" t="s">
        <v>270</v>
      </c>
      <c r="F99" s="76"/>
      <c r="G99" s="76" t="s">
        <v>584</v>
      </c>
      <c r="H99" s="215">
        <v>45981</v>
      </c>
      <c r="I99" s="215">
        <v>46179</v>
      </c>
      <c r="J99" s="255">
        <v>9362</v>
      </c>
      <c r="K99" s="211">
        <v>833</v>
      </c>
      <c r="L99" s="211">
        <v>98</v>
      </c>
      <c r="M99" s="211">
        <v>32</v>
      </c>
      <c r="N99" s="211">
        <v>200</v>
      </c>
      <c r="O99" s="211">
        <f t="shared" si="21"/>
        <v>1163</v>
      </c>
      <c r="P99" s="211">
        <v>264.24</v>
      </c>
      <c r="Q99" s="211"/>
      <c r="R99" s="211"/>
      <c r="S99" s="211"/>
      <c r="T99" s="211">
        <f t="shared" si="27"/>
        <v>264.24</v>
      </c>
      <c r="U99" s="211">
        <f t="shared" si="22"/>
        <v>568.76</v>
      </c>
      <c r="V99" s="211">
        <f t="shared" si="23"/>
        <v>98</v>
      </c>
      <c r="W99" s="211">
        <f t="shared" si="24"/>
        <v>32</v>
      </c>
      <c r="X99" s="211">
        <f t="shared" si="25"/>
        <v>200</v>
      </c>
      <c r="Y99" s="211">
        <f t="shared" si="28"/>
        <v>898.76</v>
      </c>
      <c r="Z99" s="211">
        <f t="shared" si="29"/>
        <v>569</v>
      </c>
      <c r="AA99" s="211">
        <f t="shared" si="30"/>
        <v>90</v>
      </c>
      <c r="AB99" s="211">
        <f t="shared" si="31"/>
        <v>32</v>
      </c>
      <c r="AC99" s="211">
        <f t="shared" si="32"/>
        <v>160</v>
      </c>
      <c r="AD99" s="211">
        <f t="shared" si="33"/>
        <v>851</v>
      </c>
      <c r="AE99" s="76" t="s">
        <v>518</v>
      </c>
      <c r="AF99" s="76" t="s">
        <v>23</v>
      </c>
      <c r="AG99" s="298">
        <v>169</v>
      </c>
      <c r="AH99" s="298">
        <v>200</v>
      </c>
      <c r="AI99" s="298">
        <v>200</v>
      </c>
      <c r="AJ99" s="298"/>
      <c r="AK99" s="298"/>
      <c r="AL99" s="298"/>
      <c r="AM99" s="298"/>
      <c r="AN99" s="298"/>
      <c r="AO99" s="255"/>
      <c r="AP99" s="255"/>
      <c r="AQ99" s="255"/>
      <c r="AR99" s="255"/>
      <c r="AS99" s="76">
        <f t="shared" si="26"/>
        <v>569</v>
      </c>
      <c r="AT99" s="76" t="s">
        <v>518</v>
      </c>
      <c r="AU99" s="76" t="s">
        <v>23</v>
      </c>
      <c r="AV99" s="76">
        <v>45</v>
      </c>
      <c r="AW99" s="76">
        <v>45</v>
      </c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>
        <f t="shared" si="34"/>
        <v>90</v>
      </c>
      <c r="BI99" s="76" t="s">
        <v>518</v>
      </c>
      <c r="BJ99" s="76" t="s">
        <v>23</v>
      </c>
      <c r="BK99" s="76">
        <v>32</v>
      </c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>
        <f t="shared" si="35"/>
        <v>32</v>
      </c>
      <c r="BX99" s="76" t="s">
        <v>518</v>
      </c>
      <c r="BY99" s="76" t="s">
        <v>23</v>
      </c>
      <c r="BZ99" s="76"/>
      <c r="CA99" s="76"/>
      <c r="CB99" s="76"/>
      <c r="CC99" s="76">
        <v>160</v>
      </c>
      <c r="CD99" s="76"/>
      <c r="CE99" s="76"/>
      <c r="CF99" s="76"/>
      <c r="CG99" s="76"/>
      <c r="CH99" s="76"/>
      <c r="CI99" s="76"/>
      <c r="CJ99" s="76"/>
      <c r="CK99" s="76"/>
      <c r="CL99" s="76">
        <f t="shared" si="36"/>
        <v>160</v>
      </c>
      <c r="CM99" s="211">
        <f t="shared" si="37"/>
        <v>-0.24000000000000909</v>
      </c>
      <c r="CN99" s="211">
        <f t="shared" si="38"/>
        <v>8</v>
      </c>
      <c r="CO99" s="211">
        <f t="shared" si="39"/>
        <v>0</v>
      </c>
      <c r="CP99" s="211">
        <f t="shared" si="40"/>
        <v>40</v>
      </c>
    </row>
    <row r="100" spans="1:94" s="6" customFormat="1" ht="24" customHeight="1" x14ac:dyDescent="0.3">
      <c r="A100" s="4">
        <v>98</v>
      </c>
      <c r="B100" s="76" t="s">
        <v>271</v>
      </c>
      <c r="C100" s="76">
        <v>25240</v>
      </c>
      <c r="D100" s="76">
        <v>2</v>
      </c>
      <c r="E100" s="76" t="s">
        <v>272</v>
      </c>
      <c r="F100" s="76" t="s">
        <v>505</v>
      </c>
      <c r="G100" s="76" t="s">
        <v>175</v>
      </c>
      <c r="H100" s="215">
        <v>45987</v>
      </c>
      <c r="I100" s="215">
        <v>46038</v>
      </c>
      <c r="J100" s="255">
        <v>42310</v>
      </c>
      <c r="K100" s="211">
        <v>2633.3168000000001</v>
      </c>
      <c r="L100" s="211">
        <v>720</v>
      </c>
      <c r="M100" s="211"/>
      <c r="N100" s="211">
        <v>350</v>
      </c>
      <c r="O100" s="211">
        <f t="shared" si="21"/>
        <v>3703.3168000000001</v>
      </c>
      <c r="P100" s="211">
        <v>4629.6000000000004</v>
      </c>
      <c r="Q100" s="211">
        <v>79.2</v>
      </c>
      <c r="R100" s="211"/>
      <c r="S100" s="211"/>
      <c r="T100" s="211">
        <f t="shared" si="27"/>
        <v>4708.8</v>
      </c>
      <c r="U100" s="211">
        <f t="shared" si="22"/>
        <v>-1996.2832000000003</v>
      </c>
      <c r="V100" s="211">
        <f t="shared" si="23"/>
        <v>640.79999999999995</v>
      </c>
      <c r="W100" s="211">
        <f t="shared" si="24"/>
        <v>0</v>
      </c>
      <c r="X100" s="211">
        <f t="shared" si="25"/>
        <v>350</v>
      </c>
      <c r="Y100" s="211">
        <f t="shared" si="28"/>
        <v>-1005.4832000000004</v>
      </c>
      <c r="Z100" s="211">
        <f t="shared" si="29"/>
        <v>0</v>
      </c>
      <c r="AA100" s="211">
        <f t="shared" si="30"/>
        <v>0</v>
      </c>
      <c r="AB100" s="211">
        <f t="shared" si="31"/>
        <v>0</v>
      </c>
      <c r="AC100" s="211">
        <f t="shared" si="32"/>
        <v>0</v>
      </c>
      <c r="AD100" s="211">
        <f t="shared" si="33"/>
        <v>0</v>
      </c>
      <c r="AE100" s="76" t="s">
        <v>517</v>
      </c>
      <c r="AF100" s="76" t="s">
        <v>22</v>
      </c>
      <c r="AG100" s="298"/>
      <c r="AH100" s="298"/>
      <c r="AI100" s="298"/>
      <c r="AJ100" s="298"/>
      <c r="AK100" s="298"/>
      <c r="AL100" s="298"/>
      <c r="AM100" s="298"/>
      <c r="AN100" s="298"/>
      <c r="AO100" s="255"/>
      <c r="AP100" s="255"/>
      <c r="AQ100" s="255"/>
      <c r="AR100" s="255"/>
      <c r="AS100" s="76">
        <f t="shared" si="26"/>
        <v>0</v>
      </c>
      <c r="AT100" s="76" t="s">
        <v>517</v>
      </c>
      <c r="AU100" s="76" t="s">
        <v>22</v>
      </c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>
        <f t="shared" si="34"/>
        <v>0</v>
      </c>
      <c r="BI100" s="76" t="s">
        <v>517</v>
      </c>
      <c r="BJ100" s="76" t="s">
        <v>22</v>
      </c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>
        <f t="shared" si="35"/>
        <v>0</v>
      </c>
      <c r="BX100" s="76" t="s">
        <v>517</v>
      </c>
      <c r="BY100" s="76" t="s">
        <v>22</v>
      </c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>
        <f t="shared" si="36"/>
        <v>0</v>
      </c>
      <c r="CM100" s="211">
        <f t="shared" si="37"/>
        <v>-1996.2832000000003</v>
      </c>
      <c r="CN100" s="211">
        <f t="shared" si="38"/>
        <v>640.79999999999995</v>
      </c>
      <c r="CO100" s="211">
        <f t="shared" si="39"/>
        <v>0</v>
      </c>
      <c r="CP100" s="211">
        <f t="shared" si="40"/>
        <v>350</v>
      </c>
    </row>
    <row r="101" spans="1:94" s="6" customFormat="1" ht="24" customHeight="1" x14ac:dyDescent="0.3">
      <c r="A101" s="78">
        <v>99</v>
      </c>
      <c r="B101" s="76">
        <v>25264</v>
      </c>
      <c r="C101" s="76" t="s">
        <v>166</v>
      </c>
      <c r="D101" s="76">
        <v>2</v>
      </c>
      <c r="E101" s="76" t="s">
        <v>238</v>
      </c>
      <c r="F101" s="76" t="s">
        <v>505</v>
      </c>
      <c r="G101" s="76" t="s">
        <v>162</v>
      </c>
      <c r="H101" s="215">
        <v>45988</v>
      </c>
      <c r="I101" s="215">
        <v>46096</v>
      </c>
      <c r="J101" s="255">
        <v>1690</v>
      </c>
      <c r="K101" s="211">
        <v>216</v>
      </c>
      <c r="L101" s="211">
        <v>84</v>
      </c>
      <c r="M101" s="211"/>
      <c r="N101" s="211"/>
      <c r="O101" s="211">
        <f t="shared" si="21"/>
        <v>300</v>
      </c>
      <c r="P101" s="211">
        <v>45.29</v>
      </c>
      <c r="Q101" s="211">
        <v>102.9</v>
      </c>
      <c r="R101" s="211">
        <v>43.5</v>
      </c>
      <c r="S101" s="211"/>
      <c r="T101" s="211">
        <f t="shared" si="27"/>
        <v>191.69</v>
      </c>
      <c r="U101" s="211">
        <f t="shared" si="22"/>
        <v>170.71</v>
      </c>
      <c r="V101" s="211">
        <f t="shared" si="23"/>
        <v>-18.900000000000006</v>
      </c>
      <c r="W101" s="211">
        <f t="shared" si="24"/>
        <v>-43.5</v>
      </c>
      <c r="X101" s="211">
        <f t="shared" si="25"/>
        <v>0</v>
      </c>
      <c r="Y101" s="211">
        <f t="shared" si="28"/>
        <v>108.31</v>
      </c>
      <c r="Z101" s="211">
        <f t="shared" si="29"/>
        <v>0</v>
      </c>
      <c r="AA101" s="211">
        <f t="shared" si="30"/>
        <v>0</v>
      </c>
      <c r="AB101" s="211">
        <f t="shared" si="31"/>
        <v>0</v>
      </c>
      <c r="AC101" s="211">
        <f t="shared" si="32"/>
        <v>0</v>
      </c>
      <c r="AD101" s="211">
        <f t="shared" si="33"/>
        <v>0</v>
      </c>
      <c r="AE101" s="76" t="s">
        <v>517</v>
      </c>
      <c r="AF101" s="76" t="s">
        <v>22</v>
      </c>
      <c r="AG101" s="298"/>
      <c r="AH101" s="298"/>
      <c r="AI101" s="298"/>
      <c r="AJ101" s="298"/>
      <c r="AK101" s="298"/>
      <c r="AL101" s="298"/>
      <c r="AM101" s="298"/>
      <c r="AN101" s="298"/>
      <c r="AO101" s="255"/>
      <c r="AP101" s="255"/>
      <c r="AQ101" s="255"/>
      <c r="AR101" s="255"/>
      <c r="AS101" s="76">
        <f t="shared" si="26"/>
        <v>0</v>
      </c>
      <c r="AT101" s="76" t="s">
        <v>517</v>
      </c>
      <c r="AU101" s="76" t="s">
        <v>22</v>
      </c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>
        <f t="shared" si="34"/>
        <v>0</v>
      </c>
      <c r="BI101" s="76" t="s">
        <v>517</v>
      </c>
      <c r="BJ101" s="76" t="s">
        <v>22</v>
      </c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>
        <f t="shared" si="35"/>
        <v>0</v>
      </c>
      <c r="BX101" s="76" t="s">
        <v>517</v>
      </c>
      <c r="BY101" s="76" t="s">
        <v>22</v>
      </c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>
        <f t="shared" si="36"/>
        <v>0</v>
      </c>
      <c r="CM101" s="211">
        <f t="shared" si="37"/>
        <v>170.71</v>
      </c>
      <c r="CN101" s="211">
        <f t="shared" si="38"/>
        <v>-18.900000000000006</v>
      </c>
      <c r="CO101" s="211">
        <f t="shared" si="39"/>
        <v>-43.5</v>
      </c>
      <c r="CP101" s="211">
        <f t="shared" si="40"/>
        <v>0</v>
      </c>
    </row>
    <row r="102" spans="1:94" s="6" customFormat="1" ht="50.4" x14ac:dyDescent="0.3">
      <c r="A102" s="4">
        <v>100</v>
      </c>
      <c r="B102" s="76" t="s">
        <v>295</v>
      </c>
      <c r="C102" s="76">
        <v>23960</v>
      </c>
      <c r="D102" s="76">
        <v>3</v>
      </c>
      <c r="E102" s="76" t="s">
        <v>273</v>
      </c>
      <c r="F102" s="76"/>
      <c r="G102" s="76" t="s">
        <v>189</v>
      </c>
      <c r="H102" s="215">
        <v>45989</v>
      </c>
      <c r="I102" s="215"/>
      <c r="J102" s="255">
        <v>8438</v>
      </c>
      <c r="K102" s="211"/>
      <c r="L102" s="211">
        <v>252</v>
      </c>
      <c r="M102" s="211">
        <v>90</v>
      </c>
      <c r="N102" s="211"/>
      <c r="O102" s="211">
        <f t="shared" si="21"/>
        <v>342</v>
      </c>
      <c r="P102" s="211">
        <v>150</v>
      </c>
      <c r="Q102" s="211"/>
      <c r="R102" s="211"/>
      <c r="S102" s="211"/>
      <c r="T102" s="211">
        <f t="shared" si="27"/>
        <v>150</v>
      </c>
      <c r="U102" s="211">
        <f t="shared" si="22"/>
        <v>-150</v>
      </c>
      <c r="V102" s="211">
        <f t="shared" si="23"/>
        <v>252</v>
      </c>
      <c r="W102" s="211">
        <f t="shared" si="24"/>
        <v>90</v>
      </c>
      <c r="X102" s="211">
        <f t="shared" si="25"/>
        <v>0</v>
      </c>
      <c r="Y102" s="211">
        <f t="shared" si="28"/>
        <v>192</v>
      </c>
      <c r="Z102" s="211">
        <f t="shared" si="29"/>
        <v>25</v>
      </c>
      <c r="AA102" s="211">
        <f t="shared" si="30"/>
        <v>252</v>
      </c>
      <c r="AB102" s="211">
        <f t="shared" si="31"/>
        <v>90</v>
      </c>
      <c r="AC102" s="211">
        <f t="shared" si="32"/>
        <v>0</v>
      </c>
      <c r="AD102" s="211">
        <f t="shared" si="33"/>
        <v>367</v>
      </c>
      <c r="AE102" s="76" t="s">
        <v>518</v>
      </c>
      <c r="AF102" s="76" t="s">
        <v>23</v>
      </c>
      <c r="AG102" s="298">
        <v>25</v>
      </c>
      <c r="AH102" s="298"/>
      <c r="AI102" s="298"/>
      <c r="AJ102" s="298"/>
      <c r="AK102" s="298"/>
      <c r="AL102" s="298"/>
      <c r="AM102" s="298"/>
      <c r="AN102" s="298"/>
      <c r="AO102" s="255"/>
      <c r="AP102" s="255"/>
      <c r="AQ102" s="255"/>
      <c r="AR102" s="255"/>
      <c r="AS102" s="76">
        <f t="shared" si="26"/>
        <v>25</v>
      </c>
      <c r="AT102" s="76" t="s">
        <v>518</v>
      </c>
      <c r="AU102" s="76" t="s">
        <v>23</v>
      </c>
      <c r="AV102" s="76">
        <v>126</v>
      </c>
      <c r="AW102" s="76">
        <v>126</v>
      </c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>
        <f t="shared" si="34"/>
        <v>252</v>
      </c>
      <c r="BI102" s="76" t="s">
        <v>518</v>
      </c>
      <c r="BJ102" s="76" t="s">
        <v>23</v>
      </c>
      <c r="BK102" s="76">
        <v>20</v>
      </c>
      <c r="BL102" s="76">
        <v>70</v>
      </c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>
        <f t="shared" si="35"/>
        <v>90</v>
      </c>
      <c r="BX102" s="76" t="s">
        <v>518</v>
      </c>
      <c r="BY102" s="76" t="s">
        <v>23</v>
      </c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>
        <f t="shared" si="36"/>
        <v>0</v>
      </c>
      <c r="CM102" s="211">
        <f t="shared" si="37"/>
        <v>-175</v>
      </c>
      <c r="CN102" s="211">
        <f t="shared" si="38"/>
        <v>0</v>
      </c>
      <c r="CO102" s="211">
        <f t="shared" si="39"/>
        <v>0</v>
      </c>
      <c r="CP102" s="211">
        <f t="shared" si="40"/>
        <v>0</v>
      </c>
    </row>
    <row r="103" spans="1:94" s="6" customFormat="1" ht="24" customHeight="1" x14ac:dyDescent="0.3">
      <c r="A103" s="78">
        <v>101</v>
      </c>
      <c r="B103" s="76">
        <v>26954</v>
      </c>
      <c r="C103" s="76" t="s">
        <v>166</v>
      </c>
      <c r="D103" s="76"/>
      <c r="E103" s="76" t="s">
        <v>275</v>
      </c>
      <c r="F103" s="76" t="s">
        <v>505</v>
      </c>
      <c r="G103" s="76" t="s">
        <v>279</v>
      </c>
      <c r="H103" s="215">
        <v>45996</v>
      </c>
      <c r="I103" s="215">
        <v>46178</v>
      </c>
      <c r="J103" s="255"/>
      <c r="K103" s="211"/>
      <c r="L103" s="211"/>
      <c r="M103" s="211"/>
      <c r="N103" s="211"/>
      <c r="O103" s="211">
        <f t="shared" si="21"/>
        <v>0</v>
      </c>
      <c r="P103" s="211">
        <v>49.6</v>
      </c>
      <c r="Q103" s="211"/>
      <c r="R103" s="211"/>
      <c r="S103" s="211"/>
      <c r="T103" s="211">
        <f t="shared" si="27"/>
        <v>49.6</v>
      </c>
      <c r="U103" s="211">
        <f t="shared" si="22"/>
        <v>-49.6</v>
      </c>
      <c r="V103" s="211">
        <f t="shared" si="23"/>
        <v>0</v>
      </c>
      <c r="W103" s="211">
        <f t="shared" si="24"/>
        <v>0</v>
      </c>
      <c r="X103" s="211">
        <f t="shared" si="25"/>
        <v>0</v>
      </c>
      <c r="Y103" s="211">
        <f t="shared" si="28"/>
        <v>-49.6</v>
      </c>
      <c r="Z103" s="211">
        <f t="shared" si="29"/>
        <v>0</v>
      </c>
      <c r="AA103" s="211">
        <f t="shared" si="30"/>
        <v>0</v>
      </c>
      <c r="AB103" s="211">
        <f t="shared" si="31"/>
        <v>0</v>
      </c>
      <c r="AC103" s="211">
        <f t="shared" si="32"/>
        <v>0</v>
      </c>
      <c r="AD103" s="211">
        <f t="shared" si="33"/>
        <v>0</v>
      </c>
      <c r="AE103" s="76" t="s">
        <v>518</v>
      </c>
      <c r="AF103" s="76" t="s">
        <v>23</v>
      </c>
      <c r="AG103" s="298"/>
      <c r="AH103" s="298"/>
      <c r="AI103" s="298"/>
      <c r="AJ103" s="298"/>
      <c r="AK103" s="298"/>
      <c r="AL103" s="298"/>
      <c r="AM103" s="298"/>
      <c r="AN103" s="298"/>
      <c r="AO103" s="255"/>
      <c r="AP103" s="255"/>
      <c r="AQ103" s="255"/>
      <c r="AR103" s="255"/>
      <c r="AS103" s="76">
        <f t="shared" si="26"/>
        <v>0</v>
      </c>
      <c r="AT103" s="76" t="s">
        <v>518</v>
      </c>
      <c r="AU103" s="76" t="s">
        <v>23</v>
      </c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>
        <f t="shared" si="34"/>
        <v>0</v>
      </c>
      <c r="BI103" s="76" t="s">
        <v>518</v>
      </c>
      <c r="BJ103" s="76" t="s">
        <v>23</v>
      </c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>
        <f t="shared" si="35"/>
        <v>0</v>
      </c>
      <c r="BX103" s="76" t="s">
        <v>518</v>
      </c>
      <c r="BY103" s="76" t="s">
        <v>23</v>
      </c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>
        <f t="shared" si="36"/>
        <v>0</v>
      </c>
      <c r="CM103" s="211">
        <f t="shared" si="37"/>
        <v>-49.6</v>
      </c>
      <c r="CN103" s="211">
        <f t="shared" si="38"/>
        <v>0</v>
      </c>
      <c r="CO103" s="211">
        <f t="shared" si="39"/>
        <v>0</v>
      </c>
      <c r="CP103" s="211">
        <f t="shared" si="40"/>
        <v>0</v>
      </c>
    </row>
    <row r="104" spans="1:94" s="6" customFormat="1" ht="24" customHeight="1" x14ac:dyDescent="0.3">
      <c r="A104" s="4">
        <v>102</v>
      </c>
      <c r="B104" s="76">
        <v>25457</v>
      </c>
      <c r="C104" s="76" t="s">
        <v>166</v>
      </c>
      <c r="D104" s="76">
        <v>4</v>
      </c>
      <c r="E104" s="76" t="s">
        <v>276</v>
      </c>
      <c r="F104" s="76"/>
      <c r="G104" s="76" t="s">
        <v>213</v>
      </c>
      <c r="H104" s="215">
        <v>45999</v>
      </c>
      <c r="I104" s="215">
        <v>46351</v>
      </c>
      <c r="J104" s="255">
        <v>24613</v>
      </c>
      <c r="K104" s="211"/>
      <c r="L104" s="211"/>
      <c r="M104" s="211"/>
      <c r="N104" s="211"/>
      <c r="O104" s="211">
        <f t="shared" si="21"/>
        <v>0</v>
      </c>
      <c r="P104" s="211"/>
      <c r="Q104" s="211"/>
      <c r="R104" s="211"/>
      <c r="S104" s="211"/>
      <c r="T104" s="211">
        <f t="shared" si="27"/>
        <v>0</v>
      </c>
      <c r="U104" s="211">
        <f t="shared" si="22"/>
        <v>0</v>
      </c>
      <c r="V104" s="211">
        <f t="shared" si="23"/>
        <v>0</v>
      </c>
      <c r="W104" s="211">
        <f t="shared" si="24"/>
        <v>0</v>
      </c>
      <c r="X104" s="211">
        <f t="shared" si="25"/>
        <v>0</v>
      </c>
      <c r="Y104" s="211">
        <f t="shared" si="28"/>
        <v>0</v>
      </c>
      <c r="Z104" s="211">
        <f t="shared" si="29"/>
        <v>0</v>
      </c>
      <c r="AA104" s="211">
        <f t="shared" si="30"/>
        <v>0</v>
      </c>
      <c r="AB104" s="211">
        <f t="shared" si="31"/>
        <v>0</v>
      </c>
      <c r="AC104" s="211">
        <f t="shared" si="32"/>
        <v>0</v>
      </c>
      <c r="AD104" s="211">
        <f t="shared" si="33"/>
        <v>0</v>
      </c>
      <c r="AE104" s="76" t="s">
        <v>518</v>
      </c>
      <c r="AF104" s="76" t="s">
        <v>23</v>
      </c>
      <c r="AG104" s="298"/>
      <c r="AH104" s="298"/>
      <c r="AI104" s="298"/>
      <c r="AJ104" s="298"/>
      <c r="AK104" s="298"/>
      <c r="AL104" s="298"/>
      <c r="AM104" s="298"/>
      <c r="AN104" s="298"/>
      <c r="AO104" s="255"/>
      <c r="AP104" s="255"/>
      <c r="AQ104" s="255"/>
      <c r="AR104" s="255"/>
      <c r="AS104" s="76">
        <f t="shared" si="26"/>
        <v>0</v>
      </c>
      <c r="AT104" s="76" t="s">
        <v>518</v>
      </c>
      <c r="AU104" s="76" t="s">
        <v>23</v>
      </c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>
        <f t="shared" si="34"/>
        <v>0</v>
      </c>
      <c r="BI104" s="76" t="s">
        <v>518</v>
      </c>
      <c r="BJ104" s="76" t="s">
        <v>23</v>
      </c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>
        <f t="shared" si="35"/>
        <v>0</v>
      </c>
      <c r="BX104" s="76" t="s">
        <v>518</v>
      </c>
      <c r="BY104" s="76" t="s">
        <v>23</v>
      </c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>
        <f t="shared" si="36"/>
        <v>0</v>
      </c>
      <c r="CM104" s="211">
        <f t="shared" si="37"/>
        <v>0</v>
      </c>
      <c r="CN104" s="211">
        <f t="shared" si="38"/>
        <v>0</v>
      </c>
      <c r="CO104" s="211">
        <f t="shared" si="39"/>
        <v>0</v>
      </c>
      <c r="CP104" s="211">
        <f t="shared" si="40"/>
        <v>0</v>
      </c>
    </row>
    <row r="105" spans="1:94" s="6" customFormat="1" ht="50.4" x14ac:dyDescent="0.3">
      <c r="A105" s="78">
        <v>103</v>
      </c>
      <c r="B105" s="76">
        <v>25686</v>
      </c>
      <c r="C105" s="76" t="s">
        <v>166</v>
      </c>
      <c r="D105" s="76">
        <v>2</v>
      </c>
      <c r="E105" s="76" t="s">
        <v>280</v>
      </c>
      <c r="F105" s="76" t="s">
        <v>505</v>
      </c>
      <c r="G105" s="76" t="s">
        <v>178</v>
      </c>
      <c r="H105" s="215">
        <v>46001</v>
      </c>
      <c r="I105" s="215">
        <v>46203</v>
      </c>
      <c r="J105" s="255">
        <v>3820</v>
      </c>
      <c r="K105" s="211">
        <v>5</v>
      </c>
      <c r="L105" s="211">
        <v>4</v>
      </c>
      <c r="M105" s="211">
        <v>6</v>
      </c>
      <c r="N105" s="211">
        <v>30</v>
      </c>
      <c r="O105" s="211">
        <f t="shared" si="21"/>
        <v>45</v>
      </c>
      <c r="P105" s="211"/>
      <c r="Q105" s="211"/>
      <c r="R105" s="211"/>
      <c r="S105" s="211"/>
      <c r="T105" s="211">
        <f t="shared" si="27"/>
        <v>0</v>
      </c>
      <c r="U105" s="211">
        <f t="shared" si="22"/>
        <v>5</v>
      </c>
      <c r="V105" s="211">
        <f t="shared" si="23"/>
        <v>4</v>
      </c>
      <c r="W105" s="211">
        <f t="shared" si="24"/>
        <v>6</v>
      </c>
      <c r="X105" s="211">
        <f t="shared" si="25"/>
        <v>30</v>
      </c>
      <c r="Y105" s="211">
        <f t="shared" si="28"/>
        <v>45</v>
      </c>
      <c r="Z105" s="211">
        <f t="shared" si="29"/>
        <v>0</v>
      </c>
      <c r="AA105" s="211">
        <f t="shared" si="30"/>
        <v>0</v>
      </c>
      <c r="AB105" s="211">
        <f t="shared" si="31"/>
        <v>0</v>
      </c>
      <c r="AC105" s="211">
        <f t="shared" si="32"/>
        <v>0</v>
      </c>
      <c r="AD105" s="211">
        <f t="shared" si="33"/>
        <v>0</v>
      </c>
      <c r="AE105" s="76" t="s">
        <v>518</v>
      </c>
      <c r="AF105" s="76" t="s">
        <v>23</v>
      </c>
      <c r="AG105" s="298"/>
      <c r="AH105" s="298"/>
      <c r="AI105" s="298"/>
      <c r="AJ105" s="298"/>
      <c r="AK105" s="298"/>
      <c r="AL105" s="298"/>
      <c r="AM105" s="298"/>
      <c r="AN105" s="298"/>
      <c r="AO105" s="255"/>
      <c r="AP105" s="255"/>
      <c r="AQ105" s="255"/>
      <c r="AR105" s="255"/>
      <c r="AS105" s="76">
        <f t="shared" si="26"/>
        <v>0</v>
      </c>
      <c r="AT105" s="76" t="s">
        <v>518</v>
      </c>
      <c r="AU105" s="76" t="s">
        <v>23</v>
      </c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>
        <f t="shared" si="34"/>
        <v>0</v>
      </c>
      <c r="BI105" s="76" t="s">
        <v>518</v>
      </c>
      <c r="BJ105" s="76" t="s">
        <v>23</v>
      </c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>
        <f t="shared" si="35"/>
        <v>0</v>
      </c>
      <c r="BX105" s="76" t="s">
        <v>518</v>
      </c>
      <c r="BY105" s="76" t="s">
        <v>23</v>
      </c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>
        <f t="shared" si="36"/>
        <v>0</v>
      </c>
      <c r="CM105" s="211">
        <f t="shared" si="37"/>
        <v>5</v>
      </c>
      <c r="CN105" s="211">
        <f t="shared" si="38"/>
        <v>4</v>
      </c>
      <c r="CO105" s="211">
        <f t="shared" si="39"/>
        <v>6</v>
      </c>
      <c r="CP105" s="211">
        <f t="shared" si="40"/>
        <v>30</v>
      </c>
    </row>
    <row r="106" spans="1:94" s="6" customFormat="1" ht="24" customHeight="1" x14ac:dyDescent="0.3">
      <c r="A106" s="4">
        <v>104</v>
      </c>
      <c r="B106" s="76">
        <v>24765</v>
      </c>
      <c r="C106" s="76" t="s">
        <v>166</v>
      </c>
      <c r="D106" s="76">
        <v>1</v>
      </c>
      <c r="E106" s="76" t="s">
        <v>277</v>
      </c>
      <c r="F106" s="76"/>
      <c r="G106" s="76" t="s">
        <v>178</v>
      </c>
      <c r="H106" s="215">
        <v>46001</v>
      </c>
      <c r="I106" s="215">
        <v>46155</v>
      </c>
      <c r="J106" s="255">
        <v>6820</v>
      </c>
      <c r="K106" s="211">
        <v>84</v>
      </c>
      <c r="L106" s="211">
        <v>64</v>
      </c>
      <c r="M106" s="211"/>
      <c r="N106" s="211">
        <v>288</v>
      </c>
      <c r="O106" s="211">
        <f t="shared" si="21"/>
        <v>436</v>
      </c>
      <c r="P106" s="211">
        <v>28</v>
      </c>
      <c r="Q106" s="211">
        <v>49.2</v>
      </c>
      <c r="R106" s="211">
        <v>61</v>
      </c>
      <c r="S106" s="211">
        <v>16</v>
      </c>
      <c r="T106" s="211">
        <f t="shared" si="27"/>
        <v>154.19999999999999</v>
      </c>
      <c r="U106" s="211">
        <f t="shared" si="22"/>
        <v>56</v>
      </c>
      <c r="V106" s="211">
        <f t="shared" si="23"/>
        <v>14.799999999999997</v>
      </c>
      <c r="W106" s="211">
        <f t="shared" si="24"/>
        <v>-61</v>
      </c>
      <c r="X106" s="211">
        <f t="shared" si="25"/>
        <v>272</v>
      </c>
      <c r="Y106" s="211">
        <f t="shared" si="28"/>
        <v>281.8</v>
      </c>
      <c r="Z106" s="211">
        <f t="shared" si="29"/>
        <v>56</v>
      </c>
      <c r="AA106" s="211">
        <f t="shared" si="30"/>
        <v>15</v>
      </c>
      <c r="AB106" s="211">
        <f t="shared" si="31"/>
        <v>0</v>
      </c>
      <c r="AC106" s="211">
        <f t="shared" si="32"/>
        <v>272</v>
      </c>
      <c r="AD106" s="211">
        <f t="shared" si="33"/>
        <v>343</v>
      </c>
      <c r="AE106" s="76" t="s">
        <v>518</v>
      </c>
      <c r="AF106" s="76" t="s">
        <v>23</v>
      </c>
      <c r="AG106" s="298">
        <v>56</v>
      </c>
      <c r="AH106" s="298"/>
      <c r="AI106" s="298"/>
      <c r="AJ106" s="298"/>
      <c r="AK106" s="298"/>
      <c r="AL106" s="298"/>
      <c r="AM106" s="298"/>
      <c r="AN106" s="298"/>
      <c r="AO106" s="255"/>
      <c r="AP106" s="255"/>
      <c r="AQ106" s="255"/>
      <c r="AR106" s="255"/>
      <c r="AS106" s="76">
        <f t="shared" si="26"/>
        <v>56</v>
      </c>
      <c r="AT106" s="76" t="s">
        <v>518</v>
      </c>
      <c r="AU106" s="76" t="s">
        <v>23</v>
      </c>
      <c r="AV106" s="76">
        <v>15</v>
      </c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>
        <f t="shared" si="34"/>
        <v>15</v>
      </c>
      <c r="BI106" s="76" t="s">
        <v>518</v>
      </c>
      <c r="BJ106" s="76" t="s">
        <v>23</v>
      </c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>
        <f t="shared" si="35"/>
        <v>0</v>
      </c>
      <c r="BX106" s="76" t="s">
        <v>518</v>
      </c>
      <c r="BY106" s="76" t="s">
        <v>23</v>
      </c>
      <c r="BZ106" s="76">
        <v>100</v>
      </c>
      <c r="CA106" s="76">
        <v>172</v>
      </c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>
        <f t="shared" si="36"/>
        <v>272</v>
      </c>
      <c r="CM106" s="211">
        <f t="shared" si="37"/>
        <v>0</v>
      </c>
      <c r="CN106" s="211">
        <f t="shared" si="38"/>
        <v>-0.20000000000000284</v>
      </c>
      <c r="CO106" s="211">
        <f t="shared" si="39"/>
        <v>-61</v>
      </c>
      <c r="CP106" s="211">
        <f t="shared" si="40"/>
        <v>0</v>
      </c>
    </row>
    <row r="107" spans="1:94" s="6" customFormat="1" ht="26.4" customHeight="1" x14ac:dyDescent="0.3">
      <c r="A107" s="78">
        <v>105</v>
      </c>
      <c r="B107" s="76">
        <v>25952</v>
      </c>
      <c r="C107" s="76" t="s">
        <v>166</v>
      </c>
      <c r="D107" s="76">
        <v>2</v>
      </c>
      <c r="E107" s="76" t="s">
        <v>278</v>
      </c>
      <c r="F107" s="76"/>
      <c r="G107" s="76" t="s">
        <v>178</v>
      </c>
      <c r="H107" s="215">
        <v>46002</v>
      </c>
      <c r="I107" s="215">
        <v>46081</v>
      </c>
      <c r="J107" s="255">
        <v>3960</v>
      </c>
      <c r="K107" s="211"/>
      <c r="L107" s="211">
        <v>20</v>
      </c>
      <c r="M107" s="211"/>
      <c r="N107" s="211">
        <v>39</v>
      </c>
      <c r="O107" s="211">
        <f t="shared" si="21"/>
        <v>59</v>
      </c>
      <c r="P107" s="211"/>
      <c r="Q107" s="211"/>
      <c r="R107" s="211"/>
      <c r="S107" s="211">
        <v>65</v>
      </c>
      <c r="T107" s="211">
        <f t="shared" si="27"/>
        <v>65</v>
      </c>
      <c r="U107" s="211">
        <f t="shared" si="22"/>
        <v>0</v>
      </c>
      <c r="V107" s="211">
        <f t="shared" si="23"/>
        <v>20</v>
      </c>
      <c r="W107" s="211">
        <f t="shared" si="24"/>
        <v>0</v>
      </c>
      <c r="X107" s="211">
        <f t="shared" si="25"/>
        <v>-26</v>
      </c>
      <c r="Y107" s="211">
        <f t="shared" si="28"/>
        <v>-6</v>
      </c>
      <c r="Z107" s="211">
        <f t="shared" si="29"/>
        <v>0</v>
      </c>
      <c r="AA107" s="211">
        <f t="shared" si="30"/>
        <v>20</v>
      </c>
      <c r="AB107" s="211">
        <f t="shared" si="31"/>
        <v>0</v>
      </c>
      <c r="AC107" s="211">
        <f t="shared" si="32"/>
        <v>0</v>
      </c>
      <c r="AD107" s="211">
        <f t="shared" si="33"/>
        <v>20</v>
      </c>
      <c r="AE107" s="76" t="s">
        <v>518</v>
      </c>
      <c r="AF107" s="76" t="s">
        <v>23</v>
      </c>
      <c r="AG107" s="298"/>
      <c r="AH107" s="298"/>
      <c r="AI107" s="298"/>
      <c r="AJ107" s="298"/>
      <c r="AK107" s="298"/>
      <c r="AL107" s="298"/>
      <c r="AM107" s="298"/>
      <c r="AN107" s="298"/>
      <c r="AO107" s="255"/>
      <c r="AP107" s="255"/>
      <c r="AQ107" s="255"/>
      <c r="AR107" s="255"/>
      <c r="AS107" s="76">
        <f t="shared" si="26"/>
        <v>0</v>
      </c>
      <c r="AT107" s="76" t="s">
        <v>518</v>
      </c>
      <c r="AU107" s="76" t="s">
        <v>23</v>
      </c>
      <c r="AV107" s="76">
        <v>20</v>
      </c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>
        <f t="shared" si="34"/>
        <v>20</v>
      </c>
      <c r="BI107" s="76" t="s">
        <v>518</v>
      </c>
      <c r="BJ107" s="76" t="s">
        <v>23</v>
      </c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>
        <f t="shared" si="35"/>
        <v>0</v>
      </c>
      <c r="BX107" s="76" t="s">
        <v>518</v>
      </c>
      <c r="BY107" s="76" t="s">
        <v>23</v>
      </c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>
        <f t="shared" si="36"/>
        <v>0</v>
      </c>
      <c r="CM107" s="211">
        <f t="shared" si="37"/>
        <v>0</v>
      </c>
      <c r="CN107" s="211">
        <f t="shared" si="38"/>
        <v>0</v>
      </c>
      <c r="CO107" s="211">
        <f t="shared" si="39"/>
        <v>0</v>
      </c>
      <c r="CP107" s="211">
        <f t="shared" si="40"/>
        <v>-26</v>
      </c>
    </row>
    <row r="108" spans="1:94" s="6" customFormat="1" ht="26.4" customHeight="1" x14ac:dyDescent="0.3">
      <c r="A108" s="4">
        <v>106</v>
      </c>
      <c r="B108" s="76">
        <v>26201</v>
      </c>
      <c r="C108" s="76" t="s">
        <v>166</v>
      </c>
      <c r="D108" s="76">
        <v>4</v>
      </c>
      <c r="E108" s="76" t="s">
        <v>283</v>
      </c>
      <c r="F108" s="76"/>
      <c r="G108" s="76" t="s">
        <v>178</v>
      </c>
      <c r="H108" s="215">
        <v>46009</v>
      </c>
      <c r="I108" s="215">
        <v>46363</v>
      </c>
      <c r="J108" s="255"/>
      <c r="K108" s="211"/>
      <c r="L108" s="211"/>
      <c r="M108" s="211"/>
      <c r="N108" s="211"/>
      <c r="O108" s="211">
        <f t="shared" si="21"/>
        <v>0</v>
      </c>
      <c r="P108" s="211"/>
      <c r="Q108" s="211"/>
      <c r="R108" s="211"/>
      <c r="S108" s="211">
        <v>7</v>
      </c>
      <c r="T108" s="211">
        <f t="shared" si="27"/>
        <v>7</v>
      </c>
      <c r="U108" s="211">
        <f t="shared" si="22"/>
        <v>0</v>
      </c>
      <c r="V108" s="211">
        <f t="shared" si="23"/>
        <v>0</v>
      </c>
      <c r="W108" s="211">
        <f t="shared" si="24"/>
        <v>0</v>
      </c>
      <c r="X108" s="211">
        <f t="shared" si="25"/>
        <v>-7</v>
      </c>
      <c r="Y108" s="211">
        <f t="shared" si="28"/>
        <v>-7</v>
      </c>
      <c r="Z108" s="211">
        <f t="shared" si="29"/>
        <v>0</v>
      </c>
      <c r="AA108" s="211">
        <f t="shared" si="30"/>
        <v>0</v>
      </c>
      <c r="AB108" s="211">
        <f t="shared" si="31"/>
        <v>0</v>
      </c>
      <c r="AC108" s="211">
        <f t="shared" si="32"/>
        <v>0</v>
      </c>
      <c r="AD108" s="211">
        <f t="shared" si="33"/>
        <v>0</v>
      </c>
      <c r="AE108" s="76" t="s">
        <v>518</v>
      </c>
      <c r="AF108" s="76" t="s">
        <v>23</v>
      </c>
      <c r="AG108" s="298"/>
      <c r="AH108" s="298"/>
      <c r="AI108" s="298"/>
      <c r="AJ108" s="298"/>
      <c r="AK108" s="298"/>
      <c r="AL108" s="298"/>
      <c r="AM108" s="298"/>
      <c r="AN108" s="298"/>
      <c r="AO108" s="255"/>
      <c r="AP108" s="255"/>
      <c r="AQ108" s="255"/>
      <c r="AR108" s="255"/>
      <c r="AS108" s="76">
        <f t="shared" si="26"/>
        <v>0</v>
      </c>
      <c r="AT108" s="76" t="s">
        <v>518</v>
      </c>
      <c r="AU108" s="76" t="s">
        <v>23</v>
      </c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>
        <f t="shared" si="34"/>
        <v>0</v>
      </c>
      <c r="BI108" s="76" t="s">
        <v>518</v>
      </c>
      <c r="BJ108" s="76" t="s">
        <v>23</v>
      </c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>
        <f t="shared" si="35"/>
        <v>0</v>
      </c>
      <c r="BX108" s="76" t="s">
        <v>518</v>
      </c>
      <c r="BY108" s="76" t="s">
        <v>23</v>
      </c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>
        <f t="shared" si="36"/>
        <v>0</v>
      </c>
      <c r="CM108" s="211">
        <f t="shared" si="37"/>
        <v>0</v>
      </c>
      <c r="CN108" s="211">
        <f t="shared" si="38"/>
        <v>0</v>
      </c>
      <c r="CO108" s="211">
        <f t="shared" si="39"/>
        <v>0</v>
      </c>
      <c r="CP108" s="211">
        <f t="shared" si="40"/>
        <v>-7</v>
      </c>
    </row>
    <row r="109" spans="1:94" s="6" customFormat="1" ht="26.4" customHeight="1" x14ac:dyDescent="0.3">
      <c r="A109" s="78">
        <v>107</v>
      </c>
      <c r="B109" s="76" t="s">
        <v>294</v>
      </c>
      <c r="C109" s="76">
        <v>25368</v>
      </c>
      <c r="D109" s="76">
        <v>1</v>
      </c>
      <c r="E109" s="76" t="s">
        <v>284</v>
      </c>
      <c r="F109" s="76" t="s">
        <v>505</v>
      </c>
      <c r="G109" s="76" t="s">
        <v>178</v>
      </c>
      <c r="H109" s="215">
        <v>46013</v>
      </c>
      <c r="I109" s="215">
        <v>46363</v>
      </c>
      <c r="J109" s="255"/>
      <c r="K109" s="211"/>
      <c r="L109" s="211"/>
      <c r="M109" s="211"/>
      <c r="N109" s="211"/>
      <c r="O109" s="211">
        <f t="shared" si="21"/>
        <v>0</v>
      </c>
      <c r="P109" s="211"/>
      <c r="Q109" s="211"/>
      <c r="R109" s="211"/>
      <c r="S109" s="211">
        <v>185</v>
      </c>
      <c r="T109" s="211">
        <f t="shared" si="27"/>
        <v>185</v>
      </c>
      <c r="U109" s="211">
        <f t="shared" si="22"/>
        <v>0</v>
      </c>
      <c r="V109" s="211">
        <f t="shared" si="23"/>
        <v>0</v>
      </c>
      <c r="W109" s="211">
        <f t="shared" si="24"/>
        <v>0</v>
      </c>
      <c r="X109" s="211">
        <f t="shared" si="25"/>
        <v>-185</v>
      </c>
      <c r="Y109" s="211">
        <f t="shared" si="28"/>
        <v>-185</v>
      </c>
      <c r="Z109" s="211">
        <f t="shared" si="29"/>
        <v>0</v>
      </c>
      <c r="AA109" s="211">
        <f t="shared" si="30"/>
        <v>0</v>
      </c>
      <c r="AB109" s="211">
        <f t="shared" si="31"/>
        <v>0</v>
      </c>
      <c r="AC109" s="211">
        <f t="shared" si="32"/>
        <v>0</v>
      </c>
      <c r="AD109" s="211">
        <f t="shared" si="33"/>
        <v>0</v>
      </c>
      <c r="AE109" s="76" t="s">
        <v>518</v>
      </c>
      <c r="AF109" s="76" t="s">
        <v>23</v>
      </c>
      <c r="AG109" s="298"/>
      <c r="AH109" s="298"/>
      <c r="AI109" s="298"/>
      <c r="AJ109" s="298"/>
      <c r="AK109" s="298"/>
      <c r="AL109" s="298"/>
      <c r="AM109" s="298"/>
      <c r="AN109" s="298"/>
      <c r="AO109" s="255"/>
      <c r="AP109" s="255"/>
      <c r="AQ109" s="255"/>
      <c r="AR109" s="255"/>
      <c r="AS109" s="76">
        <f t="shared" si="26"/>
        <v>0</v>
      </c>
      <c r="AT109" s="76" t="s">
        <v>518</v>
      </c>
      <c r="AU109" s="76" t="s">
        <v>23</v>
      </c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>
        <f t="shared" si="34"/>
        <v>0</v>
      </c>
      <c r="BI109" s="76" t="s">
        <v>518</v>
      </c>
      <c r="BJ109" s="76" t="s">
        <v>23</v>
      </c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>
        <f t="shared" si="35"/>
        <v>0</v>
      </c>
      <c r="BX109" s="76" t="s">
        <v>518</v>
      </c>
      <c r="BY109" s="76" t="s">
        <v>23</v>
      </c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>
        <f t="shared" si="36"/>
        <v>0</v>
      </c>
      <c r="CM109" s="211">
        <f t="shared" si="37"/>
        <v>0</v>
      </c>
      <c r="CN109" s="211">
        <f t="shared" si="38"/>
        <v>0</v>
      </c>
      <c r="CO109" s="211">
        <f t="shared" si="39"/>
        <v>0</v>
      </c>
      <c r="CP109" s="211">
        <f t="shared" si="40"/>
        <v>-185</v>
      </c>
    </row>
    <row r="110" spans="1:94" s="6" customFormat="1" ht="26.4" customHeight="1" x14ac:dyDescent="0.3">
      <c r="A110" s="4">
        <v>108</v>
      </c>
      <c r="B110" s="76" t="s">
        <v>336</v>
      </c>
      <c r="C110" s="76">
        <v>26562</v>
      </c>
      <c r="D110" s="76">
        <v>2</v>
      </c>
      <c r="E110" s="76" t="s">
        <v>285</v>
      </c>
      <c r="F110" s="76"/>
      <c r="G110" s="76" t="s">
        <v>175</v>
      </c>
      <c r="H110" s="215">
        <v>46020</v>
      </c>
      <c r="I110" s="215">
        <v>46280</v>
      </c>
      <c r="J110" s="255">
        <v>159690</v>
      </c>
      <c r="K110" s="211">
        <v>13150</v>
      </c>
      <c r="L110" s="211">
        <v>260</v>
      </c>
      <c r="M110" s="211"/>
      <c r="N110" s="211"/>
      <c r="O110" s="211">
        <f t="shared" si="21"/>
        <v>13410</v>
      </c>
      <c r="P110" s="211">
        <v>6763</v>
      </c>
      <c r="Q110" s="211"/>
      <c r="R110" s="211"/>
      <c r="S110" s="211"/>
      <c r="T110" s="211">
        <f t="shared" si="27"/>
        <v>6763</v>
      </c>
      <c r="U110" s="211">
        <f t="shared" si="22"/>
        <v>6387</v>
      </c>
      <c r="V110" s="211">
        <f t="shared" si="23"/>
        <v>260</v>
      </c>
      <c r="W110" s="211">
        <f t="shared" si="24"/>
        <v>0</v>
      </c>
      <c r="X110" s="211">
        <f t="shared" si="25"/>
        <v>0</v>
      </c>
      <c r="Y110" s="211">
        <f t="shared" si="28"/>
        <v>6647</v>
      </c>
      <c r="Z110" s="211">
        <f t="shared" si="29"/>
        <v>6387</v>
      </c>
      <c r="AA110" s="211">
        <f t="shared" si="30"/>
        <v>260</v>
      </c>
      <c r="AB110" s="211">
        <f t="shared" si="31"/>
        <v>0</v>
      </c>
      <c r="AC110" s="211">
        <f t="shared" si="32"/>
        <v>0</v>
      </c>
      <c r="AD110" s="211">
        <f t="shared" si="33"/>
        <v>6647</v>
      </c>
      <c r="AE110" s="76" t="s">
        <v>517</v>
      </c>
      <c r="AF110" s="76" t="s">
        <v>22</v>
      </c>
      <c r="AG110" s="298">
        <v>1065</v>
      </c>
      <c r="AH110" s="298">
        <v>1065</v>
      </c>
      <c r="AI110" s="298">
        <v>1065</v>
      </c>
      <c r="AJ110" s="298">
        <v>1064</v>
      </c>
      <c r="AK110" s="298">
        <v>1064</v>
      </c>
      <c r="AL110" s="298">
        <v>1064</v>
      </c>
      <c r="AM110" s="298"/>
      <c r="AN110" s="298"/>
      <c r="AO110" s="255"/>
      <c r="AP110" s="255"/>
      <c r="AQ110" s="255"/>
      <c r="AR110" s="255"/>
      <c r="AS110" s="76">
        <f t="shared" si="26"/>
        <v>6387</v>
      </c>
      <c r="AT110" s="76" t="s">
        <v>517</v>
      </c>
      <c r="AU110" s="76" t="s">
        <v>22</v>
      </c>
      <c r="AV110" s="76"/>
      <c r="AW110" s="76"/>
      <c r="AX110" s="76">
        <v>100</v>
      </c>
      <c r="AY110" s="76">
        <v>160</v>
      </c>
      <c r="AZ110" s="76"/>
      <c r="BA110" s="76"/>
      <c r="BB110" s="76"/>
      <c r="BC110" s="76"/>
      <c r="BD110" s="76"/>
      <c r="BE110" s="76"/>
      <c r="BF110" s="76"/>
      <c r="BG110" s="76"/>
      <c r="BH110" s="76">
        <f t="shared" si="34"/>
        <v>260</v>
      </c>
      <c r="BI110" s="76" t="s">
        <v>517</v>
      </c>
      <c r="BJ110" s="76" t="s">
        <v>22</v>
      </c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>
        <f t="shared" si="35"/>
        <v>0</v>
      </c>
      <c r="BX110" s="76" t="s">
        <v>517</v>
      </c>
      <c r="BY110" s="76" t="s">
        <v>22</v>
      </c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>
        <f t="shared" si="36"/>
        <v>0</v>
      </c>
      <c r="CM110" s="211">
        <f t="shared" si="37"/>
        <v>0</v>
      </c>
      <c r="CN110" s="211">
        <f t="shared" si="38"/>
        <v>0</v>
      </c>
      <c r="CO110" s="211">
        <f t="shared" si="39"/>
        <v>0</v>
      </c>
      <c r="CP110" s="211">
        <f t="shared" si="40"/>
        <v>0</v>
      </c>
    </row>
    <row r="111" spans="1:94" s="6" customFormat="1" ht="26.4" customHeight="1" x14ac:dyDescent="0.3">
      <c r="A111" s="78">
        <v>109</v>
      </c>
      <c r="B111" s="76" t="s">
        <v>292</v>
      </c>
      <c r="C111" s="76">
        <v>21143</v>
      </c>
      <c r="D111" s="76">
        <v>1</v>
      </c>
      <c r="E111" s="76" t="s">
        <v>286</v>
      </c>
      <c r="F111" s="76"/>
      <c r="G111" s="76" t="s">
        <v>288</v>
      </c>
      <c r="H111" s="215">
        <v>46020</v>
      </c>
      <c r="I111" s="215">
        <v>46172</v>
      </c>
      <c r="J111" s="255"/>
      <c r="K111" s="211"/>
      <c r="L111" s="211"/>
      <c r="M111" s="211"/>
      <c r="N111" s="211"/>
      <c r="O111" s="211">
        <f t="shared" si="21"/>
        <v>0</v>
      </c>
      <c r="P111" s="211"/>
      <c r="Q111" s="211"/>
      <c r="R111" s="211"/>
      <c r="S111" s="211"/>
      <c r="T111" s="211">
        <f t="shared" si="27"/>
        <v>0</v>
      </c>
      <c r="U111" s="211">
        <f t="shared" si="22"/>
        <v>0</v>
      </c>
      <c r="V111" s="211">
        <f t="shared" si="23"/>
        <v>0</v>
      </c>
      <c r="W111" s="211">
        <f t="shared" si="24"/>
        <v>0</v>
      </c>
      <c r="X111" s="211">
        <f t="shared" si="25"/>
        <v>0</v>
      </c>
      <c r="Y111" s="211">
        <f t="shared" si="28"/>
        <v>0</v>
      </c>
      <c r="Z111" s="211">
        <f t="shared" si="29"/>
        <v>40</v>
      </c>
      <c r="AA111" s="211">
        <f t="shared" si="30"/>
        <v>10</v>
      </c>
      <c r="AB111" s="211">
        <f t="shared" si="31"/>
        <v>32</v>
      </c>
      <c r="AC111" s="211">
        <f t="shared" si="32"/>
        <v>24</v>
      </c>
      <c r="AD111" s="211">
        <f t="shared" si="33"/>
        <v>106</v>
      </c>
      <c r="AE111" s="76" t="s">
        <v>518</v>
      </c>
      <c r="AF111" s="76" t="s">
        <v>23</v>
      </c>
      <c r="AG111" s="298"/>
      <c r="AH111" s="298">
        <v>40</v>
      </c>
      <c r="AI111" s="298"/>
      <c r="AJ111" s="298"/>
      <c r="AK111" s="298"/>
      <c r="AL111" s="298"/>
      <c r="AM111" s="298"/>
      <c r="AN111" s="298"/>
      <c r="AO111" s="255"/>
      <c r="AP111" s="255"/>
      <c r="AQ111" s="255"/>
      <c r="AR111" s="255"/>
      <c r="AS111" s="76">
        <f t="shared" si="26"/>
        <v>40</v>
      </c>
      <c r="AT111" s="76" t="s">
        <v>518</v>
      </c>
      <c r="AU111" s="76" t="s">
        <v>23</v>
      </c>
      <c r="AV111" s="76"/>
      <c r="AW111" s="76">
        <v>10</v>
      </c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>
        <f t="shared" si="34"/>
        <v>10</v>
      </c>
      <c r="BI111" s="76" t="s">
        <v>518</v>
      </c>
      <c r="BJ111" s="76" t="s">
        <v>23</v>
      </c>
      <c r="BK111" s="76"/>
      <c r="BL111" s="76">
        <v>32</v>
      </c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>
        <f t="shared" si="35"/>
        <v>32</v>
      </c>
      <c r="BX111" s="76" t="s">
        <v>518</v>
      </c>
      <c r="BY111" s="76" t="s">
        <v>23</v>
      </c>
      <c r="BZ111" s="76"/>
      <c r="CA111" s="76">
        <v>24</v>
      </c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>
        <f t="shared" si="36"/>
        <v>24</v>
      </c>
      <c r="CM111" s="211">
        <f t="shared" si="37"/>
        <v>-40</v>
      </c>
      <c r="CN111" s="211">
        <f t="shared" si="38"/>
        <v>-10</v>
      </c>
      <c r="CO111" s="211">
        <f t="shared" si="39"/>
        <v>-32</v>
      </c>
      <c r="CP111" s="211">
        <f t="shared" si="40"/>
        <v>-24</v>
      </c>
    </row>
    <row r="112" spans="1:94" s="6" customFormat="1" ht="26.4" customHeight="1" x14ac:dyDescent="0.3">
      <c r="A112" s="4">
        <v>110</v>
      </c>
      <c r="B112" s="76" t="s">
        <v>293</v>
      </c>
      <c r="C112" s="76">
        <v>24096</v>
      </c>
      <c r="D112" s="76">
        <v>1</v>
      </c>
      <c r="E112" s="76" t="s">
        <v>287</v>
      </c>
      <c r="F112" s="76"/>
      <c r="G112" s="76" t="s">
        <v>288</v>
      </c>
      <c r="H112" s="215">
        <v>46015</v>
      </c>
      <c r="I112" s="215">
        <v>46231</v>
      </c>
      <c r="J112" s="255"/>
      <c r="K112" s="211"/>
      <c r="L112" s="211"/>
      <c r="M112" s="211"/>
      <c r="N112" s="211"/>
      <c r="O112" s="211">
        <f t="shared" si="21"/>
        <v>0</v>
      </c>
      <c r="P112" s="211"/>
      <c r="Q112" s="211"/>
      <c r="R112" s="211"/>
      <c r="S112" s="211"/>
      <c r="T112" s="211">
        <f t="shared" si="27"/>
        <v>0</v>
      </c>
      <c r="U112" s="211">
        <f t="shared" si="22"/>
        <v>0</v>
      </c>
      <c r="V112" s="211">
        <f t="shared" si="23"/>
        <v>0</v>
      </c>
      <c r="W112" s="211">
        <f t="shared" si="24"/>
        <v>0</v>
      </c>
      <c r="X112" s="211">
        <f t="shared" si="25"/>
        <v>0</v>
      </c>
      <c r="Y112" s="211">
        <f t="shared" si="28"/>
        <v>0</v>
      </c>
      <c r="Z112" s="211">
        <f t="shared" si="29"/>
        <v>40</v>
      </c>
      <c r="AA112" s="211">
        <f t="shared" si="30"/>
        <v>10</v>
      </c>
      <c r="AB112" s="211">
        <f t="shared" si="31"/>
        <v>32</v>
      </c>
      <c r="AC112" s="211">
        <f t="shared" si="32"/>
        <v>24</v>
      </c>
      <c r="AD112" s="211">
        <f t="shared" si="33"/>
        <v>106</v>
      </c>
      <c r="AE112" s="76" t="s">
        <v>518</v>
      </c>
      <c r="AF112" s="76" t="s">
        <v>23</v>
      </c>
      <c r="AG112" s="298"/>
      <c r="AH112" s="298">
        <v>40</v>
      </c>
      <c r="AI112" s="298"/>
      <c r="AJ112" s="298"/>
      <c r="AK112" s="298"/>
      <c r="AL112" s="298"/>
      <c r="AM112" s="298"/>
      <c r="AN112" s="298"/>
      <c r="AO112" s="255"/>
      <c r="AP112" s="255"/>
      <c r="AQ112" s="255"/>
      <c r="AR112" s="255"/>
      <c r="AS112" s="76">
        <f t="shared" si="26"/>
        <v>40</v>
      </c>
      <c r="AT112" s="76" t="s">
        <v>518</v>
      </c>
      <c r="AU112" s="76" t="s">
        <v>23</v>
      </c>
      <c r="AV112" s="76"/>
      <c r="AW112" s="76">
        <v>10</v>
      </c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>
        <f t="shared" si="34"/>
        <v>10</v>
      </c>
      <c r="BI112" s="76" t="s">
        <v>518</v>
      </c>
      <c r="BJ112" s="76" t="s">
        <v>23</v>
      </c>
      <c r="BK112" s="76"/>
      <c r="BL112" s="76">
        <v>32</v>
      </c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>
        <f t="shared" si="35"/>
        <v>32</v>
      </c>
      <c r="BX112" s="76" t="s">
        <v>518</v>
      </c>
      <c r="BY112" s="76" t="s">
        <v>23</v>
      </c>
      <c r="BZ112" s="76"/>
      <c r="CA112" s="76">
        <v>24</v>
      </c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>
        <f t="shared" si="36"/>
        <v>24</v>
      </c>
      <c r="CM112" s="211">
        <f t="shared" si="37"/>
        <v>-40</v>
      </c>
      <c r="CN112" s="211">
        <f t="shared" si="38"/>
        <v>-10</v>
      </c>
      <c r="CO112" s="211">
        <f t="shared" si="39"/>
        <v>-32</v>
      </c>
      <c r="CP112" s="211">
        <f t="shared" si="40"/>
        <v>-24</v>
      </c>
    </row>
    <row r="113" spans="1:94" s="6" customFormat="1" ht="26.4" customHeight="1" x14ac:dyDescent="0.3">
      <c r="A113" s="78">
        <v>111</v>
      </c>
      <c r="B113" s="76">
        <v>26585</v>
      </c>
      <c r="C113" s="76" t="s">
        <v>166</v>
      </c>
      <c r="D113" s="76">
        <v>1</v>
      </c>
      <c r="E113" s="76" t="s">
        <v>296</v>
      </c>
      <c r="F113" s="76" t="s">
        <v>505</v>
      </c>
      <c r="G113" s="76" t="s">
        <v>178</v>
      </c>
      <c r="H113" s="215">
        <v>46024</v>
      </c>
      <c r="I113" s="215"/>
      <c r="J113" s="255"/>
      <c r="K113" s="211"/>
      <c r="L113" s="211"/>
      <c r="M113" s="211"/>
      <c r="N113" s="211"/>
      <c r="O113" s="211">
        <f t="shared" si="21"/>
        <v>0</v>
      </c>
      <c r="P113" s="211"/>
      <c r="Q113" s="211"/>
      <c r="R113" s="211"/>
      <c r="S113" s="211"/>
      <c r="T113" s="211">
        <f t="shared" si="27"/>
        <v>0</v>
      </c>
      <c r="U113" s="211">
        <f t="shared" si="22"/>
        <v>0</v>
      </c>
      <c r="V113" s="211">
        <f t="shared" si="23"/>
        <v>0</v>
      </c>
      <c r="W113" s="211">
        <f t="shared" si="24"/>
        <v>0</v>
      </c>
      <c r="X113" s="211">
        <f t="shared" si="25"/>
        <v>0</v>
      </c>
      <c r="Y113" s="211">
        <f t="shared" si="28"/>
        <v>0</v>
      </c>
      <c r="Z113" s="211">
        <f t="shared" si="29"/>
        <v>0</v>
      </c>
      <c r="AA113" s="211">
        <f t="shared" si="30"/>
        <v>0</v>
      </c>
      <c r="AB113" s="211">
        <f t="shared" si="31"/>
        <v>0</v>
      </c>
      <c r="AC113" s="211">
        <f t="shared" si="32"/>
        <v>0</v>
      </c>
      <c r="AD113" s="211">
        <f t="shared" si="33"/>
        <v>0</v>
      </c>
      <c r="AE113" s="76" t="s">
        <v>518</v>
      </c>
      <c r="AF113" s="76" t="s">
        <v>23</v>
      </c>
      <c r="AG113" s="298"/>
      <c r="AH113" s="298"/>
      <c r="AI113" s="298"/>
      <c r="AJ113" s="298"/>
      <c r="AK113" s="298"/>
      <c r="AL113" s="298"/>
      <c r="AM113" s="298"/>
      <c r="AN113" s="298"/>
      <c r="AO113" s="255"/>
      <c r="AP113" s="255"/>
      <c r="AQ113" s="255"/>
      <c r="AR113" s="255"/>
      <c r="AS113" s="76">
        <f t="shared" si="26"/>
        <v>0</v>
      </c>
      <c r="AT113" s="76" t="s">
        <v>518</v>
      </c>
      <c r="AU113" s="76" t="s">
        <v>23</v>
      </c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>
        <f t="shared" si="34"/>
        <v>0</v>
      </c>
      <c r="BI113" s="76" t="s">
        <v>518</v>
      </c>
      <c r="BJ113" s="76" t="s">
        <v>23</v>
      </c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>
        <f t="shared" si="35"/>
        <v>0</v>
      </c>
      <c r="BX113" s="76" t="s">
        <v>518</v>
      </c>
      <c r="BY113" s="76" t="s">
        <v>23</v>
      </c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>
        <f t="shared" si="36"/>
        <v>0</v>
      </c>
      <c r="CM113" s="211">
        <f t="shared" si="37"/>
        <v>0</v>
      </c>
      <c r="CN113" s="211">
        <f t="shared" si="38"/>
        <v>0</v>
      </c>
      <c r="CO113" s="211">
        <f t="shared" si="39"/>
        <v>0</v>
      </c>
      <c r="CP113" s="211">
        <f t="shared" si="40"/>
        <v>0</v>
      </c>
    </row>
    <row r="114" spans="1:94" s="6" customFormat="1" ht="26.4" customHeight="1" x14ac:dyDescent="0.3">
      <c r="A114" s="4">
        <v>112</v>
      </c>
      <c r="B114" s="76">
        <v>26584</v>
      </c>
      <c r="C114" s="76" t="s">
        <v>166</v>
      </c>
      <c r="D114" s="76">
        <v>1</v>
      </c>
      <c r="E114" s="76" t="s">
        <v>297</v>
      </c>
      <c r="F114" s="76" t="s">
        <v>510</v>
      </c>
      <c r="G114" s="76" t="s">
        <v>178</v>
      </c>
      <c r="H114" s="215">
        <v>46028</v>
      </c>
      <c r="I114" s="215">
        <v>46230</v>
      </c>
      <c r="J114" s="255">
        <v>3067</v>
      </c>
      <c r="K114" s="211">
        <v>6</v>
      </c>
      <c r="L114" s="211"/>
      <c r="M114" s="211"/>
      <c r="N114" s="211">
        <v>12</v>
      </c>
      <c r="O114" s="211">
        <f t="shared" si="21"/>
        <v>18</v>
      </c>
      <c r="P114" s="211"/>
      <c r="Q114" s="211"/>
      <c r="R114" s="211"/>
      <c r="S114" s="211"/>
      <c r="T114" s="211">
        <f t="shared" si="27"/>
        <v>0</v>
      </c>
      <c r="U114" s="211">
        <f t="shared" si="22"/>
        <v>6</v>
      </c>
      <c r="V114" s="211">
        <f t="shared" si="23"/>
        <v>0</v>
      </c>
      <c r="W114" s="211">
        <f t="shared" si="24"/>
        <v>0</v>
      </c>
      <c r="X114" s="211">
        <f t="shared" si="25"/>
        <v>12</v>
      </c>
      <c r="Y114" s="211">
        <f t="shared" si="28"/>
        <v>18</v>
      </c>
      <c r="Z114" s="211">
        <f t="shared" si="29"/>
        <v>0</v>
      </c>
      <c r="AA114" s="211">
        <f t="shared" si="30"/>
        <v>0</v>
      </c>
      <c r="AB114" s="211">
        <f t="shared" si="31"/>
        <v>0</v>
      </c>
      <c r="AC114" s="211">
        <f t="shared" si="32"/>
        <v>0</v>
      </c>
      <c r="AD114" s="211">
        <f t="shared" si="33"/>
        <v>0</v>
      </c>
      <c r="AE114" s="76" t="s">
        <v>518</v>
      </c>
      <c r="AF114" s="76" t="s">
        <v>23</v>
      </c>
      <c r="AG114" s="298"/>
      <c r="AH114" s="298"/>
      <c r="AI114" s="298"/>
      <c r="AJ114" s="298"/>
      <c r="AK114" s="298"/>
      <c r="AL114" s="298"/>
      <c r="AM114" s="298"/>
      <c r="AN114" s="298"/>
      <c r="AO114" s="255"/>
      <c r="AP114" s="255"/>
      <c r="AQ114" s="255"/>
      <c r="AR114" s="255"/>
      <c r="AS114" s="76">
        <f t="shared" si="26"/>
        <v>0</v>
      </c>
      <c r="AT114" s="76" t="s">
        <v>518</v>
      </c>
      <c r="AU114" s="76" t="s">
        <v>23</v>
      </c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>
        <f t="shared" si="34"/>
        <v>0</v>
      </c>
      <c r="BI114" s="76" t="s">
        <v>518</v>
      </c>
      <c r="BJ114" s="76" t="s">
        <v>23</v>
      </c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>
        <f t="shared" si="35"/>
        <v>0</v>
      </c>
      <c r="BX114" s="76" t="s">
        <v>518</v>
      </c>
      <c r="BY114" s="76" t="s">
        <v>23</v>
      </c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>
        <f t="shared" si="36"/>
        <v>0</v>
      </c>
      <c r="CM114" s="211">
        <f t="shared" si="37"/>
        <v>6</v>
      </c>
      <c r="CN114" s="211">
        <f t="shared" si="38"/>
        <v>0</v>
      </c>
      <c r="CO114" s="211">
        <f t="shared" si="39"/>
        <v>0</v>
      </c>
      <c r="CP114" s="211">
        <f t="shared" si="40"/>
        <v>12</v>
      </c>
    </row>
    <row r="115" spans="1:94" s="6" customFormat="1" ht="37.799999999999997" x14ac:dyDescent="0.3">
      <c r="A115" s="78">
        <v>113</v>
      </c>
      <c r="B115" s="76">
        <v>25638</v>
      </c>
      <c r="C115" s="76" t="s">
        <v>166</v>
      </c>
      <c r="D115" s="76">
        <v>6</v>
      </c>
      <c r="E115" s="76" t="s">
        <v>298</v>
      </c>
      <c r="F115" s="76" t="s">
        <v>510</v>
      </c>
      <c r="G115" s="76" t="s">
        <v>178</v>
      </c>
      <c r="H115" s="215">
        <v>46028</v>
      </c>
      <c r="I115" s="215">
        <v>46246</v>
      </c>
      <c r="J115" s="255">
        <v>5770</v>
      </c>
      <c r="K115" s="211">
        <v>100</v>
      </c>
      <c r="L115" s="211"/>
      <c r="M115" s="211"/>
      <c r="N115" s="211"/>
      <c r="O115" s="211">
        <f t="shared" si="21"/>
        <v>100</v>
      </c>
      <c r="P115" s="211">
        <v>74.900000000000006</v>
      </c>
      <c r="Q115" s="211"/>
      <c r="R115" s="211">
        <v>2</v>
      </c>
      <c r="S115" s="211"/>
      <c r="T115" s="211">
        <f t="shared" si="27"/>
        <v>76.900000000000006</v>
      </c>
      <c r="U115" s="211">
        <f t="shared" si="22"/>
        <v>25.099999999999994</v>
      </c>
      <c r="V115" s="211">
        <f t="shared" si="23"/>
        <v>0</v>
      </c>
      <c r="W115" s="211">
        <f t="shared" si="24"/>
        <v>-2</v>
      </c>
      <c r="X115" s="211">
        <f t="shared" si="25"/>
        <v>0</v>
      </c>
      <c r="Y115" s="211">
        <f t="shared" si="28"/>
        <v>23.099999999999994</v>
      </c>
      <c r="Z115" s="211">
        <f t="shared" si="29"/>
        <v>25</v>
      </c>
      <c r="AA115" s="211">
        <f t="shared" si="30"/>
        <v>0</v>
      </c>
      <c r="AB115" s="211">
        <f t="shared" si="31"/>
        <v>0</v>
      </c>
      <c r="AC115" s="211">
        <f t="shared" si="32"/>
        <v>0</v>
      </c>
      <c r="AD115" s="211">
        <f t="shared" si="33"/>
        <v>25</v>
      </c>
      <c r="AE115" s="76" t="s">
        <v>518</v>
      </c>
      <c r="AF115" s="76" t="s">
        <v>23</v>
      </c>
      <c r="AG115" s="298"/>
      <c r="AH115" s="298"/>
      <c r="AI115" s="298">
        <v>25</v>
      </c>
      <c r="AJ115" s="298"/>
      <c r="AK115" s="298"/>
      <c r="AL115" s="298"/>
      <c r="AM115" s="298"/>
      <c r="AN115" s="298"/>
      <c r="AO115" s="255"/>
      <c r="AP115" s="255"/>
      <c r="AQ115" s="255"/>
      <c r="AR115" s="255"/>
      <c r="AS115" s="76">
        <f t="shared" si="26"/>
        <v>25</v>
      </c>
      <c r="AT115" s="76" t="s">
        <v>518</v>
      </c>
      <c r="AU115" s="76" t="s">
        <v>23</v>
      </c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>
        <f t="shared" si="34"/>
        <v>0</v>
      </c>
      <c r="BI115" s="76" t="s">
        <v>518</v>
      </c>
      <c r="BJ115" s="76" t="s">
        <v>23</v>
      </c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>
        <f t="shared" si="35"/>
        <v>0</v>
      </c>
      <c r="BX115" s="76" t="s">
        <v>518</v>
      </c>
      <c r="BY115" s="76" t="s">
        <v>23</v>
      </c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>
        <f t="shared" si="36"/>
        <v>0</v>
      </c>
      <c r="CM115" s="211">
        <f t="shared" si="37"/>
        <v>9.9999999999994316E-2</v>
      </c>
      <c r="CN115" s="211">
        <f t="shared" si="38"/>
        <v>0</v>
      </c>
      <c r="CO115" s="211">
        <f t="shared" si="39"/>
        <v>-2</v>
      </c>
      <c r="CP115" s="211">
        <f t="shared" si="40"/>
        <v>0</v>
      </c>
    </row>
    <row r="116" spans="1:94" s="6" customFormat="1" ht="26.4" customHeight="1" x14ac:dyDescent="0.3">
      <c r="A116" s="4">
        <v>114</v>
      </c>
      <c r="B116" s="76">
        <v>26093</v>
      </c>
      <c r="C116" s="76" t="s">
        <v>166</v>
      </c>
      <c r="D116" s="76">
        <v>1</v>
      </c>
      <c r="E116" s="76" t="s">
        <v>299</v>
      </c>
      <c r="F116" s="76" t="s">
        <v>505</v>
      </c>
      <c r="G116" s="76" t="s">
        <v>178</v>
      </c>
      <c r="H116" s="215">
        <v>46034</v>
      </c>
      <c r="I116" s="215">
        <v>46082</v>
      </c>
      <c r="J116" s="255">
        <v>8057</v>
      </c>
      <c r="K116" s="211"/>
      <c r="L116" s="211"/>
      <c r="M116" s="211"/>
      <c r="N116" s="211"/>
      <c r="O116" s="211">
        <f t="shared" si="21"/>
        <v>0</v>
      </c>
      <c r="P116" s="211">
        <v>11.05</v>
      </c>
      <c r="Q116" s="211">
        <v>32</v>
      </c>
      <c r="R116" s="211"/>
      <c r="S116" s="211">
        <v>277</v>
      </c>
      <c r="T116" s="211">
        <f t="shared" si="27"/>
        <v>320.05</v>
      </c>
      <c r="U116" s="211">
        <f t="shared" si="22"/>
        <v>-11.05</v>
      </c>
      <c r="V116" s="211">
        <f t="shared" si="23"/>
        <v>-32</v>
      </c>
      <c r="W116" s="211">
        <f t="shared" si="24"/>
        <v>0</v>
      </c>
      <c r="X116" s="211">
        <f t="shared" si="25"/>
        <v>-277</v>
      </c>
      <c r="Y116" s="211">
        <f t="shared" si="28"/>
        <v>-320.05</v>
      </c>
      <c r="Z116" s="211">
        <f t="shared" si="29"/>
        <v>0</v>
      </c>
      <c r="AA116" s="211">
        <f t="shared" si="30"/>
        <v>0</v>
      </c>
      <c r="AB116" s="211">
        <f t="shared" si="31"/>
        <v>0</v>
      </c>
      <c r="AC116" s="211">
        <f t="shared" si="32"/>
        <v>0</v>
      </c>
      <c r="AD116" s="211">
        <f t="shared" si="33"/>
        <v>0</v>
      </c>
      <c r="AE116" s="76" t="s">
        <v>518</v>
      </c>
      <c r="AF116" s="76" t="s">
        <v>23</v>
      </c>
      <c r="AG116" s="298"/>
      <c r="AH116" s="298"/>
      <c r="AI116" s="298"/>
      <c r="AJ116" s="298"/>
      <c r="AK116" s="298"/>
      <c r="AL116" s="298"/>
      <c r="AM116" s="298"/>
      <c r="AN116" s="298"/>
      <c r="AO116" s="255"/>
      <c r="AP116" s="255"/>
      <c r="AQ116" s="255"/>
      <c r="AR116" s="255"/>
      <c r="AS116" s="76">
        <f t="shared" si="26"/>
        <v>0</v>
      </c>
      <c r="AT116" s="76" t="s">
        <v>518</v>
      </c>
      <c r="AU116" s="76" t="s">
        <v>23</v>
      </c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>
        <f t="shared" si="34"/>
        <v>0</v>
      </c>
      <c r="BI116" s="76" t="s">
        <v>518</v>
      </c>
      <c r="BJ116" s="76" t="s">
        <v>23</v>
      </c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>
        <f t="shared" si="35"/>
        <v>0</v>
      </c>
      <c r="BX116" s="76" t="s">
        <v>518</v>
      </c>
      <c r="BY116" s="76" t="s">
        <v>23</v>
      </c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>
        <f t="shared" si="36"/>
        <v>0</v>
      </c>
      <c r="CM116" s="211">
        <f t="shared" si="37"/>
        <v>-11.05</v>
      </c>
      <c r="CN116" s="211">
        <f t="shared" si="38"/>
        <v>-32</v>
      </c>
      <c r="CO116" s="211">
        <f t="shared" si="39"/>
        <v>0</v>
      </c>
      <c r="CP116" s="211">
        <f t="shared" si="40"/>
        <v>-277</v>
      </c>
    </row>
    <row r="117" spans="1:94" s="6" customFormat="1" ht="26.4" customHeight="1" x14ac:dyDescent="0.3">
      <c r="A117" s="78">
        <v>115</v>
      </c>
      <c r="B117" s="76">
        <v>27471</v>
      </c>
      <c r="C117" s="76" t="s">
        <v>166</v>
      </c>
      <c r="D117" s="76">
        <v>6</v>
      </c>
      <c r="E117" s="76" t="s">
        <v>300</v>
      </c>
      <c r="F117" s="76"/>
      <c r="G117" s="76" t="s">
        <v>159</v>
      </c>
      <c r="H117" s="215">
        <v>46036</v>
      </c>
      <c r="I117" s="215">
        <v>46249</v>
      </c>
      <c r="J117" s="255">
        <v>2940</v>
      </c>
      <c r="K117" s="211">
        <v>1212</v>
      </c>
      <c r="L117" s="211">
        <v>75</v>
      </c>
      <c r="M117" s="211">
        <v>210</v>
      </c>
      <c r="N117" s="211"/>
      <c r="O117" s="211">
        <f t="shared" si="21"/>
        <v>1497</v>
      </c>
      <c r="P117" s="211">
        <v>1170</v>
      </c>
      <c r="Q117" s="211"/>
      <c r="R117" s="211">
        <v>53.4</v>
      </c>
      <c r="S117" s="211"/>
      <c r="T117" s="211">
        <f t="shared" si="27"/>
        <v>1223.4000000000001</v>
      </c>
      <c r="U117" s="211">
        <f t="shared" si="22"/>
        <v>42</v>
      </c>
      <c r="V117" s="211">
        <f t="shared" si="23"/>
        <v>75</v>
      </c>
      <c r="W117" s="211">
        <f t="shared" si="24"/>
        <v>156.6</v>
      </c>
      <c r="X117" s="211">
        <f t="shared" si="25"/>
        <v>0</v>
      </c>
      <c r="Y117" s="211">
        <f t="shared" si="28"/>
        <v>273.60000000000002</v>
      </c>
      <c r="Z117" s="211">
        <f t="shared" si="29"/>
        <v>42</v>
      </c>
      <c r="AA117" s="211">
        <f t="shared" si="30"/>
        <v>75</v>
      </c>
      <c r="AB117" s="211">
        <f t="shared" si="31"/>
        <v>157</v>
      </c>
      <c r="AC117" s="211">
        <f t="shared" si="32"/>
        <v>0</v>
      </c>
      <c r="AD117" s="211">
        <f t="shared" si="33"/>
        <v>274</v>
      </c>
      <c r="AE117" s="76" t="s">
        <v>516</v>
      </c>
      <c r="AF117" s="76" t="s">
        <v>22</v>
      </c>
      <c r="AG117" s="298"/>
      <c r="AH117" s="298">
        <v>42</v>
      </c>
      <c r="AI117" s="298"/>
      <c r="AJ117" s="298"/>
      <c r="AK117" s="298"/>
      <c r="AL117" s="298"/>
      <c r="AM117" s="298"/>
      <c r="AN117" s="298"/>
      <c r="AO117" s="255"/>
      <c r="AP117" s="255"/>
      <c r="AQ117" s="255"/>
      <c r="AR117" s="255"/>
      <c r="AS117" s="76">
        <f t="shared" si="26"/>
        <v>42</v>
      </c>
      <c r="AT117" s="76" t="s">
        <v>516</v>
      </c>
      <c r="AU117" s="76" t="s">
        <v>22</v>
      </c>
      <c r="AV117" s="76"/>
      <c r="AW117" s="76"/>
      <c r="AX117" s="76"/>
      <c r="AY117" s="76"/>
      <c r="AZ117" s="76"/>
      <c r="BA117" s="76">
        <v>75</v>
      </c>
      <c r="BB117" s="76"/>
      <c r="BC117" s="76"/>
      <c r="BD117" s="76"/>
      <c r="BE117" s="76"/>
      <c r="BF117" s="76"/>
      <c r="BG117" s="76"/>
      <c r="BH117" s="76">
        <f t="shared" si="34"/>
        <v>75</v>
      </c>
      <c r="BI117" s="76" t="s">
        <v>516</v>
      </c>
      <c r="BJ117" s="76" t="s">
        <v>22</v>
      </c>
      <c r="BK117" s="76"/>
      <c r="BL117" s="76"/>
      <c r="BM117" s="76">
        <v>57</v>
      </c>
      <c r="BN117" s="76">
        <v>50</v>
      </c>
      <c r="BO117" s="76">
        <v>50</v>
      </c>
      <c r="BP117" s="76"/>
      <c r="BQ117" s="76"/>
      <c r="BR117" s="76"/>
      <c r="BS117" s="76"/>
      <c r="BT117" s="76"/>
      <c r="BU117" s="76"/>
      <c r="BV117" s="76"/>
      <c r="BW117" s="76">
        <f t="shared" si="35"/>
        <v>157</v>
      </c>
      <c r="BX117" s="76" t="s">
        <v>516</v>
      </c>
      <c r="BY117" s="76" t="s">
        <v>22</v>
      </c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>
        <f t="shared" si="36"/>
        <v>0</v>
      </c>
      <c r="CM117" s="211">
        <f t="shared" si="37"/>
        <v>0</v>
      </c>
      <c r="CN117" s="211">
        <f t="shared" si="38"/>
        <v>0</v>
      </c>
      <c r="CO117" s="211">
        <f t="shared" si="39"/>
        <v>-0.40000000000000568</v>
      </c>
      <c r="CP117" s="211">
        <f t="shared" si="40"/>
        <v>0</v>
      </c>
    </row>
    <row r="118" spans="1:94" s="6" customFormat="1" ht="26.4" customHeight="1" x14ac:dyDescent="0.3">
      <c r="A118" s="4">
        <v>116</v>
      </c>
      <c r="B118" s="76">
        <v>27391</v>
      </c>
      <c r="C118" s="76" t="s">
        <v>166</v>
      </c>
      <c r="D118" s="76">
        <v>1</v>
      </c>
      <c r="E118" s="76" t="s">
        <v>301</v>
      </c>
      <c r="F118" s="76"/>
      <c r="G118" s="76" t="s">
        <v>583</v>
      </c>
      <c r="H118" s="215">
        <v>46037</v>
      </c>
      <c r="I118" s="215">
        <v>46171</v>
      </c>
      <c r="J118" s="255"/>
      <c r="K118" s="211">
        <v>400</v>
      </c>
      <c r="L118" s="211">
        <v>200</v>
      </c>
      <c r="M118" s="211"/>
      <c r="N118" s="211"/>
      <c r="O118" s="211">
        <f t="shared" si="21"/>
        <v>600</v>
      </c>
      <c r="P118" s="211">
        <v>43</v>
      </c>
      <c r="Q118" s="211"/>
      <c r="R118" s="211"/>
      <c r="S118" s="211"/>
      <c r="T118" s="211">
        <f t="shared" si="27"/>
        <v>43</v>
      </c>
      <c r="U118" s="211">
        <f t="shared" si="22"/>
        <v>357</v>
      </c>
      <c r="V118" s="211">
        <f t="shared" si="23"/>
        <v>200</v>
      </c>
      <c r="W118" s="211">
        <f t="shared" si="24"/>
        <v>0</v>
      </c>
      <c r="X118" s="211">
        <f t="shared" si="25"/>
        <v>0</v>
      </c>
      <c r="Y118" s="211">
        <f t="shared" si="28"/>
        <v>557</v>
      </c>
      <c r="Z118" s="211">
        <f t="shared" si="29"/>
        <v>357</v>
      </c>
      <c r="AA118" s="211">
        <f t="shared" si="30"/>
        <v>200</v>
      </c>
      <c r="AB118" s="211">
        <f t="shared" si="31"/>
        <v>0</v>
      </c>
      <c r="AC118" s="211">
        <f t="shared" si="32"/>
        <v>0</v>
      </c>
      <c r="AD118" s="211">
        <f t="shared" si="33"/>
        <v>557</v>
      </c>
      <c r="AE118" s="76" t="s">
        <v>516</v>
      </c>
      <c r="AF118" s="76" t="s">
        <v>22</v>
      </c>
      <c r="AG118" s="298">
        <v>150</v>
      </c>
      <c r="AH118" s="298">
        <v>207</v>
      </c>
      <c r="AI118" s="298"/>
      <c r="AJ118" s="298"/>
      <c r="AK118" s="298"/>
      <c r="AL118" s="298"/>
      <c r="AM118" s="298"/>
      <c r="AN118" s="298"/>
      <c r="AO118" s="255"/>
      <c r="AP118" s="255"/>
      <c r="AQ118" s="255"/>
      <c r="AR118" s="255"/>
      <c r="AS118" s="76">
        <f t="shared" si="26"/>
        <v>357</v>
      </c>
      <c r="AT118" s="76" t="s">
        <v>516</v>
      </c>
      <c r="AU118" s="76" t="s">
        <v>22</v>
      </c>
      <c r="AV118" s="76"/>
      <c r="AW118" s="76">
        <v>200</v>
      </c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>
        <f t="shared" si="34"/>
        <v>200</v>
      </c>
      <c r="BI118" s="76" t="s">
        <v>516</v>
      </c>
      <c r="BJ118" s="76" t="s">
        <v>22</v>
      </c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>
        <f t="shared" si="35"/>
        <v>0</v>
      </c>
      <c r="BX118" s="76" t="s">
        <v>516</v>
      </c>
      <c r="BY118" s="76" t="s">
        <v>22</v>
      </c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>
        <f t="shared" si="36"/>
        <v>0</v>
      </c>
      <c r="CM118" s="211">
        <f t="shared" si="37"/>
        <v>0</v>
      </c>
      <c r="CN118" s="211">
        <f t="shared" si="38"/>
        <v>0</v>
      </c>
      <c r="CO118" s="211">
        <f t="shared" si="39"/>
        <v>0</v>
      </c>
      <c r="CP118" s="211">
        <f t="shared" si="40"/>
        <v>0</v>
      </c>
    </row>
    <row r="119" spans="1:94" s="6" customFormat="1" ht="26.4" customHeight="1" x14ac:dyDescent="0.3">
      <c r="A119" s="78">
        <v>117</v>
      </c>
      <c r="B119" s="76">
        <v>26564</v>
      </c>
      <c r="C119" s="76" t="s">
        <v>166</v>
      </c>
      <c r="D119" s="76">
        <v>1</v>
      </c>
      <c r="E119" s="76" t="s">
        <v>302</v>
      </c>
      <c r="F119" s="76"/>
      <c r="G119" s="76" t="s">
        <v>178</v>
      </c>
      <c r="H119" s="215">
        <v>46034</v>
      </c>
      <c r="I119" s="215">
        <v>46383</v>
      </c>
      <c r="J119" s="255">
        <v>6086</v>
      </c>
      <c r="K119" s="211">
        <v>84</v>
      </c>
      <c r="L119" s="211">
        <v>64</v>
      </c>
      <c r="M119" s="211"/>
      <c r="N119" s="211">
        <v>240</v>
      </c>
      <c r="O119" s="211">
        <f t="shared" si="21"/>
        <v>388</v>
      </c>
      <c r="P119" s="211"/>
      <c r="Q119" s="211"/>
      <c r="R119" s="211"/>
      <c r="S119" s="211"/>
      <c r="T119" s="211">
        <f t="shared" si="27"/>
        <v>0</v>
      </c>
      <c r="U119" s="211">
        <f t="shared" si="22"/>
        <v>84</v>
      </c>
      <c r="V119" s="211">
        <f t="shared" si="23"/>
        <v>64</v>
      </c>
      <c r="W119" s="211">
        <f t="shared" si="24"/>
        <v>0</v>
      </c>
      <c r="X119" s="211">
        <f t="shared" si="25"/>
        <v>240</v>
      </c>
      <c r="Y119" s="211">
        <f t="shared" si="28"/>
        <v>388</v>
      </c>
      <c r="Z119" s="211">
        <f t="shared" si="29"/>
        <v>84</v>
      </c>
      <c r="AA119" s="211">
        <f t="shared" si="30"/>
        <v>64</v>
      </c>
      <c r="AB119" s="211">
        <f t="shared" si="31"/>
        <v>0</v>
      </c>
      <c r="AC119" s="211">
        <f t="shared" si="32"/>
        <v>100</v>
      </c>
      <c r="AD119" s="211">
        <f t="shared" si="33"/>
        <v>248</v>
      </c>
      <c r="AE119" s="76" t="s">
        <v>518</v>
      </c>
      <c r="AF119" s="76" t="s">
        <v>23</v>
      </c>
      <c r="AG119" s="298"/>
      <c r="AH119" s="298">
        <v>84</v>
      </c>
      <c r="AI119" s="298"/>
      <c r="AJ119" s="298"/>
      <c r="AK119" s="298"/>
      <c r="AL119" s="298"/>
      <c r="AM119" s="298"/>
      <c r="AN119" s="298"/>
      <c r="AO119" s="255"/>
      <c r="AP119" s="255"/>
      <c r="AQ119" s="255"/>
      <c r="AR119" s="255"/>
      <c r="AS119" s="76">
        <f t="shared" si="26"/>
        <v>84</v>
      </c>
      <c r="AT119" s="76" t="s">
        <v>518</v>
      </c>
      <c r="AU119" s="76" t="s">
        <v>23</v>
      </c>
      <c r="AV119" s="76"/>
      <c r="AW119" s="76">
        <v>64</v>
      </c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>
        <f t="shared" si="34"/>
        <v>64</v>
      </c>
      <c r="BI119" s="76" t="s">
        <v>518</v>
      </c>
      <c r="BJ119" s="76" t="s">
        <v>23</v>
      </c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>
        <f t="shared" si="35"/>
        <v>0</v>
      </c>
      <c r="BX119" s="76" t="s">
        <v>518</v>
      </c>
      <c r="BY119" s="76" t="s">
        <v>23</v>
      </c>
      <c r="BZ119" s="76"/>
      <c r="CA119" s="76"/>
      <c r="CB119" s="76"/>
      <c r="CC119" s="76"/>
      <c r="CD119" s="76"/>
      <c r="CE119" s="76">
        <v>100</v>
      </c>
      <c r="CF119" s="76"/>
      <c r="CG119" s="76"/>
      <c r="CH119" s="76"/>
      <c r="CI119" s="76"/>
      <c r="CJ119" s="76"/>
      <c r="CK119" s="76"/>
      <c r="CL119" s="76">
        <f t="shared" si="36"/>
        <v>100</v>
      </c>
      <c r="CM119" s="211">
        <f t="shared" si="37"/>
        <v>0</v>
      </c>
      <c r="CN119" s="211">
        <f t="shared" si="38"/>
        <v>0</v>
      </c>
      <c r="CO119" s="211">
        <f t="shared" si="39"/>
        <v>0</v>
      </c>
      <c r="CP119" s="211">
        <f t="shared" si="40"/>
        <v>140</v>
      </c>
    </row>
    <row r="120" spans="1:94" s="6" customFormat="1" ht="26.4" customHeight="1" x14ac:dyDescent="0.3">
      <c r="A120" s="4">
        <v>118</v>
      </c>
      <c r="B120" s="76">
        <v>27361</v>
      </c>
      <c r="C120" s="76" t="s">
        <v>166</v>
      </c>
      <c r="D120" s="76">
        <v>42</v>
      </c>
      <c r="E120" s="76" t="s">
        <v>303</v>
      </c>
      <c r="F120" s="76" t="s">
        <v>506</v>
      </c>
      <c r="G120" s="76" t="s">
        <v>178</v>
      </c>
      <c r="H120" s="215">
        <v>46042</v>
      </c>
      <c r="I120" s="215">
        <v>46173</v>
      </c>
      <c r="J120" s="255">
        <v>91000</v>
      </c>
      <c r="K120" s="211"/>
      <c r="L120" s="211"/>
      <c r="M120" s="211"/>
      <c r="N120" s="211">
        <v>840</v>
      </c>
      <c r="O120" s="211">
        <f t="shared" si="21"/>
        <v>840</v>
      </c>
      <c r="P120" s="211"/>
      <c r="Q120" s="211"/>
      <c r="R120" s="211"/>
      <c r="S120" s="211">
        <v>30</v>
      </c>
      <c r="T120" s="211">
        <f t="shared" si="27"/>
        <v>30</v>
      </c>
      <c r="U120" s="211">
        <f t="shared" si="22"/>
        <v>0</v>
      </c>
      <c r="V120" s="211">
        <f t="shared" si="23"/>
        <v>0</v>
      </c>
      <c r="W120" s="211">
        <f t="shared" si="24"/>
        <v>0</v>
      </c>
      <c r="X120" s="211">
        <f t="shared" si="25"/>
        <v>810</v>
      </c>
      <c r="Y120" s="211">
        <f t="shared" si="28"/>
        <v>810</v>
      </c>
      <c r="Z120" s="211">
        <f t="shared" si="29"/>
        <v>0</v>
      </c>
      <c r="AA120" s="211">
        <f t="shared" si="30"/>
        <v>0</v>
      </c>
      <c r="AB120" s="211">
        <f t="shared" si="31"/>
        <v>0</v>
      </c>
      <c r="AC120" s="211">
        <f t="shared" si="32"/>
        <v>0</v>
      </c>
      <c r="AD120" s="211">
        <f t="shared" si="33"/>
        <v>0</v>
      </c>
      <c r="AE120" s="76" t="s">
        <v>516</v>
      </c>
      <c r="AF120" s="76" t="s">
        <v>23</v>
      </c>
      <c r="AG120" s="298"/>
      <c r="AH120" s="298"/>
      <c r="AI120" s="298"/>
      <c r="AJ120" s="298"/>
      <c r="AK120" s="298"/>
      <c r="AL120" s="298"/>
      <c r="AM120" s="298"/>
      <c r="AN120" s="298"/>
      <c r="AO120" s="255"/>
      <c r="AP120" s="255"/>
      <c r="AQ120" s="255"/>
      <c r="AR120" s="255"/>
      <c r="AS120" s="76">
        <f t="shared" si="26"/>
        <v>0</v>
      </c>
      <c r="AT120" s="76" t="s">
        <v>516</v>
      </c>
      <c r="AU120" s="76" t="s">
        <v>23</v>
      </c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>
        <f t="shared" si="34"/>
        <v>0</v>
      </c>
      <c r="BI120" s="76" t="s">
        <v>516</v>
      </c>
      <c r="BJ120" s="76" t="s">
        <v>23</v>
      </c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>
        <f t="shared" si="35"/>
        <v>0</v>
      </c>
      <c r="BX120" s="76" t="s">
        <v>516</v>
      </c>
      <c r="BY120" s="76" t="s">
        <v>23</v>
      </c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>
        <f t="shared" si="36"/>
        <v>0</v>
      </c>
      <c r="CM120" s="211">
        <f t="shared" si="37"/>
        <v>0</v>
      </c>
      <c r="CN120" s="211">
        <f t="shared" si="38"/>
        <v>0</v>
      </c>
      <c r="CO120" s="211">
        <f t="shared" si="39"/>
        <v>0</v>
      </c>
      <c r="CP120" s="211">
        <f t="shared" si="40"/>
        <v>810</v>
      </c>
    </row>
    <row r="121" spans="1:94" s="6" customFormat="1" ht="26.4" customHeight="1" x14ac:dyDescent="0.3">
      <c r="A121" s="78">
        <v>119</v>
      </c>
      <c r="B121" s="76">
        <v>26581</v>
      </c>
      <c r="C121" s="76" t="s">
        <v>166</v>
      </c>
      <c r="D121" s="76">
        <v>1</v>
      </c>
      <c r="E121" s="76" t="s">
        <v>305</v>
      </c>
      <c r="F121" s="76"/>
      <c r="G121" s="76" t="s">
        <v>178</v>
      </c>
      <c r="H121" s="215">
        <v>46044</v>
      </c>
      <c r="I121" s="215"/>
      <c r="J121" s="255">
        <v>25000</v>
      </c>
      <c r="K121" s="211"/>
      <c r="L121" s="211"/>
      <c r="M121" s="211"/>
      <c r="N121" s="211"/>
      <c r="O121" s="211">
        <f t="shared" si="21"/>
        <v>0</v>
      </c>
      <c r="P121" s="211"/>
      <c r="Q121" s="211"/>
      <c r="R121" s="211">
        <v>23</v>
      </c>
      <c r="S121" s="211">
        <v>104</v>
      </c>
      <c r="T121" s="211">
        <f t="shared" si="27"/>
        <v>127</v>
      </c>
      <c r="U121" s="211">
        <f t="shared" si="22"/>
        <v>0</v>
      </c>
      <c r="V121" s="211">
        <f t="shared" si="23"/>
        <v>0</v>
      </c>
      <c r="W121" s="211">
        <f t="shared" si="24"/>
        <v>-23</v>
      </c>
      <c r="X121" s="211">
        <f t="shared" si="25"/>
        <v>-104</v>
      </c>
      <c r="Y121" s="211">
        <f t="shared" si="28"/>
        <v>-127</v>
      </c>
      <c r="Z121" s="211">
        <f t="shared" si="29"/>
        <v>0</v>
      </c>
      <c r="AA121" s="211">
        <f t="shared" si="30"/>
        <v>0</v>
      </c>
      <c r="AB121" s="211">
        <f t="shared" si="31"/>
        <v>0</v>
      </c>
      <c r="AC121" s="211">
        <f t="shared" si="32"/>
        <v>0</v>
      </c>
      <c r="AD121" s="211">
        <f t="shared" si="33"/>
        <v>0</v>
      </c>
      <c r="AE121" s="76" t="s">
        <v>516</v>
      </c>
      <c r="AF121" s="76" t="s">
        <v>23</v>
      </c>
      <c r="AG121" s="298"/>
      <c r="AH121" s="298"/>
      <c r="AI121" s="298"/>
      <c r="AJ121" s="298"/>
      <c r="AK121" s="298"/>
      <c r="AL121" s="298"/>
      <c r="AM121" s="298"/>
      <c r="AN121" s="298"/>
      <c r="AO121" s="255"/>
      <c r="AP121" s="255"/>
      <c r="AQ121" s="255"/>
      <c r="AR121" s="255"/>
      <c r="AS121" s="76">
        <f t="shared" si="26"/>
        <v>0</v>
      </c>
      <c r="AT121" s="76" t="s">
        <v>516</v>
      </c>
      <c r="AU121" s="76" t="s">
        <v>23</v>
      </c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>
        <f t="shared" si="34"/>
        <v>0</v>
      </c>
      <c r="BI121" s="76" t="s">
        <v>516</v>
      </c>
      <c r="BJ121" s="76" t="s">
        <v>23</v>
      </c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>
        <f t="shared" si="35"/>
        <v>0</v>
      </c>
      <c r="BX121" s="76" t="s">
        <v>516</v>
      </c>
      <c r="BY121" s="76" t="s">
        <v>23</v>
      </c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>
        <f t="shared" si="36"/>
        <v>0</v>
      </c>
      <c r="CM121" s="211">
        <f t="shared" si="37"/>
        <v>0</v>
      </c>
      <c r="CN121" s="211">
        <f t="shared" si="38"/>
        <v>0</v>
      </c>
      <c r="CO121" s="211">
        <f t="shared" si="39"/>
        <v>-23</v>
      </c>
      <c r="CP121" s="211">
        <f t="shared" si="40"/>
        <v>-104</v>
      </c>
    </row>
    <row r="122" spans="1:94" s="6" customFormat="1" ht="26.4" customHeight="1" x14ac:dyDescent="0.3">
      <c r="A122" s="4">
        <v>120</v>
      </c>
      <c r="B122" s="76">
        <v>27917</v>
      </c>
      <c r="C122" s="76" t="s">
        <v>166</v>
      </c>
      <c r="D122" s="76">
        <v>1</v>
      </c>
      <c r="E122" s="76" t="s">
        <v>306</v>
      </c>
      <c r="F122" s="76"/>
      <c r="G122" s="76" t="s">
        <v>178</v>
      </c>
      <c r="H122" s="215">
        <v>46050</v>
      </c>
      <c r="I122" s="215">
        <v>46395</v>
      </c>
      <c r="J122" s="255">
        <v>47973</v>
      </c>
      <c r="K122" s="211">
        <v>7648</v>
      </c>
      <c r="L122" s="211">
        <v>270</v>
      </c>
      <c r="M122" s="211">
        <v>110</v>
      </c>
      <c r="N122" s="211"/>
      <c r="O122" s="211">
        <f t="shared" si="21"/>
        <v>8028</v>
      </c>
      <c r="P122" s="211">
        <v>5356</v>
      </c>
      <c r="Q122" s="211"/>
      <c r="R122" s="211"/>
      <c r="S122" s="211">
        <v>13.7</v>
      </c>
      <c r="T122" s="211">
        <f t="shared" si="27"/>
        <v>5369.7</v>
      </c>
      <c r="U122" s="211">
        <f t="shared" si="22"/>
        <v>2292</v>
      </c>
      <c r="V122" s="211">
        <f t="shared" si="23"/>
        <v>270</v>
      </c>
      <c r="W122" s="211">
        <f t="shared" si="24"/>
        <v>110</v>
      </c>
      <c r="X122" s="211">
        <f t="shared" si="25"/>
        <v>-13.7</v>
      </c>
      <c r="Y122" s="211">
        <f t="shared" si="28"/>
        <v>2658.3</v>
      </c>
      <c r="Z122" s="211">
        <f t="shared" si="29"/>
        <v>2292</v>
      </c>
      <c r="AA122" s="211">
        <f t="shared" si="30"/>
        <v>270</v>
      </c>
      <c r="AB122" s="211">
        <f t="shared" si="31"/>
        <v>110</v>
      </c>
      <c r="AC122" s="211">
        <f t="shared" si="32"/>
        <v>0</v>
      </c>
      <c r="AD122" s="211">
        <f t="shared" si="33"/>
        <v>2672</v>
      </c>
      <c r="AE122" s="76" t="s">
        <v>518</v>
      </c>
      <c r="AF122" s="76" t="s">
        <v>23</v>
      </c>
      <c r="AG122" s="298">
        <v>764</v>
      </c>
      <c r="AH122" s="298">
        <v>764</v>
      </c>
      <c r="AI122" s="298">
        <v>382</v>
      </c>
      <c r="AJ122" s="298">
        <v>382</v>
      </c>
      <c r="AK122" s="298"/>
      <c r="AL122" s="298"/>
      <c r="AM122" s="298"/>
      <c r="AN122" s="298"/>
      <c r="AO122" s="255"/>
      <c r="AP122" s="255"/>
      <c r="AQ122" s="255"/>
      <c r="AR122" s="255"/>
      <c r="AS122" s="76">
        <f t="shared" si="26"/>
        <v>2292</v>
      </c>
      <c r="AT122" s="76" t="s">
        <v>518</v>
      </c>
      <c r="AU122" s="76" t="s">
        <v>23</v>
      </c>
      <c r="AV122" s="76"/>
      <c r="AW122" s="76"/>
      <c r="AX122" s="76">
        <v>100</v>
      </c>
      <c r="AY122" s="76">
        <v>170</v>
      </c>
      <c r="AZ122" s="76"/>
      <c r="BA122" s="76"/>
      <c r="BB122" s="76"/>
      <c r="BC122" s="76"/>
      <c r="BD122" s="76"/>
      <c r="BE122" s="76"/>
      <c r="BF122" s="76"/>
      <c r="BG122" s="76"/>
      <c r="BH122" s="76">
        <f t="shared" si="34"/>
        <v>270</v>
      </c>
      <c r="BI122" s="76" t="s">
        <v>518</v>
      </c>
      <c r="BJ122" s="76" t="s">
        <v>23</v>
      </c>
      <c r="BK122" s="76"/>
      <c r="BL122" s="76"/>
      <c r="BM122" s="76">
        <v>110</v>
      </c>
      <c r="BN122" s="76"/>
      <c r="BO122" s="76"/>
      <c r="BP122" s="76"/>
      <c r="BQ122" s="76"/>
      <c r="BR122" s="76"/>
      <c r="BS122" s="76"/>
      <c r="BT122" s="76"/>
      <c r="BU122" s="76"/>
      <c r="BV122" s="76"/>
      <c r="BW122" s="76">
        <f t="shared" si="35"/>
        <v>110</v>
      </c>
      <c r="BX122" s="76" t="s">
        <v>518</v>
      </c>
      <c r="BY122" s="76" t="s">
        <v>23</v>
      </c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>
        <f t="shared" si="36"/>
        <v>0</v>
      </c>
      <c r="CM122" s="211">
        <f t="shared" si="37"/>
        <v>0</v>
      </c>
      <c r="CN122" s="211">
        <f t="shared" si="38"/>
        <v>0</v>
      </c>
      <c r="CO122" s="211">
        <f t="shared" si="39"/>
        <v>0</v>
      </c>
      <c r="CP122" s="211">
        <f t="shared" si="40"/>
        <v>-13.7</v>
      </c>
    </row>
    <row r="123" spans="1:94" s="6" customFormat="1" ht="26.4" customHeight="1" x14ac:dyDescent="0.3">
      <c r="A123" s="78">
        <v>121</v>
      </c>
      <c r="B123" s="76">
        <v>28231</v>
      </c>
      <c r="C123" s="76" t="s">
        <v>166</v>
      </c>
      <c r="D123" s="76">
        <v>2</v>
      </c>
      <c r="E123" s="76" t="s">
        <v>307</v>
      </c>
      <c r="F123" s="76"/>
      <c r="G123" s="76" t="s">
        <v>175</v>
      </c>
      <c r="H123" s="215">
        <v>46041</v>
      </c>
      <c r="I123" s="215">
        <v>46264</v>
      </c>
      <c r="J123" s="255">
        <v>28500</v>
      </c>
      <c r="K123" s="211">
        <v>4275</v>
      </c>
      <c r="L123" s="211">
        <v>600</v>
      </c>
      <c r="M123" s="211"/>
      <c r="N123" s="211"/>
      <c r="O123" s="211">
        <f t="shared" ref="O123:O186" si="41">SUM(K123:N123)</f>
        <v>4875</v>
      </c>
      <c r="P123" s="211"/>
      <c r="Q123" s="211"/>
      <c r="R123" s="211"/>
      <c r="S123" s="211"/>
      <c r="T123" s="211">
        <f t="shared" si="27"/>
        <v>0</v>
      </c>
      <c r="U123" s="211">
        <f t="shared" ref="U123:U186" si="42">K123-P123</f>
        <v>4275</v>
      </c>
      <c r="V123" s="211">
        <f t="shared" ref="V123:V186" si="43">L123-Q123</f>
        <v>600</v>
      </c>
      <c r="W123" s="211">
        <f t="shared" ref="W123:W186" si="44">M123-R123</f>
        <v>0</v>
      </c>
      <c r="X123" s="211">
        <f t="shared" ref="X123:X186" si="45">N123-S123</f>
        <v>0</v>
      </c>
      <c r="Y123" s="211">
        <f t="shared" si="28"/>
        <v>4875</v>
      </c>
      <c r="Z123" s="211">
        <f t="shared" si="29"/>
        <v>4275</v>
      </c>
      <c r="AA123" s="211">
        <f t="shared" si="30"/>
        <v>600</v>
      </c>
      <c r="AB123" s="211">
        <f t="shared" si="31"/>
        <v>0</v>
      </c>
      <c r="AC123" s="211">
        <f t="shared" si="32"/>
        <v>0</v>
      </c>
      <c r="AD123" s="211">
        <f t="shared" si="33"/>
        <v>4875</v>
      </c>
      <c r="AE123" s="76" t="s">
        <v>516</v>
      </c>
      <c r="AF123" s="76" t="s">
        <v>22</v>
      </c>
      <c r="AG123" s="298"/>
      <c r="AH123" s="298">
        <v>1069</v>
      </c>
      <c r="AI123" s="298">
        <v>1069</v>
      </c>
      <c r="AJ123" s="298">
        <v>1069</v>
      </c>
      <c r="AK123" s="298">
        <v>1068</v>
      </c>
      <c r="AL123" s="298"/>
      <c r="AM123" s="298"/>
      <c r="AN123" s="298"/>
      <c r="AO123" s="255"/>
      <c r="AP123" s="255"/>
      <c r="AQ123" s="255"/>
      <c r="AR123" s="255"/>
      <c r="AS123" s="76">
        <f t="shared" ref="AS123:AS186" si="46">SUM(AG123:AR123)</f>
        <v>4275</v>
      </c>
      <c r="AT123" s="76" t="s">
        <v>516</v>
      </c>
      <c r="AU123" s="76" t="s">
        <v>22</v>
      </c>
      <c r="AV123" s="76"/>
      <c r="AW123" s="76">
        <v>300</v>
      </c>
      <c r="AX123" s="76">
        <v>300</v>
      </c>
      <c r="AY123" s="76"/>
      <c r="AZ123" s="76"/>
      <c r="BA123" s="76"/>
      <c r="BB123" s="76"/>
      <c r="BC123" s="76"/>
      <c r="BD123" s="76"/>
      <c r="BE123" s="76"/>
      <c r="BF123" s="76"/>
      <c r="BG123" s="76"/>
      <c r="BH123" s="76">
        <f t="shared" si="34"/>
        <v>600</v>
      </c>
      <c r="BI123" s="76" t="s">
        <v>516</v>
      </c>
      <c r="BJ123" s="76" t="s">
        <v>22</v>
      </c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>
        <f t="shared" si="35"/>
        <v>0</v>
      </c>
      <c r="BX123" s="76" t="s">
        <v>516</v>
      </c>
      <c r="BY123" s="76" t="s">
        <v>22</v>
      </c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>
        <f t="shared" si="36"/>
        <v>0</v>
      </c>
      <c r="CM123" s="211">
        <f t="shared" si="37"/>
        <v>0</v>
      </c>
      <c r="CN123" s="211">
        <f t="shared" si="38"/>
        <v>0</v>
      </c>
      <c r="CO123" s="211">
        <f t="shared" si="39"/>
        <v>0</v>
      </c>
      <c r="CP123" s="211">
        <f t="shared" si="40"/>
        <v>0</v>
      </c>
    </row>
    <row r="124" spans="1:94" s="6" customFormat="1" ht="25.2" x14ac:dyDescent="0.3">
      <c r="A124" s="4">
        <v>122</v>
      </c>
      <c r="B124" s="76">
        <v>28288</v>
      </c>
      <c r="C124" s="76" t="s">
        <v>166</v>
      </c>
      <c r="D124" s="76">
        <v>3</v>
      </c>
      <c r="E124" s="76" t="s">
        <v>308</v>
      </c>
      <c r="F124" s="76"/>
      <c r="G124" s="76" t="s">
        <v>162</v>
      </c>
      <c r="H124" s="215">
        <v>46050</v>
      </c>
      <c r="I124" s="215">
        <v>46173</v>
      </c>
      <c r="J124" s="255"/>
      <c r="K124" s="211">
        <v>975</v>
      </c>
      <c r="L124" s="211">
        <v>12</v>
      </c>
      <c r="M124" s="211"/>
      <c r="N124" s="211"/>
      <c r="O124" s="211">
        <f t="shared" si="41"/>
        <v>987</v>
      </c>
      <c r="P124" s="211"/>
      <c r="Q124" s="211"/>
      <c r="R124" s="211"/>
      <c r="S124" s="211"/>
      <c r="T124" s="211">
        <f t="shared" ref="T124:T187" si="47">SUM(P124:S124)</f>
        <v>0</v>
      </c>
      <c r="U124" s="211">
        <f t="shared" si="42"/>
        <v>975</v>
      </c>
      <c r="V124" s="211">
        <f t="shared" si="43"/>
        <v>12</v>
      </c>
      <c r="W124" s="211">
        <f t="shared" si="44"/>
        <v>0</v>
      </c>
      <c r="X124" s="211">
        <f t="shared" si="45"/>
        <v>0</v>
      </c>
      <c r="Y124" s="211">
        <f t="shared" ref="Y124:Y187" si="48">SUM(U124:X124)</f>
        <v>987</v>
      </c>
      <c r="Z124" s="211">
        <f t="shared" ref="Z124:Z187" si="49">AS124</f>
        <v>975</v>
      </c>
      <c r="AA124" s="211">
        <f t="shared" ref="AA124:AA187" si="50">BH124</f>
        <v>12</v>
      </c>
      <c r="AB124" s="211">
        <f t="shared" ref="AB124:AB187" si="51">BW124</f>
        <v>0</v>
      </c>
      <c r="AC124" s="211">
        <f t="shared" ref="AC124:AC187" si="52">CL124</f>
        <v>0</v>
      </c>
      <c r="AD124" s="211">
        <f t="shared" ref="AD124:AD187" si="53">SUM(Z124:AC124)</f>
        <v>987</v>
      </c>
      <c r="AE124" s="76" t="s">
        <v>516</v>
      </c>
      <c r="AF124" s="76" t="s">
        <v>22</v>
      </c>
      <c r="AG124" s="298">
        <v>975</v>
      </c>
      <c r="AH124" s="298"/>
      <c r="AI124" s="298"/>
      <c r="AJ124" s="298"/>
      <c r="AK124" s="298"/>
      <c r="AL124" s="298"/>
      <c r="AM124" s="298"/>
      <c r="AN124" s="298"/>
      <c r="AO124" s="255"/>
      <c r="AP124" s="255"/>
      <c r="AQ124" s="255"/>
      <c r="AR124" s="255"/>
      <c r="AS124" s="76">
        <f t="shared" si="46"/>
        <v>975</v>
      </c>
      <c r="AT124" s="76" t="s">
        <v>516</v>
      </c>
      <c r="AU124" s="76" t="s">
        <v>22</v>
      </c>
      <c r="AV124" s="76">
        <v>12</v>
      </c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>
        <f t="shared" ref="BH124:BH187" si="54">SUM(AV124:BG124)</f>
        <v>12</v>
      </c>
      <c r="BI124" s="76" t="s">
        <v>516</v>
      </c>
      <c r="BJ124" s="76" t="s">
        <v>22</v>
      </c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>
        <f t="shared" ref="BW124:BW187" si="55">SUM(BK124:BV124)</f>
        <v>0</v>
      </c>
      <c r="BX124" s="76" t="s">
        <v>516</v>
      </c>
      <c r="BY124" s="76" t="s">
        <v>22</v>
      </c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>
        <f t="shared" ref="CL124:CL187" si="56">SUM(BZ124:CK124)</f>
        <v>0</v>
      </c>
      <c r="CM124" s="211">
        <f t="shared" ref="CM124:CM187" si="57">U124-Z124</f>
        <v>0</v>
      </c>
      <c r="CN124" s="211">
        <f t="shared" ref="CN124:CN187" si="58">V124-AA124</f>
        <v>0</v>
      </c>
      <c r="CO124" s="211">
        <f t="shared" ref="CO124:CO187" si="59">W124-AB124</f>
        <v>0</v>
      </c>
      <c r="CP124" s="211">
        <f t="shared" ref="CP124:CP187" si="60">X124-AC124</f>
        <v>0</v>
      </c>
    </row>
    <row r="125" spans="1:94" s="6" customFormat="1" ht="13.8" x14ac:dyDescent="0.3">
      <c r="A125" s="78">
        <v>123</v>
      </c>
      <c r="B125" s="76">
        <v>24094</v>
      </c>
      <c r="C125" s="76" t="s">
        <v>166</v>
      </c>
      <c r="D125" s="76">
        <v>1</v>
      </c>
      <c r="E125" s="76" t="s">
        <v>369</v>
      </c>
      <c r="F125" s="76"/>
      <c r="G125" s="76" t="s">
        <v>156</v>
      </c>
      <c r="H125" s="215">
        <v>46036</v>
      </c>
      <c r="I125" s="215">
        <v>46264</v>
      </c>
      <c r="J125" s="255">
        <v>5075</v>
      </c>
      <c r="K125" s="211">
        <v>968</v>
      </c>
      <c r="L125" s="211"/>
      <c r="M125" s="211">
        <v>14</v>
      </c>
      <c r="N125" s="211"/>
      <c r="O125" s="211">
        <f t="shared" si="41"/>
        <v>982</v>
      </c>
      <c r="P125" s="211">
        <v>13</v>
      </c>
      <c r="Q125" s="211"/>
      <c r="R125" s="211"/>
      <c r="S125" s="211"/>
      <c r="T125" s="211">
        <f t="shared" si="47"/>
        <v>13</v>
      </c>
      <c r="U125" s="211">
        <f t="shared" si="42"/>
        <v>955</v>
      </c>
      <c r="V125" s="211">
        <f t="shared" si="43"/>
        <v>0</v>
      </c>
      <c r="W125" s="211">
        <f t="shared" si="44"/>
        <v>14</v>
      </c>
      <c r="X125" s="211">
        <f t="shared" si="45"/>
        <v>0</v>
      </c>
      <c r="Y125" s="211">
        <f t="shared" si="48"/>
        <v>969</v>
      </c>
      <c r="Z125" s="211">
        <f t="shared" si="49"/>
        <v>955</v>
      </c>
      <c r="AA125" s="211">
        <f t="shared" si="50"/>
        <v>0</v>
      </c>
      <c r="AB125" s="211">
        <f t="shared" si="51"/>
        <v>14</v>
      </c>
      <c r="AC125" s="211">
        <f t="shared" si="52"/>
        <v>0</v>
      </c>
      <c r="AD125" s="211">
        <f t="shared" si="53"/>
        <v>969</v>
      </c>
      <c r="AE125" s="76" t="s">
        <v>518</v>
      </c>
      <c r="AF125" s="76" t="s">
        <v>23</v>
      </c>
      <c r="AG125" s="298">
        <v>955</v>
      </c>
      <c r="AH125" s="298"/>
      <c r="AI125" s="298"/>
      <c r="AJ125" s="298"/>
      <c r="AK125" s="298"/>
      <c r="AL125" s="298"/>
      <c r="AM125" s="298"/>
      <c r="AN125" s="298"/>
      <c r="AO125" s="255"/>
      <c r="AP125" s="255"/>
      <c r="AQ125" s="255"/>
      <c r="AR125" s="255"/>
      <c r="AS125" s="76">
        <f t="shared" si="46"/>
        <v>955</v>
      </c>
      <c r="AT125" s="76" t="s">
        <v>518</v>
      </c>
      <c r="AU125" s="76" t="s">
        <v>23</v>
      </c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>
        <f t="shared" si="54"/>
        <v>0</v>
      </c>
      <c r="BI125" s="76" t="s">
        <v>518</v>
      </c>
      <c r="BJ125" s="76" t="s">
        <v>23</v>
      </c>
      <c r="BK125" s="76">
        <v>14</v>
      </c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>
        <f t="shared" si="55"/>
        <v>14</v>
      </c>
      <c r="BX125" s="76" t="s">
        <v>518</v>
      </c>
      <c r="BY125" s="76" t="s">
        <v>23</v>
      </c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>
        <f t="shared" si="56"/>
        <v>0</v>
      </c>
      <c r="CM125" s="211">
        <f t="shared" si="57"/>
        <v>0</v>
      </c>
      <c r="CN125" s="211">
        <f t="shared" si="58"/>
        <v>0</v>
      </c>
      <c r="CO125" s="211">
        <f t="shared" si="59"/>
        <v>0</v>
      </c>
      <c r="CP125" s="211">
        <f t="shared" si="60"/>
        <v>0</v>
      </c>
    </row>
    <row r="126" spans="1:94" s="6" customFormat="1" ht="25.2" x14ac:dyDescent="0.3">
      <c r="A126" s="4">
        <v>124</v>
      </c>
      <c r="B126" s="76" t="s">
        <v>314</v>
      </c>
      <c r="C126" s="76">
        <v>28641</v>
      </c>
      <c r="D126" s="76">
        <v>3</v>
      </c>
      <c r="E126" s="76" t="s">
        <v>310</v>
      </c>
      <c r="F126" s="76"/>
      <c r="G126" s="76" t="s">
        <v>176</v>
      </c>
      <c r="H126" s="215">
        <v>46064</v>
      </c>
      <c r="I126" s="215" t="s">
        <v>311</v>
      </c>
      <c r="J126" s="255">
        <v>213215.5</v>
      </c>
      <c r="K126" s="211">
        <v>24966</v>
      </c>
      <c r="L126" s="211">
        <v>306</v>
      </c>
      <c r="M126" s="211">
        <v>292</v>
      </c>
      <c r="N126" s="211">
        <v>450</v>
      </c>
      <c r="O126" s="211">
        <f t="shared" si="41"/>
        <v>26014</v>
      </c>
      <c r="P126" s="211">
        <v>951.93</v>
      </c>
      <c r="Q126" s="211"/>
      <c r="R126" s="211"/>
      <c r="S126" s="211"/>
      <c r="T126" s="211">
        <f t="shared" si="47"/>
        <v>951.93</v>
      </c>
      <c r="U126" s="211">
        <f t="shared" si="42"/>
        <v>24014.07</v>
      </c>
      <c r="V126" s="211">
        <f t="shared" si="43"/>
        <v>306</v>
      </c>
      <c r="W126" s="211">
        <f t="shared" si="44"/>
        <v>292</v>
      </c>
      <c r="X126" s="211">
        <f t="shared" si="45"/>
        <v>450</v>
      </c>
      <c r="Y126" s="211">
        <f t="shared" si="48"/>
        <v>25062.07</v>
      </c>
      <c r="Z126" s="211">
        <f t="shared" si="49"/>
        <v>24014</v>
      </c>
      <c r="AA126" s="211">
        <f t="shared" si="50"/>
        <v>306</v>
      </c>
      <c r="AB126" s="211">
        <f t="shared" si="51"/>
        <v>292</v>
      </c>
      <c r="AC126" s="211">
        <f t="shared" si="52"/>
        <v>450</v>
      </c>
      <c r="AD126" s="211">
        <f t="shared" si="53"/>
        <v>25062</v>
      </c>
      <c r="AE126" s="76" t="s">
        <v>517</v>
      </c>
      <c r="AF126" s="76" t="s">
        <v>22</v>
      </c>
      <c r="AG126" s="298">
        <v>3431</v>
      </c>
      <c r="AH126" s="298">
        <v>3431</v>
      </c>
      <c r="AI126" s="298">
        <v>3431</v>
      </c>
      <c r="AJ126" s="298">
        <v>3431</v>
      </c>
      <c r="AK126" s="298">
        <v>3430</v>
      </c>
      <c r="AL126" s="298">
        <v>3430</v>
      </c>
      <c r="AM126" s="298">
        <v>3430</v>
      </c>
      <c r="AN126" s="298"/>
      <c r="AO126" s="255"/>
      <c r="AP126" s="255"/>
      <c r="AQ126" s="255"/>
      <c r="AR126" s="255"/>
      <c r="AS126" s="76">
        <f t="shared" si="46"/>
        <v>24014</v>
      </c>
      <c r="AT126" s="76" t="s">
        <v>517</v>
      </c>
      <c r="AU126" s="76" t="s">
        <v>22</v>
      </c>
      <c r="AV126" s="76"/>
      <c r="AW126" s="76"/>
      <c r="AX126" s="76">
        <v>125</v>
      </c>
      <c r="AY126" s="76">
        <v>125</v>
      </c>
      <c r="AZ126" s="76"/>
      <c r="BA126" s="76"/>
      <c r="BB126" s="76">
        <v>56</v>
      </c>
      <c r="BC126" s="76"/>
      <c r="BD126" s="76"/>
      <c r="BE126" s="76"/>
      <c r="BF126" s="76"/>
      <c r="BG126" s="76"/>
      <c r="BH126" s="76">
        <f t="shared" si="54"/>
        <v>306</v>
      </c>
      <c r="BI126" s="76" t="s">
        <v>517</v>
      </c>
      <c r="BJ126" s="76" t="s">
        <v>22</v>
      </c>
      <c r="BK126" s="76"/>
      <c r="BL126" s="76"/>
      <c r="BM126" s="76">
        <v>100</v>
      </c>
      <c r="BN126" s="76">
        <v>100</v>
      </c>
      <c r="BO126" s="76">
        <v>92</v>
      </c>
      <c r="BP126" s="76"/>
      <c r="BQ126" s="76"/>
      <c r="BR126" s="76"/>
      <c r="BS126" s="76"/>
      <c r="BT126" s="76"/>
      <c r="BU126" s="76"/>
      <c r="BV126" s="76"/>
      <c r="BW126" s="76">
        <f t="shared" si="55"/>
        <v>292</v>
      </c>
      <c r="BX126" s="76" t="s">
        <v>517</v>
      </c>
      <c r="BY126" s="76" t="s">
        <v>22</v>
      </c>
      <c r="BZ126" s="76"/>
      <c r="CA126" s="76"/>
      <c r="CB126" s="76"/>
      <c r="CC126" s="76"/>
      <c r="CD126" s="76">
        <v>450</v>
      </c>
      <c r="CE126" s="76"/>
      <c r="CF126" s="76"/>
      <c r="CG126" s="76"/>
      <c r="CH126" s="76"/>
      <c r="CI126" s="76"/>
      <c r="CJ126" s="76"/>
      <c r="CK126" s="76"/>
      <c r="CL126" s="76">
        <f t="shared" si="56"/>
        <v>450</v>
      </c>
      <c r="CM126" s="211">
        <f t="shared" si="57"/>
        <v>6.9999999999708962E-2</v>
      </c>
      <c r="CN126" s="211">
        <f t="shared" si="58"/>
        <v>0</v>
      </c>
      <c r="CO126" s="211">
        <f t="shared" si="59"/>
        <v>0</v>
      </c>
      <c r="CP126" s="211">
        <f t="shared" si="60"/>
        <v>0</v>
      </c>
    </row>
    <row r="127" spans="1:94" s="6" customFormat="1" ht="37.799999999999997" x14ac:dyDescent="0.3">
      <c r="A127" s="78">
        <v>125</v>
      </c>
      <c r="B127" s="76">
        <v>28544</v>
      </c>
      <c r="C127" s="76" t="s">
        <v>166</v>
      </c>
      <c r="D127" s="76">
        <v>10</v>
      </c>
      <c r="E127" s="76" t="s">
        <v>312</v>
      </c>
      <c r="F127" s="76"/>
      <c r="G127" s="76" t="s">
        <v>583</v>
      </c>
      <c r="H127" s="215">
        <v>46066</v>
      </c>
      <c r="I127" s="215">
        <v>46366</v>
      </c>
      <c r="J127" s="255"/>
      <c r="K127" s="211">
        <v>1100</v>
      </c>
      <c r="L127" s="211"/>
      <c r="M127" s="211"/>
      <c r="N127" s="211">
        <v>80</v>
      </c>
      <c r="O127" s="211">
        <f t="shared" si="41"/>
        <v>1180</v>
      </c>
      <c r="P127" s="211"/>
      <c r="Q127" s="211"/>
      <c r="R127" s="211"/>
      <c r="S127" s="211"/>
      <c r="T127" s="211">
        <f t="shared" si="47"/>
        <v>0</v>
      </c>
      <c r="U127" s="211">
        <f t="shared" si="42"/>
        <v>1100</v>
      </c>
      <c r="V127" s="211">
        <f t="shared" si="43"/>
        <v>0</v>
      </c>
      <c r="W127" s="211">
        <f t="shared" si="44"/>
        <v>0</v>
      </c>
      <c r="X127" s="211">
        <f t="shared" si="45"/>
        <v>80</v>
      </c>
      <c r="Y127" s="211">
        <f t="shared" si="48"/>
        <v>1180</v>
      </c>
      <c r="Z127" s="211">
        <f t="shared" si="49"/>
        <v>1100</v>
      </c>
      <c r="AA127" s="211">
        <f t="shared" si="50"/>
        <v>0</v>
      </c>
      <c r="AB127" s="211">
        <f t="shared" si="51"/>
        <v>0</v>
      </c>
      <c r="AC127" s="211">
        <f t="shared" si="52"/>
        <v>80</v>
      </c>
      <c r="AD127" s="211">
        <f t="shared" si="53"/>
        <v>1180</v>
      </c>
      <c r="AE127" s="76" t="s">
        <v>518</v>
      </c>
      <c r="AF127" s="76" t="s">
        <v>23</v>
      </c>
      <c r="AG127" s="298">
        <v>420</v>
      </c>
      <c r="AH127" s="298">
        <v>340</v>
      </c>
      <c r="AI127" s="298">
        <v>340</v>
      </c>
      <c r="AJ127" s="298"/>
      <c r="AK127" s="298"/>
      <c r="AL127" s="298"/>
      <c r="AM127" s="298"/>
      <c r="AN127" s="298"/>
      <c r="AO127" s="255"/>
      <c r="AP127" s="255"/>
      <c r="AQ127" s="255"/>
      <c r="AR127" s="255"/>
      <c r="AS127" s="76">
        <f t="shared" si="46"/>
        <v>1100</v>
      </c>
      <c r="AT127" s="76" t="s">
        <v>518</v>
      </c>
      <c r="AU127" s="76" t="s">
        <v>23</v>
      </c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>
        <f t="shared" si="54"/>
        <v>0</v>
      </c>
      <c r="BI127" s="76" t="s">
        <v>518</v>
      </c>
      <c r="BJ127" s="76" t="s">
        <v>23</v>
      </c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>
        <f t="shared" si="55"/>
        <v>0</v>
      </c>
      <c r="BX127" s="76" t="s">
        <v>518</v>
      </c>
      <c r="BY127" s="76" t="s">
        <v>23</v>
      </c>
      <c r="BZ127" s="76"/>
      <c r="CA127" s="76"/>
      <c r="CB127" s="76"/>
      <c r="CC127" s="76">
        <v>80</v>
      </c>
      <c r="CD127" s="76"/>
      <c r="CE127" s="76"/>
      <c r="CF127" s="76"/>
      <c r="CG127" s="76"/>
      <c r="CH127" s="76"/>
      <c r="CI127" s="76"/>
      <c r="CJ127" s="76"/>
      <c r="CK127" s="76"/>
      <c r="CL127" s="76">
        <f t="shared" si="56"/>
        <v>80</v>
      </c>
      <c r="CM127" s="211">
        <f t="shared" si="57"/>
        <v>0</v>
      </c>
      <c r="CN127" s="211">
        <f t="shared" si="58"/>
        <v>0</v>
      </c>
      <c r="CO127" s="211">
        <f t="shared" si="59"/>
        <v>0</v>
      </c>
      <c r="CP127" s="211">
        <f t="shared" si="60"/>
        <v>0</v>
      </c>
    </row>
    <row r="128" spans="1:94" s="6" customFormat="1" ht="24.6" customHeight="1" x14ac:dyDescent="0.3">
      <c r="A128" s="4">
        <v>126</v>
      </c>
      <c r="B128" s="76">
        <v>27285</v>
      </c>
      <c r="C128" s="76" t="s">
        <v>166</v>
      </c>
      <c r="D128" s="76">
        <v>6</v>
      </c>
      <c r="E128" s="76" t="s">
        <v>313</v>
      </c>
      <c r="F128" s="76" t="s">
        <v>353</v>
      </c>
      <c r="G128" s="76" t="s">
        <v>156</v>
      </c>
      <c r="H128" s="215">
        <v>46069</v>
      </c>
      <c r="I128" s="215"/>
      <c r="J128" s="255">
        <v>93933</v>
      </c>
      <c r="K128" s="211">
        <v>15390</v>
      </c>
      <c r="L128" s="211">
        <v>40</v>
      </c>
      <c r="M128" s="211"/>
      <c r="N128" s="211"/>
      <c r="O128" s="211">
        <f t="shared" si="41"/>
        <v>15430</v>
      </c>
      <c r="P128" s="211"/>
      <c r="Q128" s="211"/>
      <c r="R128" s="211"/>
      <c r="S128" s="211"/>
      <c r="T128" s="211">
        <f t="shared" si="47"/>
        <v>0</v>
      </c>
      <c r="U128" s="211">
        <f t="shared" si="42"/>
        <v>15390</v>
      </c>
      <c r="V128" s="211">
        <f t="shared" si="43"/>
        <v>40</v>
      </c>
      <c r="W128" s="211">
        <f t="shared" si="44"/>
        <v>0</v>
      </c>
      <c r="X128" s="211">
        <f t="shared" si="45"/>
        <v>0</v>
      </c>
      <c r="Y128" s="211">
        <f t="shared" si="48"/>
        <v>15430</v>
      </c>
      <c r="Z128" s="211">
        <f t="shared" si="49"/>
        <v>0</v>
      </c>
      <c r="AA128" s="211">
        <f t="shared" si="50"/>
        <v>0</v>
      </c>
      <c r="AB128" s="211">
        <f t="shared" si="51"/>
        <v>0</v>
      </c>
      <c r="AC128" s="211">
        <f t="shared" si="52"/>
        <v>0</v>
      </c>
      <c r="AD128" s="211">
        <f t="shared" si="53"/>
        <v>0</v>
      </c>
      <c r="AE128" s="76" t="s">
        <v>518</v>
      </c>
      <c r="AF128" s="76" t="s">
        <v>23</v>
      </c>
      <c r="AG128" s="298"/>
      <c r="AH128" s="298"/>
      <c r="AI128" s="298"/>
      <c r="AJ128" s="298"/>
      <c r="AK128" s="298"/>
      <c r="AL128" s="298"/>
      <c r="AM128" s="298"/>
      <c r="AN128" s="298"/>
      <c r="AO128" s="255"/>
      <c r="AP128" s="255"/>
      <c r="AQ128" s="255"/>
      <c r="AR128" s="255"/>
      <c r="AS128" s="76">
        <f t="shared" si="46"/>
        <v>0</v>
      </c>
      <c r="AT128" s="76" t="s">
        <v>518</v>
      </c>
      <c r="AU128" s="76" t="s">
        <v>23</v>
      </c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>
        <f t="shared" si="54"/>
        <v>0</v>
      </c>
      <c r="BI128" s="76" t="s">
        <v>518</v>
      </c>
      <c r="BJ128" s="76" t="s">
        <v>23</v>
      </c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>
        <f t="shared" si="55"/>
        <v>0</v>
      </c>
      <c r="BX128" s="76" t="s">
        <v>518</v>
      </c>
      <c r="BY128" s="76" t="s">
        <v>23</v>
      </c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>
        <f t="shared" si="56"/>
        <v>0</v>
      </c>
      <c r="CM128" s="211">
        <f t="shared" si="57"/>
        <v>15390</v>
      </c>
      <c r="CN128" s="211">
        <f t="shared" si="58"/>
        <v>40</v>
      </c>
      <c r="CO128" s="211">
        <f t="shared" si="59"/>
        <v>0</v>
      </c>
      <c r="CP128" s="211">
        <f t="shared" si="60"/>
        <v>0</v>
      </c>
    </row>
    <row r="129" spans="1:94" s="6" customFormat="1" ht="50.4" x14ac:dyDescent="0.3">
      <c r="A129" s="78">
        <v>127</v>
      </c>
      <c r="B129" s="76">
        <v>16209</v>
      </c>
      <c r="C129" s="76" t="s">
        <v>166</v>
      </c>
      <c r="D129" s="76">
        <v>4</v>
      </c>
      <c r="E129" s="76" t="s">
        <v>315</v>
      </c>
      <c r="F129" s="76" t="s">
        <v>505</v>
      </c>
      <c r="G129" s="76" t="s">
        <v>178</v>
      </c>
      <c r="H129" s="215">
        <v>46069</v>
      </c>
      <c r="I129" s="215">
        <v>46311</v>
      </c>
      <c r="J129" s="255"/>
      <c r="K129" s="211"/>
      <c r="L129" s="211"/>
      <c r="M129" s="211"/>
      <c r="N129" s="211"/>
      <c r="O129" s="211">
        <f t="shared" si="41"/>
        <v>0</v>
      </c>
      <c r="P129" s="211"/>
      <c r="Q129" s="211"/>
      <c r="R129" s="211"/>
      <c r="S129" s="211"/>
      <c r="T129" s="211">
        <f t="shared" si="47"/>
        <v>0</v>
      </c>
      <c r="U129" s="211">
        <f t="shared" si="42"/>
        <v>0</v>
      </c>
      <c r="V129" s="211">
        <f t="shared" si="43"/>
        <v>0</v>
      </c>
      <c r="W129" s="211">
        <f t="shared" si="44"/>
        <v>0</v>
      </c>
      <c r="X129" s="211">
        <f t="shared" si="45"/>
        <v>0</v>
      </c>
      <c r="Y129" s="211">
        <f t="shared" si="48"/>
        <v>0</v>
      </c>
      <c r="Z129" s="211">
        <f t="shared" si="49"/>
        <v>0</v>
      </c>
      <c r="AA129" s="211">
        <f t="shared" si="50"/>
        <v>0</v>
      </c>
      <c r="AB129" s="211">
        <f t="shared" si="51"/>
        <v>0</v>
      </c>
      <c r="AC129" s="211">
        <f t="shared" si="52"/>
        <v>0</v>
      </c>
      <c r="AD129" s="211">
        <f t="shared" si="53"/>
        <v>0</v>
      </c>
      <c r="AE129" s="76" t="s">
        <v>518</v>
      </c>
      <c r="AF129" s="76" t="s">
        <v>23</v>
      </c>
      <c r="AG129" s="298"/>
      <c r="AH129" s="298"/>
      <c r="AI129" s="298"/>
      <c r="AJ129" s="298"/>
      <c r="AK129" s="298"/>
      <c r="AL129" s="298"/>
      <c r="AM129" s="298"/>
      <c r="AN129" s="298"/>
      <c r="AO129" s="255"/>
      <c r="AP129" s="255"/>
      <c r="AQ129" s="255"/>
      <c r="AR129" s="255"/>
      <c r="AS129" s="76">
        <f t="shared" si="46"/>
        <v>0</v>
      </c>
      <c r="AT129" s="76" t="s">
        <v>518</v>
      </c>
      <c r="AU129" s="76" t="s">
        <v>23</v>
      </c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>
        <f t="shared" si="54"/>
        <v>0</v>
      </c>
      <c r="BI129" s="76" t="s">
        <v>518</v>
      </c>
      <c r="BJ129" s="76" t="s">
        <v>23</v>
      </c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>
        <f t="shared" si="55"/>
        <v>0</v>
      </c>
      <c r="BX129" s="76" t="s">
        <v>518</v>
      </c>
      <c r="BY129" s="76" t="s">
        <v>23</v>
      </c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>
        <f t="shared" si="56"/>
        <v>0</v>
      </c>
      <c r="CM129" s="211">
        <f t="shared" si="57"/>
        <v>0</v>
      </c>
      <c r="CN129" s="211">
        <f t="shared" si="58"/>
        <v>0</v>
      </c>
      <c r="CO129" s="211">
        <f t="shared" si="59"/>
        <v>0</v>
      </c>
      <c r="CP129" s="211">
        <f t="shared" si="60"/>
        <v>0</v>
      </c>
    </row>
    <row r="130" spans="1:94" s="6" customFormat="1" ht="24.6" customHeight="1" x14ac:dyDescent="0.3">
      <c r="A130" s="4">
        <v>128</v>
      </c>
      <c r="B130" s="76" t="s">
        <v>329</v>
      </c>
      <c r="C130" s="76">
        <v>28310</v>
      </c>
      <c r="D130" s="76">
        <v>1</v>
      </c>
      <c r="E130" s="76" t="s">
        <v>316</v>
      </c>
      <c r="F130" s="76"/>
      <c r="G130" s="76" t="s">
        <v>158</v>
      </c>
      <c r="H130" s="215">
        <v>46072</v>
      </c>
      <c r="I130" s="215">
        <v>46387</v>
      </c>
      <c r="J130" s="255"/>
      <c r="K130" s="211">
        <v>1428</v>
      </c>
      <c r="L130" s="211">
        <v>360</v>
      </c>
      <c r="M130" s="211"/>
      <c r="N130" s="211">
        <v>300</v>
      </c>
      <c r="O130" s="211">
        <f t="shared" si="41"/>
        <v>2088</v>
      </c>
      <c r="P130" s="211"/>
      <c r="Q130" s="211"/>
      <c r="R130" s="211"/>
      <c r="S130" s="211"/>
      <c r="T130" s="211">
        <f t="shared" si="47"/>
        <v>0</v>
      </c>
      <c r="U130" s="211">
        <f t="shared" si="42"/>
        <v>1428</v>
      </c>
      <c r="V130" s="211">
        <f t="shared" si="43"/>
        <v>360</v>
      </c>
      <c r="W130" s="211">
        <f t="shared" si="44"/>
        <v>0</v>
      </c>
      <c r="X130" s="211">
        <f t="shared" si="45"/>
        <v>300</v>
      </c>
      <c r="Y130" s="211">
        <f t="shared" si="48"/>
        <v>2088</v>
      </c>
      <c r="Z130" s="211">
        <f t="shared" si="49"/>
        <v>1428</v>
      </c>
      <c r="AA130" s="211">
        <f t="shared" si="50"/>
        <v>360</v>
      </c>
      <c r="AB130" s="211">
        <f t="shared" si="51"/>
        <v>0</v>
      </c>
      <c r="AC130" s="211">
        <f t="shared" si="52"/>
        <v>300</v>
      </c>
      <c r="AD130" s="211">
        <f t="shared" si="53"/>
        <v>2088</v>
      </c>
      <c r="AE130" s="76" t="s">
        <v>518</v>
      </c>
      <c r="AF130" s="76" t="s">
        <v>23</v>
      </c>
      <c r="AG130" s="298"/>
      <c r="AH130" s="298"/>
      <c r="AI130" s="298">
        <v>700</v>
      </c>
      <c r="AJ130" s="298">
        <v>728</v>
      </c>
      <c r="AK130" s="298"/>
      <c r="AL130" s="298"/>
      <c r="AM130" s="298"/>
      <c r="AN130" s="298"/>
      <c r="AO130" s="255"/>
      <c r="AP130" s="255"/>
      <c r="AQ130" s="255"/>
      <c r="AR130" s="255"/>
      <c r="AS130" s="76">
        <f t="shared" si="46"/>
        <v>1428</v>
      </c>
      <c r="AT130" s="76" t="s">
        <v>518</v>
      </c>
      <c r="AU130" s="76" t="s">
        <v>23</v>
      </c>
      <c r="AV130" s="76"/>
      <c r="AW130" s="76"/>
      <c r="AX130" s="76"/>
      <c r="AY130" s="76"/>
      <c r="AZ130" s="76">
        <v>180</v>
      </c>
      <c r="BA130" s="76">
        <v>180</v>
      </c>
      <c r="BB130" s="76"/>
      <c r="BC130" s="76"/>
      <c r="BD130" s="76"/>
      <c r="BE130" s="76"/>
      <c r="BF130" s="76"/>
      <c r="BG130" s="76"/>
      <c r="BH130" s="76">
        <f t="shared" si="54"/>
        <v>360</v>
      </c>
      <c r="BI130" s="76" t="s">
        <v>518</v>
      </c>
      <c r="BJ130" s="76" t="s">
        <v>23</v>
      </c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>
        <f t="shared" si="55"/>
        <v>0</v>
      </c>
      <c r="BX130" s="76" t="s">
        <v>518</v>
      </c>
      <c r="BY130" s="76" t="s">
        <v>23</v>
      </c>
      <c r="BZ130" s="76"/>
      <c r="CA130" s="76"/>
      <c r="CB130" s="76"/>
      <c r="CC130" s="76"/>
      <c r="CD130" s="76"/>
      <c r="CE130" s="76"/>
      <c r="CF130" s="76">
        <v>300</v>
      </c>
      <c r="CG130" s="76"/>
      <c r="CH130" s="76"/>
      <c r="CI130" s="76"/>
      <c r="CJ130" s="76"/>
      <c r="CK130" s="76"/>
      <c r="CL130" s="76">
        <f t="shared" si="56"/>
        <v>300</v>
      </c>
      <c r="CM130" s="211">
        <f t="shared" si="57"/>
        <v>0</v>
      </c>
      <c r="CN130" s="211">
        <f t="shared" si="58"/>
        <v>0</v>
      </c>
      <c r="CO130" s="211">
        <f t="shared" si="59"/>
        <v>0</v>
      </c>
      <c r="CP130" s="211">
        <f t="shared" si="60"/>
        <v>0</v>
      </c>
    </row>
    <row r="131" spans="1:94" s="6" customFormat="1" ht="24.6" customHeight="1" x14ac:dyDescent="0.3">
      <c r="A131" s="78">
        <v>129</v>
      </c>
      <c r="B131" s="76" t="s">
        <v>317</v>
      </c>
      <c r="C131" s="76" t="s">
        <v>24</v>
      </c>
      <c r="D131" s="76">
        <v>1</v>
      </c>
      <c r="E131" s="76" t="s">
        <v>323</v>
      </c>
      <c r="F131" s="76"/>
      <c r="G131" s="76" t="s">
        <v>176</v>
      </c>
      <c r="H131" s="215">
        <v>46072</v>
      </c>
      <c r="I131" s="215"/>
      <c r="J131" s="255">
        <v>25000</v>
      </c>
      <c r="K131" s="211">
        <v>1055</v>
      </c>
      <c r="L131" s="211">
        <v>75</v>
      </c>
      <c r="M131" s="211">
        <v>105</v>
      </c>
      <c r="N131" s="211">
        <v>250</v>
      </c>
      <c r="O131" s="211">
        <f t="shared" si="41"/>
        <v>1485</v>
      </c>
      <c r="P131" s="211"/>
      <c r="Q131" s="211"/>
      <c r="R131" s="211"/>
      <c r="S131" s="211"/>
      <c r="T131" s="211">
        <f t="shared" si="47"/>
        <v>0</v>
      </c>
      <c r="U131" s="211">
        <f t="shared" si="42"/>
        <v>1055</v>
      </c>
      <c r="V131" s="211">
        <f t="shared" si="43"/>
        <v>75</v>
      </c>
      <c r="W131" s="211">
        <f t="shared" si="44"/>
        <v>105</v>
      </c>
      <c r="X131" s="211">
        <f t="shared" si="45"/>
        <v>250</v>
      </c>
      <c r="Y131" s="211">
        <f t="shared" si="48"/>
        <v>1485</v>
      </c>
      <c r="Z131" s="211">
        <f t="shared" si="49"/>
        <v>1055</v>
      </c>
      <c r="AA131" s="211">
        <f t="shared" si="50"/>
        <v>75</v>
      </c>
      <c r="AB131" s="211">
        <f t="shared" si="51"/>
        <v>105</v>
      </c>
      <c r="AC131" s="211">
        <f t="shared" si="52"/>
        <v>250</v>
      </c>
      <c r="AD131" s="211">
        <f t="shared" si="53"/>
        <v>1485</v>
      </c>
      <c r="AE131" s="76" t="s">
        <v>518</v>
      </c>
      <c r="AF131" s="76" t="s">
        <v>24</v>
      </c>
      <c r="AG131" s="298"/>
      <c r="AH131" s="298">
        <v>200</v>
      </c>
      <c r="AI131" s="298">
        <v>300</v>
      </c>
      <c r="AJ131" s="298">
        <v>400</v>
      </c>
      <c r="AK131" s="298">
        <v>155</v>
      </c>
      <c r="AL131" s="298"/>
      <c r="AM131" s="298"/>
      <c r="AN131" s="298"/>
      <c r="AO131" s="255"/>
      <c r="AP131" s="255"/>
      <c r="AQ131" s="255"/>
      <c r="AR131" s="255"/>
      <c r="AS131" s="76">
        <f t="shared" si="46"/>
        <v>1055</v>
      </c>
      <c r="AT131" s="76" t="s">
        <v>518</v>
      </c>
      <c r="AU131" s="76" t="s">
        <v>24</v>
      </c>
      <c r="AV131" s="76"/>
      <c r="AW131" s="76"/>
      <c r="AX131" s="76"/>
      <c r="AY131" s="76"/>
      <c r="AZ131" s="76">
        <v>75</v>
      </c>
      <c r="BA131" s="76"/>
      <c r="BB131" s="76"/>
      <c r="BC131" s="76"/>
      <c r="BD131" s="76"/>
      <c r="BE131" s="76"/>
      <c r="BF131" s="76"/>
      <c r="BG131" s="76"/>
      <c r="BH131" s="76">
        <f t="shared" si="54"/>
        <v>75</v>
      </c>
      <c r="BI131" s="76" t="s">
        <v>518</v>
      </c>
      <c r="BJ131" s="76" t="s">
        <v>24</v>
      </c>
      <c r="BK131" s="76"/>
      <c r="BL131" s="76"/>
      <c r="BM131" s="76"/>
      <c r="BN131" s="76"/>
      <c r="BO131" s="76">
        <v>53</v>
      </c>
      <c r="BP131" s="76">
        <v>52</v>
      </c>
      <c r="BQ131" s="76"/>
      <c r="BR131" s="76"/>
      <c r="BS131" s="76"/>
      <c r="BT131" s="76"/>
      <c r="BU131" s="76"/>
      <c r="BV131" s="76"/>
      <c r="BW131" s="76">
        <f t="shared" si="55"/>
        <v>105</v>
      </c>
      <c r="BX131" s="76" t="s">
        <v>518</v>
      </c>
      <c r="BY131" s="76" t="s">
        <v>24</v>
      </c>
      <c r="BZ131" s="76"/>
      <c r="CA131" s="76"/>
      <c r="CB131" s="76"/>
      <c r="CC131" s="76"/>
      <c r="CD131" s="76"/>
      <c r="CE131" s="76"/>
      <c r="CF131" s="76">
        <v>250</v>
      </c>
      <c r="CG131" s="76"/>
      <c r="CH131" s="76"/>
      <c r="CI131" s="76"/>
      <c r="CJ131" s="76"/>
      <c r="CK131" s="76"/>
      <c r="CL131" s="76">
        <f t="shared" si="56"/>
        <v>250</v>
      </c>
      <c r="CM131" s="211">
        <f t="shared" si="57"/>
        <v>0</v>
      </c>
      <c r="CN131" s="211">
        <f t="shared" si="58"/>
        <v>0</v>
      </c>
      <c r="CO131" s="211">
        <f t="shared" si="59"/>
        <v>0</v>
      </c>
      <c r="CP131" s="211">
        <f t="shared" si="60"/>
        <v>0</v>
      </c>
    </row>
    <row r="132" spans="1:94" s="6" customFormat="1" ht="24.6" customHeight="1" x14ac:dyDescent="0.3">
      <c r="A132" s="4">
        <v>130</v>
      </c>
      <c r="B132" s="76" t="s">
        <v>318</v>
      </c>
      <c r="C132" s="76" t="s">
        <v>24</v>
      </c>
      <c r="D132" s="76">
        <v>44</v>
      </c>
      <c r="E132" s="76" t="s">
        <v>324</v>
      </c>
      <c r="F132" s="76" t="s">
        <v>505</v>
      </c>
      <c r="G132" s="76" t="s">
        <v>176</v>
      </c>
      <c r="H132" s="215">
        <v>46072</v>
      </c>
      <c r="I132" s="215"/>
      <c r="J132" s="255">
        <v>40000</v>
      </c>
      <c r="K132" s="211">
        <v>4905</v>
      </c>
      <c r="L132" s="211">
        <v>30</v>
      </c>
      <c r="M132" s="211">
        <v>85</v>
      </c>
      <c r="N132" s="211">
        <v>100</v>
      </c>
      <c r="O132" s="211">
        <f t="shared" si="41"/>
        <v>5120</v>
      </c>
      <c r="P132" s="211"/>
      <c r="Q132" s="211"/>
      <c r="R132" s="211"/>
      <c r="S132" s="211"/>
      <c r="T132" s="211">
        <f t="shared" si="47"/>
        <v>0</v>
      </c>
      <c r="U132" s="211">
        <f t="shared" si="42"/>
        <v>4905</v>
      </c>
      <c r="V132" s="211">
        <f t="shared" si="43"/>
        <v>30</v>
      </c>
      <c r="W132" s="211">
        <f t="shared" si="44"/>
        <v>85</v>
      </c>
      <c r="X132" s="211">
        <f t="shared" si="45"/>
        <v>100</v>
      </c>
      <c r="Y132" s="211">
        <f t="shared" si="48"/>
        <v>5120</v>
      </c>
      <c r="Z132" s="211">
        <f t="shared" si="49"/>
        <v>0</v>
      </c>
      <c r="AA132" s="211">
        <f t="shared" si="50"/>
        <v>0</v>
      </c>
      <c r="AB132" s="211">
        <f t="shared" si="51"/>
        <v>0</v>
      </c>
      <c r="AC132" s="211">
        <f t="shared" si="52"/>
        <v>0</v>
      </c>
      <c r="AD132" s="211">
        <f t="shared" si="53"/>
        <v>0</v>
      </c>
      <c r="AE132" s="76" t="s">
        <v>518</v>
      </c>
      <c r="AF132" s="76" t="s">
        <v>24</v>
      </c>
      <c r="AG132" s="298"/>
      <c r="AH132" s="298"/>
      <c r="AI132" s="298"/>
      <c r="AJ132" s="298"/>
      <c r="AK132" s="298"/>
      <c r="AL132" s="298"/>
      <c r="AM132" s="298"/>
      <c r="AN132" s="298"/>
      <c r="AO132" s="255"/>
      <c r="AP132" s="255"/>
      <c r="AQ132" s="255"/>
      <c r="AR132" s="255"/>
      <c r="AS132" s="76">
        <f t="shared" si="46"/>
        <v>0</v>
      </c>
      <c r="AT132" s="76" t="s">
        <v>518</v>
      </c>
      <c r="AU132" s="76" t="s">
        <v>24</v>
      </c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>
        <f t="shared" si="54"/>
        <v>0</v>
      </c>
      <c r="BI132" s="76" t="s">
        <v>518</v>
      </c>
      <c r="BJ132" s="76" t="s">
        <v>24</v>
      </c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>
        <f t="shared" si="55"/>
        <v>0</v>
      </c>
      <c r="BX132" s="76" t="s">
        <v>518</v>
      </c>
      <c r="BY132" s="76" t="s">
        <v>24</v>
      </c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>
        <f t="shared" si="56"/>
        <v>0</v>
      </c>
      <c r="CM132" s="211">
        <f t="shared" si="57"/>
        <v>4905</v>
      </c>
      <c r="CN132" s="211">
        <f t="shared" si="58"/>
        <v>30</v>
      </c>
      <c r="CO132" s="211">
        <f t="shared" si="59"/>
        <v>85</v>
      </c>
      <c r="CP132" s="211">
        <f t="shared" si="60"/>
        <v>100</v>
      </c>
    </row>
    <row r="133" spans="1:94" s="6" customFormat="1" ht="24.6" customHeight="1" x14ac:dyDescent="0.3">
      <c r="A133" s="78">
        <v>131</v>
      </c>
      <c r="B133" s="76" t="s">
        <v>319</v>
      </c>
      <c r="C133" s="76" t="s">
        <v>24</v>
      </c>
      <c r="D133" s="76">
        <v>15</v>
      </c>
      <c r="E133" s="76" t="s">
        <v>325</v>
      </c>
      <c r="F133" s="76"/>
      <c r="G133" s="76" t="s">
        <v>176</v>
      </c>
      <c r="H133" s="215">
        <v>46072</v>
      </c>
      <c r="I133" s="215"/>
      <c r="J133" s="255">
        <v>45000</v>
      </c>
      <c r="K133" s="211">
        <v>5510</v>
      </c>
      <c r="L133" s="211">
        <v>50</v>
      </c>
      <c r="M133" s="211">
        <v>175</v>
      </c>
      <c r="N133" s="211">
        <v>100</v>
      </c>
      <c r="O133" s="211">
        <f t="shared" si="41"/>
        <v>5835</v>
      </c>
      <c r="P133" s="211"/>
      <c r="Q133" s="211"/>
      <c r="R133" s="211"/>
      <c r="S133" s="211"/>
      <c r="T133" s="211">
        <f t="shared" si="47"/>
        <v>0</v>
      </c>
      <c r="U133" s="211">
        <f t="shared" si="42"/>
        <v>5510</v>
      </c>
      <c r="V133" s="211">
        <f t="shared" si="43"/>
        <v>50</v>
      </c>
      <c r="W133" s="211">
        <f t="shared" si="44"/>
        <v>175</v>
      </c>
      <c r="X133" s="211">
        <f t="shared" si="45"/>
        <v>100</v>
      </c>
      <c r="Y133" s="211">
        <f t="shared" si="48"/>
        <v>5835</v>
      </c>
      <c r="Z133" s="211">
        <f t="shared" si="49"/>
        <v>5010</v>
      </c>
      <c r="AA133" s="211">
        <f t="shared" si="50"/>
        <v>50</v>
      </c>
      <c r="AB133" s="211">
        <f t="shared" si="51"/>
        <v>175</v>
      </c>
      <c r="AC133" s="211">
        <f t="shared" si="52"/>
        <v>100</v>
      </c>
      <c r="AD133" s="211">
        <f t="shared" si="53"/>
        <v>5335</v>
      </c>
      <c r="AE133" s="76" t="s">
        <v>518</v>
      </c>
      <c r="AF133" s="76" t="s">
        <v>24</v>
      </c>
      <c r="AG133" s="298"/>
      <c r="AH133" s="298"/>
      <c r="AI133" s="298">
        <v>800</v>
      </c>
      <c r="AJ133" s="298">
        <v>1200</v>
      </c>
      <c r="AK133" s="298">
        <v>1000</v>
      </c>
      <c r="AL133" s="298">
        <v>2010</v>
      </c>
      <c r="AM133" s="298"/>
      <c r="AN133" s="298"/>
      <c r="AO133" s="255"/>
      <c r="AP133" s="255"/>
      <c r="AQ133" s="255"/>
      <c r="AR133" s="255"/>
      <c r="AS133" s="76">
        <f t="shared" si="46"/>
        <v>5010</v>
      </c>
      <c r="AT133" s="76" t="s">
        <v>518</v>
      </c>
      <c r="AU133" s="76" t="s">
        <v>24</v>
      </c>
      <c r="AV133" s="76"/>
      <c r="AW133" s="76"/>
      <c r="AX133" s="76"/>
      <c r="AY133" s="76"/>
      <c r="AZ133" s="76"/>
      <c r="BA133" s="76">
        <v>50</v>
      </c>
      <c r="BB133" s="76"/>
      <c r="BC133" s="76"/>
      <c r="BD133" s="76"/>
      <c r="BE133" s="76"/>
      <c r="BF133" s="76"/>
      <c r="BG133" s="76"/>
      <c r="BH133" s="76">
        <f t="shared" si="54"/>
        <v>50</v>
      </c>
      <c r="BI133" s="76" t="s">
        <v>518</v>
      </c>
      <c r="BJ133" s="76" t="s">
        <v>24</v>
      </c>
      <c r="BK133" s="76"/>
      <c r="BL133" s="76"/>
      <c r="BM133" s="76"/>
      <c r="BN133" s="76"/>
      <c r="BO133" s="76">
        <v>75</v>
      </c>
      <c r="BP133" s="76">
        <v>100</v>
      </c>
      <c r="BQ133" s="76"/>
      <c r="BR133" s="76"/>
      <c r="BS133" s="76"/>
      <c r="BT133" s="76"/>
      <c r="BU133" s="76"/>
      <c r="BV133" s="76"/>
      <c r="BW133" s="76">
        <f t="shared" si="55"/>
        <v>175</v>
      </c>
      <c r="BX133" s="76" t="s">
        <v>518</v>
      </c>
      <c r="BY133" s="76" t="s">
        <v>24</v>
      </c>
      <c r="BZ133" s="76"/>
      <c r="CA133" s="76"/>
      <c r="CB133" s="76"/>
      <c r="CC133" s="76"/>
      <c r="CD133" s="76"/>
      <c r="CE133" s="76"/>
      <c r="CF133" s="76">
        <v>100</v>
      </c>
      <c r="CG133" s="76"/>
      <c r="CH133" s="76"/>
      <c r="CI133" s="76"/>
      <c r="CJ133" s="76"/>
      <c r="CK133" s="76"/>
      <c r="CL133" s="76">
        <f t="shared" si="56"/>
        <v>100</v>
      </c>
      <c r="CM133" s="211">
        <f t="shared" si="57"/>
        <v>500</v>
      </c>
      <c r="CN133" s="211">
        <f t="shared" si="58"/>
        <v>0</v>
      </c>
      <c r="CO133" s="211">
        <f t="shared" si="59"/>
        <v>0</v>
      </c>
      <c r="CP133" s="211">
        <f t="shared" si="60"/>
        <v>0</v>
      </c>
    </row>
    <row r="134" spans="1:94" s="6" customFormat="1" ht="24.6" customHeight="1" x14ac:dyDescent="0.3">
      <c r="A134" s="4">
        <v>132</v>
      </c>
      <c r="B134" s="76" t="s">
        <v>320</v>
      </c>
      <c r="C134" s="76" t="s">
        <v>24</v>
      </c>
      <c r="D134" s="76">
        <v>8</v>
      </c>
      <c r="E134" s="76" t="s">
        <v>326</v>
      </c>
      <c r="F134" s="76" t="s">
        <v>505</v>
      </c>
      <c r="G134" s="76" t="s">
        <v>176</v>
      </c>
      <c r="H134" s="215">
        <v>46072</v>
      </c>
      <c r="I134" s="215"/>
      <c r="J134" s="255">
        <v>8000</v>
      </c>
      <c r="K134" s="211">
        <v>750</v>
      </c>
      <c r="L134" s="211">
        <v>30</v>
      </c>
      <c r="M134" s="211">
        <v>50</v>
      </c>
      <c r="N134" s="211">
        <v>50</v>
      </c>
      <c r="O134" s="211">
        <f t="shared" si="41"/>
        <v>880</v>
      </c>
      <c r="P134" s="211"/>
      <c r="Q134" s="211"/>
      <c r="R134" s="211"/>
      <c r="S134" s="211"/>
      <c r="T134" s="211">
        <f t="shared" si="47"/>
        <v>0</v>
      </c>
      <c r="U134" s="211">
        <f t="shared" si="42"/>
        <v>750</v>
      </c>
      <c r="V134" s="211">
        <f t="shared" si="43"/>
        <v>30</v>
      </c>
      <c r="W134" s="211">
        <f t="shared" si="44"/>
        <v>50</v>
      </c>
      <c r="X134" s="211">
        <f t="shared" si="45"/>
        <v>50</v>
      </c>
      <c r="Y134" s="211">
        <f t="shared" si="48"/>
        <v>880</v>
      </c>
      <c r="Z134" s="211">
        <f t="shared" si="49"/>
        <v>0</v>
      </c>
      <c r="AA134" s="211">
        <f t="shared" si="50"/>
        <v>0</v>
      </c>
      <c r="AB134" s="211">
        <f t="shared" si="51"/>
        <v>0</v>
      </c>
      <c r="AC134" s="211">
        <f t="shared" si="52"/>
        <v>0</v>
      </c>
      <c r="AD134" s="211">
        <f t="shared" si="53"/>
        <v>0</v>
      </c>
      <c r="AE134" s="76" t="s">
        <v>518</v>
      </c>
      <c r="AF134" s="76" t="s">
        <v>24</v>
      </c>
      <c r="AG134" s="298"/>
      <c r="AH134" s="298"/>
      <c r="AI134" s="298"/>
      <c r="AJ134" s="298"/>
      <c r="AK134" s="298"/>
      <c r="AL134" s="298"/>
      <c r="AM134" s="298"/>
      <c r="AN134" s="298"/>
      <c r="AO134" s="255"/>
      <c r="AP134" s="255"/>
      <c r="AQ134" s="255"/>
      <c r="AR134" s="255"/>
      <c r="AS134" s="76">
        <f t="shared" si="46"/>
        <v>0</v>
      </c>
      <c r="AT134" s="76" t="s">
        <v>518</v>
      </c>
      <c r="AU134" s="76" t="s">
        <v>24</v>
      </c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>
        <f t="shared" si="54"/>
        <v>0</v>
      </c>
      <c r="BI134" s="76" t="s">
        <v>518</v>
      </c>
      <c r="BJ134" s="76" t="s">
        <v>24</v>
      </c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>
        <f t="shared" si="55"/>
        <v>0</v>
      </c>
      <c r="BX134" s="76" t="s">
        <v>518</v>
      </c>
      <c r="BY134" s="76" t="s">
        <v>24</v>
      </c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>
        <f t="shared" si="56"/>
        <v>0</v>
      </c>
      <c r="CM134" s="211">
        <f t="shared" si="57"/>
        <v>750</v>
      </c>
      <c r="CN134" s="211">
        <f t="shared" si="58"/>
        <v>30</v>
      </c>
      <c r="CO134" s="211">
        <f t="shared" si="59"/>
        <v>50</v>
      </c>
      <c r="CP134" s="211">
        <f t="shared" si="60"/>
        <v>50</v>
      </c>
    </row>
    <row r="135" spans="1:94" s="288" customFormat="1" ht="24.6" customHeight="1" x14ac:dyDescent="0.3">
      <c r="A135" s="78">
        <v>133</v>
      </c>
      <c r="B135" s="283" t="s">
        <v>321</v>
      </c>
      <c r="C135" s="283" t="s">
        <v>24</v>
      </c>
      <c r="D135" s="76">
        <v>3</v>
      </c>
      <c r="E135" s="283" t="s">
        <v>327</v>
      </c>
      <c r="F135" s="283" t="s">
        <v>505</v>
      </c>
      <c r="G135" s="283" t="s">
        <v>176</v>
      </c>
      <c r="H135" s="284">
        <v>46072</v>
      </c>
      <c r="I135" s="284"/>
      <c r="J135" s="285">
        <v>2000</v>
      </c>
      <c r="K135" s="286">
        <v>105</v>
      </c>
      <c r="L135" s="286">
        <v>5</v>
      </c>
      <c r="M135" s="286">
        <v>20</v>
      </c>
      <c r="N135" s="286">
        <v>10</v>
      </c>
      <c r="O135" s="286">
        <f t="shared" si="41"/>
        <v>140</v>
      </c>
      <c r="P135" s="286"/>
      <c r="Q135" s="286"/>
      <c r="R135" s="286"/>
      <c r="S135" s="286"/>
      <c r="T135" s="286">
        <f t="shared" si="47"/>
        <v>0</v>
      </c>
      <c r="U135" s="286">
        <f t="shared" si="42"/>
        <v>105</v>
      </c>
      <c r="V135" s="286">
        <f t="shared" si="43"/>
        <v>5</v>
      </c>
      <c r="W135" s="286">
        <f t="shared" si="44"/>
        <v>20</v>
      </c>
      <c r="X135" s="286">
        <f t="shared" si="45"/>
        <v>10</v>
      </c>
      <c r="Y135" s="286">
        <f t="shared" si="48"/>
        <v>140</v>
      </c>
      <c r="Z135" s="286">
        <f t="shared" si="49"/>
        <v>0</v>
      </c>
      <c r="AA135" s="286">
        <f t="shared" si="50"/>
        <v>0</v>
      </c>
      <c r="AB135" s="286">
        <f t="shared" si="51"/>
        <v>0</v>
      </c>
      <c r="AC135" s="286">
        <f t="shared" si="52"/>
        <v>0</v>
      </c>
      <c r="AD135" s="286">
        <f t="shared" si="53"/>
        <v>0</v>
      </c>
      <c r="AE135" s="283" t="s">
        <v>518</v>
      </c>
      <c r="AF135" s="283" t="s">
        <v>24</v>
      </c>
      <c r="AG135" s="300"/>
      <c r="AH135" s="300"/>
      <c r="AI135" s="300"/>
      <c r="AJ135" s="300"/>
      <c r="AK135" s="300"/>
      <c r="AL135" s="300"/>
      <c r="AM135" s="300"/>
      <c r="AN135" s="300"/>
      <c r="AO135" s="285"/>
      <c r="AP135" s="285"/>
      <c r="AQ135" s="285"/>
      <c r="AR135" s="285"/>
      <c r="AS135" s="283">
        <f t="shared" si="46"/>
        <v>0</v>
      </c>
      <c r="AT135" s="283" t="s">
        <v>518</v>
      </c>
      <c r="AU135" s="283" t="s">
        <v>24</v>
      </c>
      <c r="AV135" s="283"/>
      <c r="AW135" s="283"/>
      <c r="AX135" s="283"/>
      <c r="AY135" s="283"/>
      <c r="AZ135" s="283"/>
      <c r="BA135" s="283"/>
      <c r="BB135" s="283"/>
      <c r="BC135" s="283"/>
      <c r="BD135" s="283"/>
      <c r="BE135" s="283"/>
      <c r="BF135" s="283"/>
      <c r="BG135" s="283"/>
      <c r="BH135" s="283">
        <f t="shared" si="54"/>
        <v>0</v>
      </c>
      <c r="BI135" s="283" t="s">
        <v>518</v>
      </c>
      <c r="BJ135" s="283" t="s">
        <v>24</v>
      </c>
      <c r="BK135" s="283"/>
      <c r="BL135" s="283"/>
      <c r="BM135" s="283"/>
      <c r="BN135" s="283"/>
      <c r="BO135" s="283"/>
      <c r="BP135" s="283"/>
      <c r="BQ135" s="283"/>
      <c r="BR135" s="283"/>
      <c r="BS135" s="283"/>
      <c r="BT135" s="283"/>
      <c r="BU135" s="283"/>
      <c r="BV135" s="283"/>
      <c r="BW135" s="283">
        <f t="shared" si="55"/>
        <v>0</v>
      </c>
      <c r="BX135" s="283" t="s">
        <v>518</v>
      </c>
      <c r="BY135" s="283" t="s">
        <v>24</v>
      </c>
      <c r="BZ135" s="283"/>
      <c r="CA135" s="283"/>
      <c r="CB135" s="283"/>
      <c r="CC135" s="283"/>
      <c r="CD135" s="283"/>
      <c r="CE135" s="283"/>
      <c r="CF135" s="283"/>
      <c r="CG135" s="283"/>
      <c r="CH135" s="283"/>
      <c r="CI135" s="283"/>
      <c r="CJ135" s="283"/>
      <c r="CK135" s="283"/>
      <c r="CL135" s="283">
        <f t="shared" si="56"/>
        <v>0</v>
      </c>
      <c r="CM135" s="286">
        <f t="shared" si="57"/>
        <v>105</v>
      </c>
      <c r="CN135" s="286">
        <f t="shared" si="58"/>
        <v>5</v>
      </c>
      <c r="CO135" s="286">
        <f t="shared" si="59"/>
        <v>20</v>
      </c>
      <c r="CP135" s="286">
        <f t="shared" si="60"/>
        <v>10</v>
      </c>
    </row>
    <row r="136" spans="1:94" s="6" customFormat="1" ht="24.6" customHeight="1" x14ac:dyDescent="0.3">
      <c r="A136" s="4">
        <v>134</v>
      </c>
      <c r="B136" s="76" t="s">
        <v>322</v>
      </c>
      <c r="C136" s="76" t="s">
        <v>24</v>
      </c>
      <c r="D136" s="76">
        <v>1</v>
      </c>
      <c r="E136" s="76" t="s">
        <v>328</v>
      </c>
      <c r="F136" s="76"/>
      <c r="G136" s="76" t="s">
        <v>176</v>
      </c>
      <c r="H136" s="215">
        <v>46072</v>
      </c>
      <c r="I136" s="215"/>
      <c r="J136" s="255">
        <v>15000</v>
      </c>
      <c r="K136" s="211">
        <v>1870</v>
      </c>
      <c r="L136" s="211">
        <v>75</v>
      </c>
      <c r="M136" s="211">
        <v>150</v>
      </c>
      <c r="N136" s="211">
        <v>250</v>
      </c>
      <c r="O136" s="211">
        <f t="shared" si="41"/>
        <v>2345</v>
      </c>
      <c r="P136" s="211"/>
      <c r="Q136" s="211"/>
      <c r="R136" s="211"/>
      <c r="S136" s="211"/>
      <c r="T136" s="211">
        <f t="shared" si="47"/>
        <v>0</v>
      </c>
      <c r="U136" s="211">
        <f t="shared" si="42"/>
        <v>1870</v>
      </c>
      <c r="V136" s="211">
        <f t="shared" si="43"/>
        <v>75</v>
      </c>
      <c r="W136" s="211">
        <f t="shared" si="44"/>
        <v>150</v>
      </c>
      <c r="X136" s="211">
        <f t="shared" si="45"/>
        <v>250</v>
      </c>
      <c r="Y136" s="211">
        <f t="shared" si="48"/>
        <v>2345</v>
      </c>
      <c r="Z136" s="211">
        <f t="shared" si="49"/>
        <v>1870</v>
      </c>
      <c r="AA136" s="211">
        <f t="shared" si="50"/>
        <v>75</v>
      </c>
      <c r="AB136" s="211">
        <f t="shared" si="51"/>
        <v>150</v>
      </c>
      <c r="AC136" s="211">
        <f t="shared" si="52"/>
        <v>250</v>
      </c>
      <c r="AD136" s="211">
        <f t="shared" si="53"/>
        <v>2345</v>
      </c>
      <c r="AE136" s="76" t="s">
        <v>518</v>
      </c>
      <c r="AF136" s="76" t="s">
        <v>24</v>
      </c>
      <c r="AG136" s="298"/>
      <c r="AH136" s="298">
        <v>200</v>
      </c>
      <c r="AI136" s="298">
        <v>300</v>
      </c>
      <c r="AJ136" s="298">
        <v>500</v>
      </c>
      <c r="AK136" s="298">
        <v>870</v>
      </c>
      <c r="AL136" s="298"/>
      <c r="AM136" s="298"/>
      <c r="AN136" s="298"/>
      <c r="AO136" s="255"/>
      <c r="AP136" s="255"/>
      <c r="AQ136" s="255"/>
      <c r="AR136" s="255"/>
      <c r="AS136" s="76">
        <f t="shared" si="46"/>
        <v>1870</v>
      </c>
      <c r="AT136" s="76" t="s">
        <v>518</v>
      </c>
      <c r="AU136" s="76" t="s">
        <v>24</v>
      </c>
      <c r="AV136" s="76"/>
      <c r="AW136" s="76"/>
      <c r="AX136" s="76"/>
      <c r="AY136" s="76"/>
      <c r="AZ136" s="76">
        <v>75</v>
      </c>
      <c r="BA136" s="76"/>
      <c r="BB136" s="76"/>
      <c r="BC136" s="76"/>
      <c r="BD136" s="76"/>
      <c r="BE136" s="76"/>
      <c r="BF136" s="76"/>
      <c r="BG136" s="76"/>
      <c r="BH136" s="76">
        <f t="shared" si="54"/>
        <v>75</v>
      </c>
      <c r="BI136" s="76" t="s">
        <v>518</v>
      </c>
      <c r="BJ136" s="76" t="s">
        <v>24</v>
      </c>
      <c r="BK136" s="76"/>
      <c r="BL136" s="76"/>
      <c r="BM136" s="76"/>
      <c r="BN136" s="76"/>
      <c r="BO136" s="76">
        <v>150</v>
      </c>
      <c r="BP136" s="76"/>
      <c r="BQ136" s="76"/>
      <c r="BR136" s="76"/>
      <c r="BS136" s="76"/>
      <c r="BT136" s="76"/>
      <c r="BU136" s="76"/>
      <c r="BV136" s="76"/>
      <c r="BW136" s="76">
        <f t="shared" si="55"/>
        <v>150</v>
      </c>
      <c r="BX136" s="76" t="s">
        <v>518</v>
      </c>
      <c r="BY136" s="76" t="s">
        <v>24</v>
      </c>
      <c r="BZ136" s="76"/>
      <c r="CA136" s="76"/>
      <c r="CB136" s="76"/>
      <c r="CC136" s="76"/>
      <c r="CD136" s="76"/>
      <c r="CE136" s="76">
        <v>250</v>
      </c>
      <c r="CF136" s="76"/>
      <c r="CG136" s="76"/>
      <c r="CH136" s="76"/>
      <c r="CI136" s="76"/>
      <c r="CJ136" s="76"/>
      <c r="CK136" s="76"/>
      <c r="CL136" s="76">
        <f t="shared" si="56"/>
        <v>250</v>
      </c>
      <c r="CM136" s="211">
        <f t="shared" si="57"/>
        <v>0</v>
      </c>
      <c r="CN136" s="211">
        <f t="shared" si="58"/>
        <v>0</v>
      </c>
      <c r="CO136" s="211">
        <f t="shared" si="59"/>
        <v>0</v>
      </c>
      <c r="CP136" s="211">
        <f t="shared" si="60"/>
        <v>0</v>
      </c>
    </row>
    <row r="137" spans="1:94" s="6" customFormat="1" ht="24.6" customHeight="1" x14ac:dyDescent="0.3">
      <c r="A137" s="78">
        <v>135</v>
      </c>
      <c r="B137" s="76" t="s">
        <v>330</v>
      </c>
      <c r="C137" s="76" t="s">
        <v>24</v>
      </c>
      <c r="D137" s="76">
        <v>1</v>
      </c>
      <c r="E137" s="76" t="s">
        <v>332</v>
      </c>
      <c r="F137" s="76"/>
      <c r="G137" s="76" t="s">
        <v>162</v>
      </c>
      <c r="H137" s="215">
        <v>46078</v>
      </c>
      <c r="I137" s="215"/>
      <c r="J137" s="255">
        <v>100000</v>
      </c>
      <c r="K137" s="211">
        <v>9670</v>
      </c>
      <c r="L137" s="211">
        <v>540</v>
      </c>
      <c r="M137" s="211">
        <v>495</v>
      </c>
      <c r="N137" s="211">
        <v>1500</v>
      </c>
      <c r="O137" s="211">
        <f t="shared" si="41"/>
        <v>12205</v>
      </c>
      <c r="P137" s="211"/>
      <c r="Q137" s="211"/>
      <c r="R137" s="211"/>
      <c r="S137" s="211"/>
      <c r="T137" s="211">
        <f t="shared" si="47"/>
        <v>0</v>
      </c>
      <c r="U137" s="211">
        <f t="shared" si="42"/>
        <v>9670</v>
      </c>
      <c r="V137" s="211">
        <f t="shared" si="43"/>
        <v>540</v>
      </c>
      <c r="W137" s="211">
        <f t="shared" si="44"/>
        <v>495</v>
      </c>
      <c r="X137" s="211">
        <f t="shared" si="45"/>
        <v>1500</v>
      </c>
      <c r="Y137" s="211">
        <f t="shared" si="48"/>
        <v>12205</v>
      </c>
      <c r="Z137" s="211">
        <f t="shared" si="49"/>
        <v>9670</v>
      </c>
      <c r="AA137" s="211">
        <f t="shared" si="50"/>
        <v>540</v>
      </c>
      <c r="AB137" s="211">
        <f t="shared" si="51"/>
        <v>495</v>
      </c>
      <c r="AC137" s="211">
        <f t="shared" si="52"/>
        <v>1500</v>
      </c>
      <c r="AD137" s="211">
        <f t="shared" si="53"/>
        <v>12205</v>
      </c>
      <c r="AE137" s="76" t="s">
        <v>518</v>
      </c>
      <c r="AF137" s="76" t="s">
        <v>24</v>
      </c>
      <c r="AG137" s="298"/>
      <c r="AH137" s="298"/>
      <c r="AI137" s="298">
        <v>500</v>
      </c>
      <c r="AJ137" s="298">
        <v>500</v>
      </c>
      <c r="AK137" s="298">
        <v>1000</v>
      </c>
      <c r="AL137" s="298">
        <v>2470</v>
      </c>
      <c r="AM137" s="298">
        <v>2200</v>
      </c>
      <c r="AN137" s="298">
        <v>3000</v>
      </c>
      <c r="AO137" s="255"/>
      <c r="AP137" s="255"/>
      <c r="AQ137" s="255"/>
      <c r="AR137" s="255"/>
      <c r="AS137" s="76">
        <f t="shared" si="46"/>
        <v>9670</v>
      </c>
      <c r="AT137" s="76" t="s">
        <v>518</v>
      </c>
      <c r="AU137" s="76" t="s">
        <v>24</v>
      </c>
      <c r="AV137" s="76"/>
      <c r="AW137" s="76"/>
      <c r="AX137" s="76"/>
      <c r="AY137" s="76"/>
      <c r="AZ137" s="76"/>
      <c r="BA137" s="76"/>
      <c r="BB137" s="76">
        <v>270</v>
      </c>
      <c r="BC137" s="76">
        <v>270</v>
      </c>
      <c r="BD137" s="76"/>
      <c r="BE137" s="76"/>
      <c r="BF137" s="76"/>
      <c r="BG137" s="76"/>
      <c r="BH137" s="76">
        <f t="shared" si="54"/>
        <v>540</v>
      </c>
      <c r="BI137" s="76" t="s">
        <v>518</v>
      </c>
      <c r="BJ137" s="76" t="s">
        <v>24</v>
      </c>
      <c r="BK137" s="76"/>
      <c r="BL137" s="76"/>
      <c r="BM137" s="76"/>
      <c r="BN137" s="76"/>
      <c r="BO137" s="76">
        <v>248</v>
      </c>
      <c r="BP137" s="76">
        <v>247</v>
      </c>
      <c r="BQ137" s="76"/>
      <c r="BR137" s="76"/>
      <c r="BS137" s="76"/>
      <c r="BT137" s="76"/>
      <c r="BU137" s="76"/>
      <c r="BV137" s="76"/>
      <c r="BW137" s="76">
        <f t="shared" si="55"/>
        <v>495</v>
      </c>
      <c r="BX137" s="76" t="s">
        <v>518</v>
      </c>
      <c r="BY137" s="76" t="s">
        <v>24</v>
      </c>
      <c r="BZ137" s="76"/>
      <c r="CA137" s="76"/>
      <c r="CB137" s="76"/>
      <c r="CC137" s="76"/>
      <c r="CD137" s="76"/>
      <c r="CE137" s="76"/>
      <c r="CF137" s="76">
        <v>750</v>
      </c>
      <c r="CG137" s="76">
        <v>750</v>
      </c>
      <c r="CH137" s="76"/>
      <c r="CI137" s="76"/>
      <c r="CJ137" s="76"/>
      <c r="CK137" s="76"/>
      <c r="CL137" s="76">
        <f t="shared" si="56"/>
        <v>1500</v>
      </c>
      <c r="CM137" s="211">
        <f t="shared" si="57"/>
        <v>0</v>
      </c>
      <c r="CN137" s="211">
        <f t="shared" si="58"/>
        <v>0</v>
      </c>
      <c r="CO137" s="211">
        <f t="shared" si="59"/>
        <v>0</v>
      </c>
      <c r="CP137" s="211">
        <f t="shared" si="60"/>
        <v>0</v>
      </c>
    </row>
    <row r="138" spans="1:94" s="6" customFormat="1" ht="24.6" customHeight="1" x14ac:dyDescent="0.3">
      <c r="A138" s="4">
        <v>136</v>
      </c>
      <c r="B138" s="76" t="s">
        <v>331</v>
      </c>
      <c r="C138" s="76" t="s">
        <v>24</v>
      </c>
      <c r="D138" s="76">
        <v>1</v>
      </c>
      <c r="E138" s="76" t="s">
        <v>332</v>
      </c>
      <c r="F138" s="76"/>
      <c r="G138" s="76" t="s">
        <v>162</v>
      </c>
      <c r="H138" s="215">
        <v>46078</v>
      </c>
      <c r="I138" s="215"/>
      <c r="J138" s="255">
        <v>100000</v>
      </c>
      <c r="K138" s="211">
        <v>9670</v>
      </c>
      <c r="L138" s="211">
        <v>540</v>
      </c>
      <c r="M138" s="211">
        <v>495</v>
      </c>
      <c r="N138" s="211">
        <v>1500</v>
      </c>
      <c r="O138" s="211">
        <f t="shared" si="41"/>
        <v>12205</v>
      </c>
      <c r="P138" s="211"/>
      <c r="Q138" s="211"/>
      <c r="R138" s="211"/>
      <c r="S138" s="211"/>
      <c r="T138" s="211">
        <f t="shared" si="47"/>
        <v>0</v>
      </c>
      <c r="U138" s="211">
        <f t="shared" si="42"/>
        <v>9670</v>
      </c>
      <c r="V138" s="211">
        <f t="shared" si="43"/>
        <v>540</v>
      </c>
      <c r="W138" s="211">
        <f t="shared" si="44"/>
        <v>495</v>
      </c>
      <c r="X138" s="211">
        <f t="shared" si="45"/>
        <v>1500</v>
      </c>
      <c r="Y138" s="211">
        <f t="shared" si="48"/>
        <v>12205</v>
      </c>
      <c r="Z138" s="211">
        <f t="shared" si="49"/>
        <v>9670</v>
      </c>
      <c r="AA138" s="211">
        <f t="shared" si="50"/>
        <v>540</v>
      </c>
      <c r="AB138" s="211">
        <f t="shared" si="51"/>
        <v>495</v>
      </c>
      <c r="AC138" s="211">
        <f t="shared" si="52"/>
        <v>1500</v>
      </c>
      <c r="AD138" s="211">
        <f t="shared" si="53"/>
        <v>12205</v>
      </c>
      <c r="AE138" s="76" t="s">
        <v>518</v>
      </c>
      <c r="AF138" s="76" t="s">
        <v>24</v>
      </c>
      <c r="AG138" s="298"/>
      <c r="AH138" s="298"/>
      <c r="AI138" s="298"/>
      <c r="AJ138" s="298">
        <v>500</v>
      </c>
      <c r="AK138" s="298">
        <v>500</v>
      </c>
      <c r="AL138" s="298">
        <v>900</v>
      </c>
      <c r="AM138" s="298">
        <v>3570</v>
      </c>
      <c r="AN138" s="298">
        <v>2200</v>
      </c>
      <c r="AO138" s="298">
        <v>2000</v>
      </c>
      <c r="AP138" s="255"/>
      <c r="AQ138" s="255"/>
      <c r="AR138" s="255"/>
      <c r="AS138" s="76">
        <f t="shared" si="46"/>
        <v>9670</v>
      </c>
      <c r="AT138" s="76" t="s">
        <v>518</v>
      </c>
      <c r="AU138" s="76" t="s">
        <v>24</v>
      </c>
      <c r="AV138" s="76"/>
      <c r="AW138" s="76"/>
      <c r="AX138" s="76"/>
      <c r="AY138" s="76"/>
      <c r="AZ138" s="76"/>
      <c r="BA138" s="76"/>
      <c r="BB138" s="76"/>
      <c r="BC138" s="76">
        <v>270</v>
      </c>
      <c r="BD138" s="76">
        <v>270</v>
      </c>
      <c r="BE138" s="76"/>
      <c r="BF138" s="76"/>
      <c r="BG138" s="76"/>
      <c r="BH138" s="76">
        <f t="shared" si="54"/>
        <v>540</v>
      </c>
      <c r="BI138" s="76" t="s">
        <v>518</v>
      </c>
      <c r="BJ138" s="76" t="s">
        <v>24</v>
      </c>
      <c r="BL138" s="76"/>
      <c r="BM138" s="76"/>
      <c r="BN138" s="76"/>
      <c r="BO138" s="76"/>
      <c r="BP138" s="76">
        <v>248</v>
      </c>
      <c r="BQ138" s="76">
        <v>247</v>
      </c>
      <c r="BR138" s="76"/>
      <c r="BS138" s="76"/>
      <c r="BT138" s="76"/>
      <c r="BU138" s="76"/>
      <c r="BV138" s="76"/>
      <c r="BW138" s="76">
        <f t="shared" si="55"/>
        <v>495</v>
      </c>
      <c r="BX138" s="76" t="s">
        <v>518</v>
      </c>
      <c r="BY138" s="76" t="s">
        <v>24</v>
      </c>
      <c r="BZ138" s="76"/>
      <c r="CA138" s="76"/>
      <c r="CB138" s="76"/>
      <c r="CC138" s="76"/>
      <c r="CD138" s="76"/>
      <c r="CE138" s="76"/>
      <c r="CF138" s="76"/>
      <c r="CG138" s="76">
        <v>750</v>
      </c>
      <c r="CH138" s="76">
        <v>750</v>
      </c>
      <c r="CI138" s="76"/>
      <c r="CJ138" s="76"/>
      <c r="CK138" s="76"/>
      <c r="CL138" s="76">
        <f t="shared" si="56"/>
        <v>1500</v>
      </c>
      <c r="CM138" s="211">
        <f t="shared" si="57"/>
        <v>0</v>
      </c>
      <c r="CN138" s="211">
        <f t="shared" si="58"/>
        <v>0</v>
      </c>
      <c r="CO138" s="211">
        <f t="shared" si="59"/>
        <v>0</v>
      </c>
      <c r="CP138" s="211">
        <f t="shared" si="60"/>
        <v>0</v>
      </c>
    </row>
    <row r="139" spans="1:94" s="6" customFormat="1" ht="24.6" customHeight="1" x14ac:dyDescent="0.3">
      <c r="A139" s="78">
        <v>137</v>
      </c>
      <c r="B139" s="76">
        <v>28233</v>
      </c>
      <c r="C139" s="76" t="s">
        <v>166</v>
      </c>
      <c r="D139" s="76">
        <v>1</v>
      </c>
      <c r="E139" s="76" t="s">
        <v>333</v>
      </c>
      <c r="F139" s="76"/>
      <c r="G139" s="76" t="s">
        <v>178</v>
      </c>
      <c r="H139" s="215">
        <v>46077</v>
      </c>
      <c r="I139" s="215">
        <v>46292</v>
      </c>
      <c r="J139" s="255">
        <v>2996</v>
      </c>
      <c r="K139" s="211">
        <v>476</v>
      </c>
      <c r="L139" s="211">
        <v>12</v>
      </c>
      <c r="M139" s="211">
        <v>14</v>
      </c>
      <c r="N139" s="211">
        <v>45</v>
      </c>
      <c r="O139" s="211">
        <f t="shared" si="41"/>
        <v>547</v>
      </c>
      <c r="P139" s="211">
        <v>114.5</v>
      </c>
      <c r="Q139" s="211"/>
      <c r="R139" s="211"/>
      <c r="S139" s="211"/>
      <c r="T139" s="211">
        <f t="shared" si="47"/>
        <v>114.5</v>
      </c>
      <c r="U139" s="211">
        <f t="shared" si="42"/>
        <v>361.5</v>
      </c>
      <c r="V139" s="211">
        <f t="shared" si="43"/>
        <v>12</v>
      </c>
      <c r="W139" s="211">
        <f t="shared" si="44"/>
        <v>14</v>
      </c>
      <c r="X139" s="211">
        <f t="shared" si="45"/>
        <v>45</v>
      </c>
      <c r="Y139" s="211">
        <f t="shared" si="48"/>
        <v>432.5</v>
      </c>
      <c r="Z139" s="211">
        <f t="shared" si="49"/>
        <v>361.5</v>
      </c>
      <c r="AA139" s="211">
        <f t="shared" si="50"/>
        <v>12</v>
      </c>
      <c r="AB139" s="211">
        <f t="shared" si="51"/>
        <v>14</v>
      </c>
      <c r="AC139" s="211">
        <f t="shared" si="52"/>
        <v>45</v>
      </c>
      <c r="AD139" s="211">
        <f t="shared" si="53"/>
        <v>432.5</v>
      </c>
      <c r="AE139" s="76" t="s">
        <v>518</v>
      </c>
      <c r="AF139" s="76" t="s">
        <v>23</v>
      </c>
      <c r="AG139" s="298">
        <v>361.5</v>
      </c>
      <c r="AH139" s="298"/>
      <c r="AI139" s="298"/>
      <c r="AJ139" s="298"/>
      <c r="AK139" s="298"/>
      <c r="AL139" s="298"/>
      <c r="AM139" s="298"/>
      <c r="AN139" s="298"/>
      <c r="AO139" s="255"/>
      <c r="AP139" s="255"/>
      <c r="AQ139" s="255"/>
      <c r="AR139" s="255"/>
      <c r="AS139" s="76">
        <f t="shared" si="46"/>
        <v>361.5</v>
      </c>
      <c r="AT139" s="76" t="s">
        <v>518</v>
      </c>
      <c r="AU139" s="76" t="s">
        <v>23</v>
      </c>
      <c r="AV139" s="76">
        <v>12</v>
      </c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>
        <f t="shared" si="54"/>
        <v>12</v>
      </c>
      <c r="BI139" s="76" t="s">
        <v>518</v>
      </c>
      <c r="BJ139" s="76" t="s">
        <v>23</v>
      </c>
      <c r="BK139" s="76">
        <v>14</v>
      </c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>
        <f>SUM(BK139:BV139)</f>
        <v>14</v>
      </c>
      <c r="BX139" s="76" t="s">
        <v>518</v>
      </c>
      <c r="BY139" s="76" t="s">
        <v>23</v>
      </c>
      <c r="BZ139" s="76">
        <v>45</v>
      </c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>
        <f t="shared" si="56"/>
        <v>45</v>
      </c>
      <c r="CM139" s="211">
        <f t="shared" si="57"/>
        <v>0</v>
      </c>
      <c r="CN139" s="211">
        <f t="shared" si="58"/>
        <v>0</v>
      </c>
      <c r="CO139" s="211">
        <f t="shared" si="59"/>
        <v>0</v>
      </c>
      <c r="CP139" s="211">
        <f t="shared" si="60"/>
        <v>0</v>
      </c>
    </row>
    <row r="140" spans="1:94" s="6" customFormat="1" ht="24.6" customHeight="1" x14ac:dyDescent="0.3">
      <c r="A140" s="4">
        <v>138</v>
      </c>
      <c r="B140" s="76" t="s">
        <v>337</v>
      </c>
      <c r="C140" s="76">
        <v>28034</v>
      </c>
      <c r="D140" s="76">
        <v>1</v>
      </c>
      <c r="E140" s="76" t="s">
        <v>334</v>
      </c>
      <c r="F140" s="76"/>
      <c r="G140" s="76" t="s">
        <v>162</v>
      </c>
      <c r="H140" s="215">
        <v>46079</v>
      </c>
      <c r="I140" s="215"/>
      <c r="J140" s="255">
        <v>17909</v>
      </c>
      <c r="K140" s="211">
        <v>1572</v>
      </c>
      <c r="L140" s="211">
        <v>260</v>
      </c>
      <c r="M140" s="211">
        <v>120</v>
      </c>
      <c r="N140" s="211">
        <v>450</v>
      </c>
      <c r="O140" s="211">
        <f t="shared" si="41"/>
        <v>2402</v>
      </c>
      <c r="P140" s="211"/>
      <c r="Q140" s="211"/>
      <c r="R140" s="211"/>
      <c r="S140" s="211"/>
      <c r="T140" s="211">
        <f t="shared" si="47"/>
        <v>0</v>
      </c>
      <c r="U140" s="211">
        <f t="shared" si="42"/>
        <v>1572</v>
      </c>
      <c r="V140" s="211">
        <f t="shared" si="43"/>
        <v>260</v>
      </c>
      <c r="W140" s="211">
        <f t="shared" si="44"/>
        <v>120</v>
      </c>
      <c r="X140" s="211">
        <f t="shared" si="45"/>
        <v>450</v>
      </c>
      <c r="Y140" s="211">
        <f t="shared" si="48"/>
        <v>2402</v>
      </c>
      <c r="Z140" s="211">
        <f t="shared" si="49"/>
        <v>1572</v>
      </c>
      <c r="AA140" s="211">
        <f t="shared" si="50"/>
        <v>260</v>
      </c>
      <c r="AB140" s="211">
        <f t="shared" si="51"/>
        <v>120</v>
      </c>
      <c r="AC140" s="211">
        <f t="shared" si="52"/>
        <v>450</v>
      </c>
      <c r="AD140" s="211">
        <f t="shared" si="53"/>
        <v>2402</v>
      </c>
      <c r="AE140" s="76" t="s">
        <v>518</v>
      </c>
      <c r="AF140" s="76" t="s">
        <v>23</v>
      </c>
      <c r="AG140" s="298"/>
      <c r="AH140" s="298">
        <v>524</v>
      </c>
      <c r="AI140" s="298">
        <v>524</v>
      </c>
      <c r="AJ140" s="298">
        <v>524</v>
      </c>
      <c r="AK140" s="298"/>
      <c r="AL140" s="298"/>
      <c r="AM140" s="298"/>
      <c r="AN140" s="298"/>
      <c r="AO140" s="255"/>
      <c r="AP140" s="255"/>
      <c r="AQ140" s="255"/>
      <c r="AR140" s="255"/>
      <c r="AS140" s="76">
        <f t="shared" si="46"/>
        <v>1572</v>
      </c>
      <c r="AT140" s="76" t="s">
        <v>518</v>
      </c>
      <c r="AU140" s="76" t="s">
        <v>23</v>
      </c>
      <c r="AV140" s="76"/>
      <c r="AW140" s="76"/>
      <c r="AX140" s="76">
        <v>130</v>
      </c>
      <c r="AY140" s="76">
        <v>130</v>
      </c>
      <c r="AZ140" s="76"/>
      <c r="BA140" s="76"/>
      <c r="BB140" s="76"/>
      <c r="BC140" s="76"/>
      <c r="BD140" s="76"/>
      <c r="BE140" s="76"/>
      <c r="BF140" s="76"/>
      <c r="BG140" s="76"/>
      <c r="BH140" s="76">
        <f t="shared" si="54"/>
        <v>260</v>
      </c>
      <c r="BI140" s="76" t="s">
        <v>518</v>
      </c>
      <c r="BJ140" s="76" t="s">
        <v>23</v>
      </c>
      <c r="BK140" s="76"/>
      <c r="BL140" s="76"/>
      <c r="BM140" s="76">
        <v>60</v>
      </c>
      <c r="BN140" s="76">
        <v>60</v>
      </c>
      <c r="BO140" s="76"/>
      <c r="BP140" s="76"/>
      <c r="BQ140" s="76"/>
      <c r="BR140" s="76"/>
      <c r="BS140" s="76"/>
      <c r="BT140" s="76"/>
      <c r="BU140" s="76"/>
      <c r="BV140" s="76"/>
      <c r="BW140" s="76">
        <f t="shared" si="55"/>
        <v>120</v>
      </c>
      <c r="BX140" s="76" t="s">
        <v>518</v>
      </c>
      <c r="BY140" s="76" t="s">
        <v>23</v>
      </c>
      <c r="BZ140" s="76"/>
      <c r="CA140" s="76"/>
      <c r="CB140" s="76"/>
      <c r="CC140" s="76"/>
      <c r="CD140" s="76"/>
      <c r="CE140" s="76">
        <v>225</v>
      </c>
      <c r="CF140" s="76">
        <v>225</v>
      </c>
      <c r="CG140" s="76"/>
      <c r="CH140" s="76"/>
      <c r="CI140" s="76"/>
      <c r="CJ140" s="76"/>
      <c r="CK140" s="76"/>
      <c r="CL140" s="76">
        <f t="shared" si="56"/>
        <v>450</v>
      </c>
      <c r="CM140" s="211">
        <f t="shared" si="57"/>
        <v>0</v>
      </c>
      <c r="CN140" s="211">
        <f t="shared" si="58"/>
        <v>0</v>
      </c>
      <c r="CO140" s="211">
        <f t="shared" si="59"/>
        <v>0</v>
      </c>
      <c r="CP140" s="211">
        <f t="shared" si="60"/>
        <v>0</v>
      </c>
    </row>
    <row r="141" spans="1:94" s="6" customFormat="1" ht="24.6" customHeight="1" x14ac:dyDescent="0.3">
      <c r="A141" s="78">
        <v>139</v>
      </c>
      <c r="B141" s="76">
        <v>29297</v>
      </c>
      <c r="C141" s="76" t="s">
        <v>166</v>
      </c>
      <c r="D141" s="76">
        <v>6</v>
      </c>
      <c r="E141" s="76" t="s">
        <v>335</v>
      </c>
      <c r="F141" s="76"/>
      <c r="G141" s="76" t="s">
        <v>288</v>
      </c>
      <c r="H141" s="215">
        <v>46079</v>
      </c>
      <c r="I141" s="215">
        <v>46438</v>
      </c>
      <c r="J141" s="255">
        <v>20000</v>
      </c>
      <c r="K141" s="211">
        <v>2106</v>
      </c>
      <c r="L141" s="211">
        <v>72</v>
      </c>
      <c r="M141" s="211">
        <v>480</v>
      </c>
      <c r="N141" s="211">
        <v>144</v>
      </c>
      <c r="O141" s="211">
        <f t="shared" si="41"/>
        <v>2802</v>
      </c>
      <c r="P141" s="211"/>
      <c r="Q141" s="211"/>
      <c r="R141" s="211"/>
      <c r="S141" s="211"/>
      <c r="T141" s="211">
        <f t="shared" si="47"/>
        <v>0</v>
      </c>
      <c r="U141" s="211">
        <f t="shared" si="42"/>
        <v>2106</v>
      </c>
      <c r="V141" s="211">
        <f t="shared" si="43"/>
        <v>72</v>
      </c>
      <c r="W141" s="211">
        <f t="shared" si="44"/>
        <v>480</v>
      </c>
      <c r="X141" s="211">
        <f t="shared" si="45"/>
        <v>144</v>
      </c>
      <c r="Y141" s="211">
        <f t="shared" si="48"/>
        <v>2802</v>
      </c>
      <c r="Z141" s="211">
        <f t="shared" si="49"/>
        <v>2106</v>
      </c>
      <c r="AA141" s="211">
        <f t="shared" si="50"/>
        <v>72</v>
      </c>
      <c r="AB141" s="211">
        <f t="shared" si="51"/>
        <v>480</v>
      </c>
      <c r="AC141" s="211">
        <f t="shared" si="52"/>
        <v>144</v>
      </c>
      <c r="AD141" s="211">
        <f t="shared" si="53"/>
        <v>2802</v>
      </c>
      <c r="AE141" s="76" t="s">
        <v>518</v>
      </c>
      <c r="AF141" s="76" t="s">
        <v>23</v>
      </c>
      <c r="AG141" s="298"/>
      <c r="AH141" s="298"/>
      <c r="AI141" s="298">
        <v>100</v>
      </c>
      <c r="AJ141" s="298">
        <v>100</v>
      </c>
      <c r="AK141" s="298">
        <v>500</v>
      </c>
      <c r="AL141" s="298">
        <v>1406</v>
      </c>
      <c r="AM141" s="298"/>
      <c r="AN141" s="298"/>
      <c r="AO141" s="298"/>
      <c r="AP141" s="255"/>
      <c r="AQ141" s="255"/>
      <c r="AR141" s="255"/>
      <c r="AS141" s="76">
        <f t="shared" si="46"/>
        <v>2106</v>
      </c>
      <c r="AT141" s="76" t="s">
        <v>518</v>
      </c>
      <c r="AU141" s="76" t="s">
        <v>23</v>
      </c>
      <c r="AV141" s="76"/>
      <c r="AW141" s="76"/>
      <c r="AX141" s="76"/>
      <c r="AY141" s="76"/>
      <c r="AZ141" s="76">
        <v>72</v>
      </c>
      <c r="BA141" s="76"/>
      <c r="BB141" s="76"/>
      <c r="BC141" s="76"/>
      <c r="BD141" s="76"/>
      <c r="BE141" s="76"/>
      <c r="BF141" s="76"/>
      <c r="BG141" s="76"/>
      <c r="BH141" s="76">
        <f t="shared" si="54"/>
        <v>72</v>
      </c>
      <c r="BI141" s="76" t="s">
        <v>518</v>
      </c>
      <c r="BJ141" s="76" t="s">
        <v>23</v>
      </c>
      <c r="BK141" s="76"/>
      <c r="BL141" s="76"/>
      <c r="BM141" s="76">
        <v>240</v>
      </c>
      <c r="BN141" s="76">
        <v>240</v>
      </c>
      <c r="BO141" s="76"/>
      <c r="BP141" s="76"/>
      <c r="BQ141" s="76"/>
      <c r="BR141" s="76"/>
      <c r="BS141" s="76"/>
      <c r="BT141" s="76"/>
      <c r="BU141" s="76"/>
      <c r="BV141" s="76"/>
      <c r="BW141" s="76">
        <f t="shared" si="55"/>
        <v>480</v>
      </c>
      <c r="BX141" s="76" t="s">
        <v>518</v>
      </c>
      <c r="BY141" s="76" t="s">
        <v>23</v>
      </c>
      <c r="BZ141" s="76"/>
      <c r="CA141" s="76"/>
      <c r="CB141" s="76"/>
      <c r="CC141" s="76">
        <v>144</v>
      </c>
      <c r="CD141" s="76"/>
      <c r="CE141" s="76"/>
      <c r="CF141" s="76"/>
      <c r="CG141" s="76"/>
      <c r="CH141" s="76"/>
      <c r="CI141" s="76"/>
      <c r="CJ141" s="76"/>
      <c r="CK141" s="76"/>
      <c r="CL141" s="76">
        <f t="shared" si="56"/>
        <v>144</v>
      </c>
      <c r="CM141" s="211">
        <f t="shared" si="57"/>
        <v>0</v>
      </c>
      <c r="CN141" s="211">
        <f t="shared" si="58"/>
        <v>0</v>
      </c>
      <c r="CO141" s="211">
        <f t="shared" si="59"/>
        <v>0</v>
      </c>
      <c r="CP141" s="211">
        <f t="shared" si="60"/>
        <v>0</v>
      </c>
    </row>
    <row r="142" spans="1:94" s="6" customFormat="1" ht="25.2" x14ac:dyDescent="0.3">
      <c r="A142" s="4">
        <v>140</v>
      </c>
      <c r="B142" s="76" t="s">
        <v>377</v>
      </c>
      <c r="C142" s="76" t="s">
        <v>24</v>
      </c>
      <c r="D142" s="76">
        <v>1</v>
      </c>
      <c r="E142" s="76" t="s">
        <v>383</v>
      </c>
      <c r="F142" s="76"/>
      <c r="G142" s="76" t="s">
        <v>178</v>
      </c>
      <c r="H142" s="215">
        <v>46069</v>
      </c>
      <c r="I142" s="215"/>
      <c r="J142" s="255"/>
      <c r="K142" s="211">
        <v>886</v>
      </c>
      <c r="L142" s="211">
        <v>32</v>
      </c>
      <c r="M142" s="211">
        <v>94</v>
      </c>
      <c r="N142" s="211">
        <v>150</v>
      </c>
      <c r="O142" s="211">
        <f t="shared" si="41"/>
        <v>1162</v>
      </c>
      <c r="P142" s="211"/>
      <c r="Q142" s="211"/>
      <c r="R142" s="211"/>
      <c r="S142" s="211"/>
      <c r="T142" s="211">
        <f t="shared" si="47"/>
        <v>0</v>
      </c>
      <c r="U142" s="211">
        <f t="shared" si="42"/>
        <v>886</v>
      </c>
      <c r="V142" s="211">
        <f t="shared" si="43"/>
        <v>32</v>
      </c>
      <c r="W142" s="211">
        <f t="shared" si="44"/>
        <v>94</v>
      </c>
      <c r="X142" s="211">
        <f t="shared" si="45"/>
        <v>150</v>
      </c>
      <c r="Y142" s="211">
        <f t="shared" si="48"/>
        <v>1162</v>
      </c>
      <c r="Z142" s="211">
        <f t="shared" si="49"/>
        <v>886</v>
      </c>
      <c r="AA142" s="211">
        <f t="shared" si="50"/>
        <v>32</v>
      </c>
      <c r="AB142" s="211">
        <f t="shared" si="51"/>
        <v>94</v>
      </c>
      <c r="AC142" s="211">
        <f t="shared" si="52"/>
        <v>150</v>
      </c>
      <c r="AD142" s="211">
        <f t="shared" si="53"/>
        <v>1162</v>
      </c>
      <c r="AE142" s="76" t="s">
        <v>518</v>
      </c>
      <c r="AF142" s="76" t="s">
        <v>24</v>
      </c>
      <c r="AG142" s="298"/>
      <c r="AH142" s="298">
        <v>443</v>
      </c>
      <c r="AI142" s="298">
        <v>443</v>
      </c>
      <c r="AJ142" s="298"/>
      <c r="AK142" s="298"/>
      <c r="AL142" s="298"/>
      <c r="AM142" s="298"/>
      <c r="AN142" s="298"/>
      <c r="AO142" s="255"/>
      <c r="AP142" s="255"/>
      <c r="AQ142" s="255"/>
      <c r="AR142" s="255"/>
      <c r="AS142" s="76">
        <f t="shared" si="46"/>
        <v>886</v>
      </c>
      <c r="AT142" s="76" t="s">
        <v>518</v>
      </c>
      <c r="AU142" s="76" t="s">
        <v>24</v>
      </c>
      <c r="AV142" s="76"/>
      <c r="AW142" s="76"/>
      <c r="AX142" s="76">
        <v>32</v>
      </c>
      <c r="AY142" s="76"/>
      <c r="AZ142" s="76"/>
      <c r="BA142" s="76"/>
      <c r="BB142" s="76"/>
      <c r="BC142" s="76"/>
      <c r="BD142" s="76"/>
      <c r="BE142" s="76"/>
      <c r="BF142" s="76"/>
      <c r="BG142" s="76"/>
      <c r="BH142" s="76">
        <f t="shared" si="54"/>
        <v>32</v>
      </c>
      <c r="BI142" s="76" t="s">
        <v>518</v>
      </c>
      <c r="BJ142" s="76" t="s">
        <v>24</v>
      </c>
      <c r="BK142" s="76"/>
      <c r="BL142" s="76"/>
      <c r="BM142" s="76"/>
      <c r="BN142" s="76">
        <v>94</v>
      </c>
      <c r="BO142" s="76"/>
      <c r="BP142" s="76"/>
      <c r="BQ142" s="76"/>
      <c r="BR142" s="76"/>
      <c r="BS142" s="76"/>
      <c r="BT142" s="76"/>
      <c r="BU142" s="76"/>
      <c r="BV142" s="76"/>
      <c r="BW142" s="76">
        <f t="shared" si="55"/>
        <v>94</v>
      </c>
      <c r="BX142" s="76" t="s">
        <v>518</v>
      </c>
      <c r="BY142" s="76" t="s">
        <v>24</v>
      </c>
      <c r="BZ142" s="76"/>
      <c r="CA142" s="76"/>
      <c r="CB142" s="76"/>
      <c r="CC142" s="76"/>
      <c r="CD142" s="76">
        <v>150</v>
      </c>
      <c r="CE142" s="76"/>
      <c r="CF142" s="76"/>
      <c r="CG142" s="76"/>
      <c r="CH142" s="76"/>
      <c r="CI142" s="76"/>
      <c r="CJ142" s="76"/>
      <c r="CK142" s="76"/>
      <c r="CL142" s="76">
        <f t="shared" si="56"/>
        <v>150</v>
      </c>
      <c r="CM142" s="211">
        <f t="shared" si="57"/>
        <v>0</v>
      </c>
      <c r="CN142" s="211">
        <f t="shared" si="58"/>
        <v>0</v>
      </c>
      <c r="CO142" s="211">
        <f t="shared" si="59"/>
        <v>0</v>
      </c>
      <c r="CP142" s="211">
        <f t="shared" si="60"/>
        <v>0</v>
      </c>
    </row>
    <row r="143" spans="1:94" s="6" customFormat="1" ht="25.2" x14ac:dyDescent="0.3">
      <c r="A143" s="78">
        <v>141</v>
      </c>
      <c r="B143" s="76" t="s">
        <v>378</v>
      </c>
      <c r="C143" s="76" t="s">
        <v>24</v>
      </c>
      <c r="D143" s="76">
        <v>1</v>
      </c>
      <c r="E143" s="76" t="s">
        <v>384</v>
      </c>
      <c r="F143" s="76"/>
      <c r="G143" s="76" t="s">
        <v>178</v>
      </c>
      <c r="H143" s="215">
        <v>46069</v>
      </c>
      <c r="I143" s="215"/>
      <c r="J143" s="255"/>
      <c r="K143" s="211">
        <v>4041</v>
      </c>
      <c r="L143" s="211">
        <v>200</v>
      </c>
      <c r="M143" s="211">
        <v>350</v>
      </c>
      <c r="N143" s="211">
        <v>350</v>
      </c>
      <c r="O143" s="211">
        <f t="shared" si="41"/>
        <v>4941</v>
      </c>
      <c r="P143" s="211"/>
      <c r="Q143" s="211"/>
      <c r="R143" s="211"/>
      <c r="S143" s="211"/>
      <c r="T143" s="211">
        <f t="shared" si="47"/>
        <v>0</v>
      </c>
      <c r="U143" s="211">
        <f t="shared" si="42"/>
        <v>4041</v>
      </c>
      <c r="V143" s="211">
        <f t="shared" si="43"/>
        <v>200</v>
      </c>
      <c r="W143" s="211">
        <f t="shared" si="44"/>
        <v>350</v>
      </c>
      <c r="X143" s="211">
        <f t="shared" si="45"/>
        <v>350</v>
      </c>
      <c r="Y143" s="211">
        <f t="shared" si="48"/>
        <v>4941</v>
      </c>
      <c r="Z143" s="211">
        <f t="shared" si="49"/>
        <v>4041</v>
      </c>
      <c r="AA143" s="211">
        <f t="shared" si="50"/>
        <v>400</v>
      </c>
      <c r="AB143" s="211">
        <f t="shared" si="51"/>
        <v>520</v>
      </c>
      <c r="AC143" s="211">
        <f t="shared" si="52"/>
        <v>700</v>
      </c>
      <c r="AD143" s="211">
        <f t="shared" si="53"/>
        <v>5661</v>
      </c>
      <c r="AE143" s="76" t="s">
        <v>518</v>
      </c>
      <c r="AF143" s="76" t="s">
        <v>24</v>
      </c>
      <c r="AG143" s="298"/>
      <c r="AH143" s="298"/>
      <c r="AI143" s="298"/>
      <c r="AJ143" s="298">
        <v>1000</v>
      </c>
      <c r="AK143" s="298">
        <v>1000</v>
      </c>
      <c r="AL143" s="298">
        <v>1000</v>
      </c>
      <c r="AM143" s="298">
        <v>1041</v>
      </c>
      <c r="AN143" s="298"/>
      <c r="AO143" s="255"/>
      <c r="AP143" s="255"/>
      <c r="AQ143" s="255"/>
      <c r="AR143" s="255"/>
      <c r="AS143" s="76">
        <f t="shared" si="46"/>
        <v>4041</v>
      </c>
      <c r="AT143" s="76" t="s">
        <v>518</v>
      </c>
      <c r="AU143" s="76" t="s">
        <v>24</v>
      </c>
      <c r="AV143" s="76"/>
      <c r="AW143" s="76"/>
      <c r="AX143" s="76"/>
      <c r="AY143" s="76"/>
      <c r="AZ143" s="76"/>
      <c r="BA143" s="76">
        <v>200</v>
      </c>
      <c r="BB143" s="76">
        <v>200</v>
      </c>
      <c r="BC143" s="76"/>
      <c r="BD143" s="76"/>
      <c r="BE143" s="76"/>
      <c r="BF143" s="76"/>
      <c r="BG143" s="76"/>
      <c r="BH143" s="76">
        <f t="shared" si="54"/>
        <v>400</v>
      </c>
      <c r="BI143" s="76" t="s">
        <v>518</v>
      </c>
      <c r="BJ143" s="76" t="s">
        <v>24</v>
      </c>
      <c r="BK143" s="76"/>
      <c r="BL143" s="76"/>
      <c r="BM143" s="76"/>
      <c r="BN143" s="76"/>
      <c r="BO143" s="76"/>
      <c r="BP143" s="76">
        <v>260</v>
      </c>
      <c r="BQ143" s="76">
        <v>260</v>
      </c>
      <c r="BR143" s="76"/>
      <c r="BS143" s="76"/>
      <c r="BT143" s="76"/>
      <c r="BU143" s="76"/>
      <c r="BV143" s="76"/>
      <c r="BW143" s="76">
        <f t="shared" si="55"/>
        <v>520</v>
      </c>
      <c r="BX143" s="76" t="s">
        <v>518</v>
      </c>
      <c r="BY143" s="76" t="s">
        <v>24</v>
      </c>
      <c r="BZ143" s="76"/>
      <c r="CA143" s="76"/>
      <c r="CB143" s="76"/>
      <c r="CC143" s="76"/>
      <c r="CD143" s="76"/>
      <c r="CE143" s="76">
        <v>350</v>
      </c>
      <c r="CF143" s="76">
        <v>350</v>
      </c>
      <c r="CG143" s="76"/>
      <c r="CH143" s="76"/>
      <c r="CI143" s="76"/>
      <c r="CJ143" s="76"/>
      <c r="CK143" s="76"/>
      <c r="CL143" s="76">
        <f t="shared" si="56"/>
        <v>700</v>
      </c>
      <c r="CM143" s="211">
        <f t="shared" si="57"/>
        <v>0</v>
      </c>
      <c r="CN143" s="211">
        <f t="shared" si="58"/>
        <v>-200</v>
      </c>
      <c r="CO143" s="211">
        <f t="shared" si="59"/>
        <v>-170</v>
      </c>
      <c r="CP143" s="211">
        <f t="shared" si="60"/>
        <v>-350</v>
      </c>
    </row>
    <row r="144" spans="1:94" s="6" customFormat="1" ht="25.2" x14ac:dyDescent="0.3">
      <c r="A144" s="4">
        <v>142</v>
      </c>
      <c r="B144" s="76" t="s">
        <v>379</v>
      </c>
      <c r="C144" s="76" t="s">
        <v>24</v>
      </c>
      <c r="D144" s="76">
        <v>2</v>
      </c>
      <c r="E144" s="76" t="s">
        <v>385</v>
      </c>
      <c r="F144" s="76"/>
      <c r="G144" s="76" t="s">
        <v>178</v>
      </c>
      <c r="H144" s="215">
        <v>46069</v>
      </c>
      <c r="I144" s="215"/>
      <c r="J144" s="255"/>
      <c r="K144" s="211">
        <v>9000</v>
      </c>
      <c r="L144" s="211">
        <v>200</v>
      </c>
      <c r="M144" s="211">
        <v>200</v>
      </c>
      <c r="N144" s="211">
        <v>280</v>
      </c>
      <c r="O144" s="211">
        <f t="shared" si="41"/>
        <v>9680</v>
      </c>
      <c r="P144" s="211"/>
      <c r="Q144" s="211"/>
      <c r="R144" s="211"/>
      <c r="S144" s="211"/>
      <c r="T144" s="211">
        <f t="shared" si="47"/>
        <v>0</v>
      </c>
      <c r="U144" s="211">
        <f t="shared" si="42"/>
        <v>9000</v>
      </c>
      <c r="V144" s="211">
        <f t="shared" si="43"/>
        <v>200</v>
      </c>
      <c r="W144" s="211">
        <f t="shared" si="44"/>
        <v>200</v>
      </c>
      <c r="X144" s="211">
        <f t="shared" si="45"/>
        <v>280</v>
      </c>
      <c r="Y144" s="211">
        <f t="shared" si="48"/>
        <v>9680</v>
      </c>
      <c r="Z144" s="211">
        <f t="shared" si="49"/>
        <v>9000</v>
      </c>
      <c r="AA144" s="211">
        <f t="shared" si="50"/>
        <v>200</v>
      </c>
      <c r="AB144" s="211">
        <f t="shared" si="51"/>
        <v>200</v>
      </c>
      <c r="AC144" s="211">
        <f t="shared" si="52"/>
        <v>280</v>
      </c>
      <c r="AD144" s="211">
        <f t="shared" si="53"/>
        <v>9680</v>
      </c>
      <c r="AE144" s="76" t="s">
        <v>518</v>
      </c>
      <c r="AF144" s="76" t="s">
        <v>24</v>
      </c>
      <c r="AG144" s="298"/>
      <c r="AH144" s="298"/>
      <c r="AI144" s="298"/>
      <c r="AJ144" s="298">
        <v>2000</v>
      </c>
      <c r="AK144" s="298">
        <v>2000</v>
      </c>
      <c r="AL144" s="298">
        <v>2000</v>
      </c>
      <c r="AM144" s="298">
        <v>1000</v>
      </c>
      <c r="AN144" s="298">
        <v>2000</v>
      </c>
      <c r="AO144" s="255"/>
      <c r="AP144" s="255"/>
      <c r="AQ144" s="255"/>
      <c r="AR144" s="255"/>
      <c r="AS144" s="76">
        <f t="shared" si="46"/>
        <v>9000</v>
      </c>
      <c r="AT144" s="76" t="s">
        <v>518</v>
      </c>
      <c r="AU144" s="76" t="s">
        <v>24</v>
      </c>
      <c r="AV144" s="76"/>
      <c r="AW144" s="76"/>
      <c r="AX144" s="76"/>
      <c r="AY144" s="76"/>
      <c r="AZ144" s="76"/>
      <c r="BA144" s="76"/>
      <c r="BB144" s="76">
        <v>100</v>
      </c>
      <c r="BC144" s="76">
        <v>100</v>
      </c>
      <c r="BD144" s="76"/>
      <c r="BE144" s="76"/>
      <c r="BF144" s="76"/>
      <c r="BG144" s="76"/>
      <c r="BH144" s="76">
        <f t="shared" si="54"/>
        <v>200</v>
      </c>
      <c r="BI144" s="76" t="s">
        <v>518</v>
      </c>
      <c r="BJ144" s="76" t="s">
        <v>24</v>
      </c>
      <c r="BK144" s="76"/>
      <c r="BL144" s="76"/>
      <c r="BM144" s="76"/>
      <c r="BN144" s="76"/>
      <c r="BO144" s="76"/>
      <c r="BP144" s="76">
        <v>100</v>
      </c>
      <c r="BQ144" s="76">
        <v>100</v>
      </c>
      <c r="BR144" s="76"/>
      <c r="BS144" s="76"/>
      <c r="BT144" s="76"/>
      <c r="BU144" s="76"/>
      <c r="BV144" s="76"/>
      <c r="BW144" s="76">
        <f t="shared" si="55"/>
        <v>200</v>
      </c>
      <c r="BX144" s="76" t="s">
        <v>518</v>
      </c>
      <c r="BY144" s="76" t="s">
        <v>24</v>
      </c>
      <c r="BZ144" s="76"/>
      <c r="CA144" s="76"/>
      <c r="CB144" s="76"/>
      <c r="CC144" s="76"/>
      <c r="CD144" s="76"/>
      <c r="CE144" s="76"/>
      <c r="CF144" s="76"/>
      <c r="CG144" s="76">
        <v>280</v>
      </c>
      <c r="CH144" s="76"/>
      <c r="CI144" s="76"/>
      <c r="CJ144" s="76"/>
      <c r="CK144" s="76"/>
      <c r="CL144" s="76">
        <f t="shared" si="56"/>
        <v>280</v>
      </c>
      <c r="CM144" s="211">
        <f t="shared" si="57"/>
        <v>0</v>
      </c>
      <c r="CN144" s="211">
        <f t="shared" si="58"/>
        <v>0</v>
      </c>
      <c r="CO144" s="211">
        <f t="shared" si="59"/>
        <v>0</v>
      </c>
      <c r="CP144" s="211">
        <f t="shared" si="60"/>
        <v>0</v>
      </c>
    </row>
    <row r="145" spans="1:94 16381:16382" s="6" customFormat="1" ht="21.6" customHeight="1" x14ac:dyDescent="0.3">
      <c r="A145" s="78">
        <v>143</v>
      </c>
      <c r="B145" s="76" t="s">
        <v>380</v>
      </c>
      <c r="C145" s="76" t="s">
        <v>24</v>
      </c>
      <c r="D145" s="76">
        <v>4</v>
      </c>
      <c r="E145" s="76" t="s">
        <v>386</v>
      </c>
      <c r="F145" s="76"/>
      <c r="G145" s="76" t="s">
        <v>178</v>
      </c>
      <c r="H145" s="215">
        <v>46069</v>
      </c>
      <c r="I145" s="215"/>
      <c r="J145" s="255"/>
      <c r="K145" s="211">
        <v>2182</v>
      </c>
      <c r="L145" s="211">
        <v>140</v>
      </c>
      <c r="M145" s="211">
        <v>102</v>
      </c>
      <c r="N145" s="211">
        <v>800</v>
      </c>
      <c r="O145" s="211">
        <f>SUM(K145:N145)</f>
        <v>3224</v>
      </c>
      <c r="P145" s="211"/>
      <c r="Q145" s="211"/>
      <c r="R145" s="211"/>
      <c r="S145" s="211"/>
      <c r="T145" s="211">
        <f>SUM(P145:S145)</f>
        <v>0</v>
      </c>
      <c r="U145" s="211">
        <f>K145-P145</f>
        <v>2182</v>
      </c>
      <c r="V145" s="211">
        <f>L145-Q145</f>
        <v>140</v>
      </c>
      <c r="W145" s="211">
        <f>M145-R145</f>
        <v>102</v>
      </c>
      <c r="X145" s="211">
        <f>N145-S145</f>
        <v>800</v>
      </c>
      <c r="Y145" s="211">
        <f>SUM(U145:X145)</f>
        <v>3224</v>
      </c>
      <c r="Z145" s="211">
        <f>AS145</f>
        <v>2182</v>
      </c>
      <c r="AA145" s="211">
        <f>BH145</f>
        <v>140</v>
      </c>
      <c r="AB145" s="211">
        <f>BW145</f>
        <v>102</v>
      </c>
      <c r="AC145" s="211">
        <f>CL145</f>
        <v>800</v>
      </c>
      <c r="AD145" s="211">
        <f>SUM(Z145:AC145)</f>
        <v>3224</v>
      </c>
      <c r="AE145" s="76" t="s">
        <v>518</v>
      </c>
      <c r="AF145" s="76" t="s">
        <v>24</v>
      </c>
      <c r="AG145" s="298"/>
      <c r="AH145" s="298">
        <v>546</v>
      </c>
      <c r="AI145" s="298">
        <v>546</v>
      </c>
      <c r="AJ145" s="298">
        <v>545</v>
      </c>
      <c r="AK145" s="298">
        <v>545</v>
      </c>
      <c r="AL145" s="298"/>
      <c r="AM145" s="298"/>
      <c r="AN145" s="298"/>
      <c r="AO145" s="255"/>
      <c r="AP145" s="255"/>
      <c r="AQ145" s="255"/>
      <c r="AR145" s="255"/>
      <c r="AS145" s="76">
        <f>SUM(AG145:AR145)</f>
        <v>2182</v>
      </c>
      <c r="AT145" s="76" t="s">
        <v>518</v>
      </c>
      <c r="AU145" s="76" t="s">
        <v>24</v>
      </c>
      <c r="AV145" s="76"/>
      <c r="AW145" s="76"/>
      <c r="AX145" s="76"/>
      <c r="AY145" s="76"/>
      <c r="AZ145" s="76">
        <v>140</v>
      </c>
      <c r="BA145" s="76"/>
      <c r="BB145" s="76"/>
      <c r="BC145" s="76"/>
      <c r="BD145" s="76"/>
      <c r="BE145" s="76"/>
      <c r="BF145" s="76"/>
      <c r="BG145" s="76"/>
      <c r="BH145" s="76">
        <f>SUM(AV145:BG145)</f>
        <v>140</v>
      </c>
      <c r="BI145" s="76" t="s">
        <v>518</v>
      </c>
      <c r="BJ145" s="76" t="s">
        <v>24</v>
      </c>
      <c r="BK145" s="76"/>
      <c r="BL145" s="76"/>
      <c r="BM145" s="76"/>
      <c r="BN145" s="76"/>
      <c r="BO145" s="76">
        <v>102</v>
      </c>
      <c r="BP145" s="76"/>
      <c r="BQ145" s="76"/>
      <c r="BR145" s="76"/>
      <c r="BS145" s="76"/>
      <c r="BT145" s="76"/>
      <c r="BU145" s="76"/>
      <c r="BV145" s="76"/>
      <c r="BW145" s="76">
        <f>SUM(BK145:BV145)</f>
        <v>102</v>
      </c>
      <c r="BX145" s="76" t="s">
        <v>518</v>
      </c>
      <c r="BY145" s="76" t="s">
        <v>24</v>
      </c>
      <c r="BZ145" s="76"/>
      <c r="CA145" s="76"/>
      <c r="CB145" s="76"/>
      <c r="CC145" s="76"/>
      <c r="CD145" s="76"/>
      <c r="CE145" s="76">
        <v>400</v>
      </c>
      <c r="CF145" s="76">
        <v>400</v>
      </c>
      <c r="CG145" s="76"/>
      <c r="CH145" s="76"/>
      <c r="CI145" s="76"/>
      <c r="CJ145" s="76"/>
      <c r="CK145" s="76"/>
      <c r="CL145" s="76">
        <f>SUM(BZ145:CK145)</f>
        <v>800</v>
      </c>
      <c r="CM145" s="211">
        <f>U145-Z145</f>
        <v>0</v>
      </c>
      <c r="CN145" s="211">
        <f>V145-AA145</f>
        <v>0</v>
      </c>
      <c r="CO145" s="211">
        <f>W145-AB145</f>
        <v>0</v>
      </c>
      <c r="CP145" s="211">
        <f>X145-AC145</f>
        <v>0</v>
      </c>
    </row>
    <row r="146" spans="1:94 16381:16382" s="6" customFormat="1" ht="37.200000000000003" customHeight="1" x14ac:dyDescent="0.3">
      <c r="A146" s="4">
        <v>144</v>
      </c>
      <c r="B146" s="76" t="s">
        <v>380</v>
      </c>
      <c r="C146" s="76" t="s">
        <v>24</v>
      </c>
      <c r="D146" s="76">
        <v>4</v>
      </c>
      <c r="E146" s="76" t="s">
        <v>387</v>
      </c>
      <c r="F146" s="76" t="s">
        <v>505</v>
      </c>
      <c r="G146" s="215" t="s">
        <v>178</v>
      </c>
      <c r="H146" s="76">
        <v>46069</v>
      </c>
      <c r="I146" s="255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76"/>
      <c r="AD146" s="76"/>
      <c r="AE146" s="76"/>
      <c r="AF146" s="76"/>
      <c r="AG146" s="298"/>
      <c r="AH146" s="298"/>
      <c r="AI146" s="298"/>
      <c r="AJ146" s="298"/>
      <c r="AK146" s="298"/>
      <c r="AL146" s="298"/>
      <c r="AM146" s="298"/>
      <c r="AN146" s="298"/>
      <c r="AO146" s="255"/>
      <c r="AP146" s="255"/>
      <c r="AQ146" s="255"/>
      <c r="AR146" s="255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211"/>
      <c r="CL146" s="211"/>
      <c r="CM146" s="211"/>
      <c r="CN146" s="211"/>
      <c r="CO146" s="211"/>
      <c r="CP146" s="211"/>
      <c r="XFA146" s="76"/>
      <c r="XFB146" s="76"/>
    </row>
    <row r="147" spans="1:94 16381:16382" s="6" customFormat="1" ht="37.200000000000003" customHeight="1" x14ac:dyDescent="0.3">
      <c r="A147" s="78">
        <v>145</v>
      </c>
      <c r="B147" s="76" t="s">
        <v>381</v>
      </c>
      <c r="C147" s="76" t="s">
        <v>24</v>
      </c>
      <c r="D147" s="76">
        <v>2</v>
      </c>
      <c r="E147" s="76" t="s">
        <v>143</v>
      </c>
      <c r="F147" s="76"/>
      <c r="G147" s="76" t="s">
        <v>178</v>
      </c>
      <c r="H147" s="215">
        <v>46069</v>
      </c>
      <c r="I147" s="215"/>
      <c r="J147" s="255"/>
      <c r="K147" s="211">
        <v>8304</v>
      </c>
      <c r="L147" s="211">
        <v>440</v>
      </c>
      <c r="M147" s="211">
        <v>210</v>
      </c>
      <c r="N147" s="211"/>
      <c r="O147" s="211">
        <f t="shared" si="41"/>
        <v>8954</v>
      </c>
      <c r="P147" s="211">
        <v>1748</v>
      </c>
      <c r="Q147" s="211">
        <v>28</v>
      </c>
      <c r="R147" s="211">
        <v>19</v>
      </c>
      <c r="S147" s="211">
        <v>17</v>
      </c>
      <c r="T147" s="211">
        <f t="shared" si="47"/>
        <v>1812</v>
      </c>
      <c r="U147" s="211">
        <f t="shared" si="42"/>
        <v>6556</v>
      </c>
      <c r="V147" s="211">
        <f t="shared" si="43"/>
        <v>412</v>
      </c>
      <c r="W147" s="211">
        <f t="shared" si="44"/>
        <v>191</v>
      </c>
      <c r="X147" s="211">
        <f t="shared" si="45"/>
        <v>-17</v>
      </c>
      <c r="Y147" s="211">
        <f t="shared" si="48"/>
        <v>7142</v>
      </c>
      <c r="Z147" s="211">
        <f t="shared" si="49"/>
        <v>6556</v>
      </c>
      <c r="AA147" s="211">
        <f t="shared" si="50"/>
        <v>412</v>
      </c>
      <c r="AB147" s="211">
        <f t="shared" si="51"/>
        <v>191</v>
      </c>
      <c r="AC147" s="211">
        <f t="shared" si="52"/>
        <v>0</v>
      </c>
      <c r="AD147" s="211">
        <f t="shared" si="53"/>
        <v>7159</v>
      </c>
      <c r="AE147" s="76" t="s">
        <v>518</v>
      </c>
      <c r="AF147" s="76" t="s">
        <v>24</v>
      </c>
      <c r="AG147" s="298">
        <v>900</v>
      </c>
      <c r="AH147" s="298">
        <v>985</v>
      </c>
      <c r="AI147" s="298">
        <v>800</v>
      </c>
      <c r="AJ147" s="298">
        <v>1000</v>
      </c>
      <c r="AK147" s="298">
        <v>2871</v>
      </c>
      <c r="AL147" s="298"/>
      <c r="AM147" s="298"/>
      <c r="AN147" s="298"/>
      <c r="AO147" s="255"/>
      <c r="AP147" s="255"/>
      <c r="AQ147" s="255"/>
      <c r="AR147" s="255"/>
      <c r="AS147" s="76">
        <f t="shared" si="46"/>
        <v>6556</v>
      </c>
      <c r="AT147" s="76" t="s">
        <v>518</v>
      </c>
      <c r="AU147" s="76" t="s">
        <v>24</v>
      </c>
      <c r="AV147" s="76">
        <v>100</v>
      </c>
      <c r="AW147" s="76">
        <v>100</v>
      </c>
      <c r="AX147" s="76">
        <v>212</v>
      </c>
      <c r="AY147" s="76"/>
      <c r="AZ147" s="76"/>
      <c r="BA147" s="76"/>
      <c r="BB147" s="76"/>
      <c r="BC147" s="76"/>
      <c r="BD147" s="76"/>
      <c r="BE147" s="76"/>
      <c r="BF147" s="76"/>
      <c r="BG147" s="76"/>
      <c r="BH147" s="76">
        <f t="shared" si="54"/>
        <v>412</v>
      </c>
      <c r="BI147" s="76" t="s">
        <v>518</v>
      </c>
      <c r="BJ147" s="76" t="s">
        <v>24</v>
      </c>
      <c r="BK147" s="76"/>
      <c r="BL147" s="76">
        <v>96</v>
      </c>
      <c r="BM147" s="76">
        <v>95</v>
      </c>
      <c r="BN147" s="76"/>
      <c r="BO147" s="76"/>
      <c r="BP147" s="76"/>
      <c r="BQ147" s="76"/>
      <c r="BR147" s="76"/>
      <c r="BS147" s="76"/>
      <c r="BT147" s="76"/>
      <c r="BU147" s="76"/>
      <c r="BV147" s="76"/>
      <c r="BW147" s="76">
        <f t="shared" si="55"/>
        <v>191</v>
      </c>
      <c r="BX147" s="76" t="s">
        <v>518</v>
      </c>
      <c r="BY147" s="76" t="s">
        <v>24</v>
      </c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>
        <f t="shared" si="56"/>
        <v>0</v>
      </c>
      <c r="CM147" s="211">
        <f t="shared" si="57"/>
        <v>0</v>
      </c>
      <c r="CN147" s="211">
        <f t="shared" si="58"/>
        <v>0</v>
      </c>
      <c r="CO147" s="211">
        <f t="shared" si="59"/>
        <v>0</v>
      </c>
      <c r="CP147" s="211">
        <f t="shared" si="60"/>
        <v>-17</v>
      </c>
    </row>
    <row r="148" spans="1:94 16381:16382" s="6" customFormat="1" ht="37.200000000000003" customHeight="1" x14ac:dyDescent="0.3">
      <c r="A148" s="4">
        <v>146</v>
      </c>
      <c r="B148" s="76" t="s">
        <v>382</v>
      </c>
      <c r="C148" s="76" t="s">
        <v>24</v>
      </c>
      <c r="D148" s="76">
        <v>2</v>
      </c>
      <c r="E148" s="76" t="s">
        <v>388</v>
      </c>
      <c r="F148" s="76"/>
      <c r="G148" s="76" t="s">
        <v>178</v>
      </c>
      <c r="H148" s="215">
        <v>46069</v>
      </c>
      <c r="I148" s="215"/>
      <c r="J148" s="255"/>
      <c r="K148" s="211">
        <v>2259</v>
      </c>
      <c r="L148" s="211">
        <v>32</v>
      </c>
      <c r="M148" s="211">
        <v>40</v>
      </c>
      <c r="N148" s="211">
        <v>300</v>
      </c>
      <c r="O148" s="211">
        <f t="shared" si="41"/>
        <v>2631</v>
      </c>
      <c r="P148" s="211"/>
      <c r="Q148" s="211"/>
      <c r="R148" s="211"/>
      <c r="S148" s="211"/>
      <c r="T148" s="211">
        <f t="shared" si="47"/>
        <v>0</v>
      </c>
      <c r="U148" s="211">
        <f t="shared" si="42"/>
        <v>2259</v>
      </c>
      <c r="V148" s="211">
        <f t="shared" si="43"/>
        <v>32</v>
      </c>
      <c r="W148" s="211">
        <f t="shared" si="44"/>
        <v>40</v>
      </c>
      <c r="X148" s="211">
        <f t="shared" si="45"/>
        <v>300</v>
      </c>
      <c r="Y148" s="211">
        <f t="shared" si="48"/>
        <v>2631</v>
      </c>
      <c r="Z148" s="211">
        <f t="shared" si="49"/>
        <v>2259</v>
      </c>
      <c r="AA148" s="211">
        <f t="shared" si="50"/>
        <v>32</v>
      </c>
      <c r="AB148" s="211">
        <f t="shared" si="51"/>
        <v>40</v>
      </c>
      <c r="AC148" s="211">
        <f t="shared" si="52"/>
        <v>300</v>
      </c>
      <c r="AD148" s="211">
        <f t="shared" si="53"/>
        <v>2631</v>
      </c>
      <c r="AE148" s="76" t="s">
        <v>518</v>
      </c>
      <c r="AF148" s="76" t="s">
        <v>24</v>
      </c>
      <c r="AG148" s="298"/>
      <c r="AH148" s="298"/>
      <c r="AI148" s="298">
        <v>565</v>
      </c>
      <c r="AJ148" s="298">
        <v>564</v>
      </c>
      <c r="AK148" s="298">
        <v>565</v>
      </c>
      <c r="AL148" s="298">
        <v>565</v>
      </c>
      <c r="AM148" s="298"/>
      <c r="AN148" s="298"/>
      <c r="AO148" s="255"/>
      <c r="AP148" s="255"/>
      <c r="AQ148" s="255"/>
      <c r="AR148" s="255"/>
      <c r="AS148" s="76">
        <f t="shared" si="46"/>
        <v>2259</v>
      </c>
      <c r="AT148" s="76" t="s">
        <v>518</v>
      </c>
      <c r="AU148" s="76" t="s">
        <v>24</v>
      </c>
      <c r="AV148" s="76"/>
      <c r="AW148" s="76"/>
      <c r="AX148" s="76"/>
      <c r="AY148" s="76"/>
      <c r="AZ148" s="76"/>
      <c r="BA148" s="76">
        <v>32</v>
      </c>
      <c r="BB148" s="76"/>
      <c r="BC148" s="76"/>
      <c r="BD148" s="76"/>
      <c r="BE148" s="76"/>
      <c r="BF148" s="76"/>
      <c r="BG148" s="76"/>
      <c r="BH148" s="76">
        <f t="shared" si="54"/>
        <v>32</v>
      </c>
      <c r="BI148" s="76" t="s">
        <v>518</v>
      </c>
      <c r="BJ148" s="76" t="s">
        <v>24</v>
      </c>
      <c r="BK148" s="76"/>
      <c r="BL148" s="76"/>
      <c r="BM148" s="76"/>
      <c r="BN148" s="76"/>
      <c r="BO148" s="76"/>
      <c r="BP148" s="76">
        <v>40</v>
      </c>
      <c r="BQ148" s="76"/>
      <c r="BR148" s="76"/>
      <c r="BS148" s="76"/>
      <c r="BT148" s="76"/>
      <c r="BU148" s="76"/>
      <c r="BV148" s="76"/>
      <c r="BW148" s="76">
        <f t="shared" si="55"/>
        <v>40</v>
      </c>
      <c r="BX148" s="76" t="s">
        <v>518</v>
      </c>
      <c r="BY148" s="76" t="s">
        <v>24</v>
      </c>
      <c r="BZ148" s="76"/>
      <c r="CA148" s="76"/>
      <c r="CB148" s="76"/>
      <c r="CC148" s="76"/>
      <c r="CD148" s="76"/>
      <c r="CE148" s="76">
        <v>150</v>
      </c>
      <c r="CF148" s="76">
        <v>150</v>
      </c>
      <c r="CG148" s="76"/>
      <c r="CH148" s="76"/>
      <c r="CI148" s="76"/>
      <c r="CJ148" s="76"/>
      <c r="CK148" s="76"/>
      <c r="CL148" s="76">
        <f t="shared" si="56"/>
        <v>300</v>
      </c>
      <c r="CM148" s="211">
        <f t="shared" si="57"/>
        <v>0</v>
      </c>
      <c r="CN148" s="211">
        <f t="shared" si="58"/>
        <v>0</v>
      </c>
      <c r="CO148" s="211">
        <f t="shared" si="59"/>
        <v>0</v>
      </c>
      <c r="CP148" s="211">
        <f t="shared" si="60"/>
        <v>0</v>
      </c>
    </row>
    <row r="149" spans="1:94 16381:16382" s="6" customFormat="1" ht="24.6" customHeight="1" x14ac:dyDescent="0.3">
      <c r="A149" s="78">
        <v>147</v>
      </c>
      <c r="B149" s="76">
        <v>29620</v>
      </c>
      <c r="C149" s="76" t="s">
        <v>166</v>
      </c>
      <c r="D149" s="76">
        <v>20</v>
      </c>
      <c r="E149" s="76" t="s">
        <v>339</v>
      </c>
      <c r="F149" s="76"/>
      <c r="G149" s="76" t="s">
        <v>178</v>
      </c>
      <c r="H149" s="215">
        <v>46083</v>
      </c>
      <c r="I149" s="215">
        <v>46302</v>
      </c>
      <c r="J149" s="255">
        <v>4314</v>
      </c>
      <c r="K149" s="211"/>
      <c r="L149" s="211"/>
      <c r="M149" s="211"/>
      <c r="N149" s="211">
        <v>40</v>
      </c>
      <c r="O149" s="211">
        <f t="shared" si="41"/>
        <v>40</v>
      </c>
      <c r="P149" s="211"/>
      <c r="Q149" s="211"/>
      <c r="R149" s="211"/>
      <c r="S149" s="211">
        <v>32</v>
      </c>
      <c r="T149" s="211">
        <f t="shared" si="47"/>
        <v>32</v>
      </c>
      <c r="U149" s="211">
        <f t="shared" si="42"/>
        <v>0</v>
      </c>
      <c r="V149" s="211">
        <f t="shared" si="43"/>
        <v>0</v>
      </c>
      <c r="W149" s="211">
        <f t="shared" si="44"/>
        <v>0</v>
      </c>
      <c r="X149" s="211">
        <f t="shared" si="45"/>
        <v>8</v>
      </c>
      <c r="Y149" s="211">
        <f t="shared" si="48"/>
        <v>8</v>
      </c>
      <c r="Z149" s="211">
        <f t="shared" si="49"/>
        <v>0</v>
      </c>
      <c r="AA149" s="211">
        <f t="shared" si="50"/>
        <v>0</v>
      </c>
      <c r="AB149" s="211">
        <f t="shared" si="51"/>
        <v>0</v>
      </c>
      <c r="AC149" s="211">
        <f t="shared" si="52"/>
        <v>0</v>
      </c>
      <c r="AD149" s="211">
        <f t="shared" si="53"/>
        <v>0</v>
      </c>
      <c r="AE149" s="76" t="s">
        <v>518</v>
      </c>
      <c r="AF149" s="76" t="s">
        <v>23</v>
      </c>
      <c r="AG149" s="298"/>
      <c r="AH149" s="298"/>
      <c r="AI149" s="298"/>
      <c r="AJ149" s="298"/>
      <c r="AK149" s="298"/>
      <c r="AL149" s="298"/>
      <c r="AM149" s="298"/>
      <c r="AN149" s="298"/>
      <c r="AO149" s="255"/>
      <c r="AP149" s="255"/>
      <c r="AQ149" s="255"/>
      <c r="AR149" s="255"/>
      <c r="AS149" s="76">
        <f t="shared" si="46"/>
        <v>0</v>
      </c>
      <c r="AT149" s="76" t="s">
        <v>518</v>
      </c>
      <c r="AU149" s="76" t="s">
        <v>23</v>
      </c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>
        <f t="shared" si="54"/>
        <v>0</v>
      </c>
      <c r="BI149" s="76" t="s">
        <v>518</v>
      </c>
      <c r="BJ149" s="76" t="s">
        <v>23</v>
      </c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>
        <f t="shared" si="55"/>
        <v>0</v>
      </c>
      <c r="BX149" s="76" t="s">
        <v>518</v>
      </c>
      <c r="BY149" s="76" t="s">
        <v>23</v>
      </c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>
        <f t="shared" si="56"/>
        <v>0</v>
      </c>
      <c r="CM149" s="211">
        <f t="shared" si="57"/>
        <v>0</v>
      </c>
      <c r="CN149" s="211">
        <f t="shared" si="58"/>
        <v>0</v>
      </c>
      <c r="CO149" s="211">
        <f t="shared" si="59"/>
        <v>0</v>
      </c>
      <c r="CP149" s="211">
        <f t="shared" si="60"/>
        <v>8</v>
      </c>
    </row>
    <row r="150" spans="1:94 16381:16382" s="6" customFormat="1" ht="24.6" customHeight="1" x14ac:dyDescent="0.3">
      <c r="A150" s="4">
        <v>148</v>
      </c>
      <c r="B150" s="76">
        <v>29716</v>
      </c>
      <c r="C150" s="76" t="s">
        <v>166</v>
      </c>
      <c r="D150" s="76">
        <v>2</v>
      </c>
      <c r="E150" s="76" t="s">
        <v>340</v>
      </c>
      <c r="F150" s="76"/>
      <c r="G150" s="76" t="s">
        <v>178</v>
      </c>
      <c r="H150" s="215">
        <v>46084</v>
      </c>
      <c r="I150" s="215">
        <v>46354</v>
      </c>
      <c r="J150" s="255">
        <v>900</v>
      </c>
      <c r="K150" s="211"/>
      <c r="L150" s="211"/>
      <c r="M150" s="211">
        <v>20</v>
      </c>
      <c r="N150" s="211"/>
      <c r="O150" s="211">
        <f t="shared" si="41"/>
        <v>20</v>
      </c>
      <c r="P150" s="211"/>
      <c r="Q150" s="211"/>
      <c r="R150" s="211"/>
      <c r="S150" s="211"/>
      <c r="T150" s="211">
        <f t="shared" si="47"/>
        <v>0</v>
      </c>
      <c r="U150" s="211">
        <f t="shared" si="42"/>
        <v>0</v>
      </c>
      <c r="V150" s="211">
        <f t="shared" si="43"/>
        <v>0</v>
      </c>
      <c r="W150" s="211">
        <f t="shared" si="44"/>
        <v>20</v>
      </c>
      <c r="X150" s="211">
        <f t="shared" si="45"/>
        <v>0</v>
      </c>
      <c r="Y150" s="211">
        <f t="shared" si="48"/>
        <v>20</v>
      </c>
      <c r="Z150" s="211">
        <f t="shared" si="49"/>
        <v>0</v>
      </c>
      <c r="AA150" s="211">
        <f t="shared" si="50"/>
        <v>0</v>
      </c>
      <c r="AB150" s="211">
        <f t="shared" si="51"/>
        <v>20</v>
      </c>
      <c r="AC150" s="211">
        <f t="shared" si="52"/>
        <v>0</v>
      </c>
      <c r="AD150" s="211">
        <f t="shared" si="53"/>
        <v>20</v>
      </c>
      <c r="AE150" s="76" t="s">
        <v>518</v>
      </c>
      <c r="AF150" s="76" t="s">
        <v>23</v>
      </c>
      <c r="AG150" s="298"/>
      <c r="AH150" s="298"/>
      <c r="AI150" s="298"/>
      <c r="AJ150" s="298"/>
      <c r="AK150" s="298"/>
      <c r="AL150" s="298"/>
      <c r="AM150" s="298"/>
      <c r="AN150" s="298"/>
      <c r="AO150" s="255"/>
      <c r="AP150" s="255"/>
      <c r="AQ150" s="255"/>
      <c r="AR150" s="255"/>
      <c r="AS150" s="76">
        <f t="shared" si="46"/>
        <v>0</v>
      </c>
      <c r="AT150" s="76" t="s">
        <v>518</v>
      </c>
      <c r="AU150" s="76" t="s">
        <v>23</v>
      </c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>
        <f t="shared" si="54"/>
        <v>0</v>
      </c>
      <c r="BI150" s="76" t="s">
        <v>518</v>
      </c>
      <c r="BJ150" s="76" t="s">
        <v>23</v>
      </c>
      <c r="BK150" s="76"/>
      <c r="BL150" s="76"/>
      <c r="BM150" s="76"/>
      <c r="BN150" s="76"/>
      <c r="BO150" s="76">
        <v>20</v>
      </c>
      <c r="BP150" s="76"/>
      <c r="BQ150" s="76"/>
      <c r="BR150" s="76"/>
      <c r="BS150" s="76"/>
      <c r="BT150" s="76"/>
      <c r="BU150" s="76"/>
      <c r="BV150" s="76"/>
      <c r="BW150" s="76">
        <f t="shared" si="55"/>
        <v>20</v>
      </c>
      <c r="BX150" s="76" t="s">
        <v>518</v>
      </c>
      <c r="BY150" s="76" t="s">
        <v>23</v>
      </c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>
        <f t="shared" si="56"/>
        <v>0</v>
      </c>
      <c r="CM150" s="211">
        <f t="shared" si="57"/>
        <v>0</v>
      </c>
      <c r="CN150" s="211">
        <f t="shared" si="58"/>
        <v>0</v>
      </c>
      <c r="CO150" s="211">
        <f t="shared" si="59"/>
        <v>0</v>
      </c>
      <c r="CP150" s="211">
        <f t="shared" si="60"/>
        <v>0</v>
      </c>
    </row>
    <row r="151" spans="1:94 16381:16382" s="6" customFormat="1" ht="24.6" customHeight="1" x14ac:dyDescent="0.3">
      <c r="A151" s="78">
        <v>149</v>
      </c>
      <c r="B151" s="76" t="s">
        <v>338</v>
      </c>
      <c r="C151" s="76" t="s">
        <v>24</v>
      </c>
      <c r="D151" s="76">
        <v>16</v>
      </c>
      <c r="E151" s="76" t="s">
        <v>341</v>
      </c>
      <c r="F151" s="76"/>
      <c r="G151" s="76" t="s">
        <v>178</v>
      </c>
      <c r="H151" s="215">
        <v>46087</v>
      </c>
      <c r="I151" s="215">
        <v>46354</v>
      </c>
      <c r="J151" s="255">
        <v>15000</v>
      </c>
      <c r="K151" s="211">
        <v>4702</v>
      </c>
      <c r="L151" s="211">
        <v>1920</v>
      </c>
      <c r="M151" s="211">
        <v>2208</v>
      </c>
      <c r="N151" s="211">
        <v>3520</v>
      </c>
      <c r="O151" s="211">
        <f t="shared" si="41"/>
        <v>12350</v>
      </c>
      <c r="P151" s="211"/>
      <c r="Q151" s="211"/>
      <c r="R151" s="211"/>
      <c r="S151" s="211"/>
      <c r="T151" s="211">
        <f t="shared" si="47"/>
        <v>0</v>
      </c>
      <c r="U151" s="211">
        <f t="shared" si="42"/>
        <v>4702</v>
      </c>
      <c r="V151" s="211">
        <f t="shared" si="43"/>
        <v>1920</v>
      </c>
      <c r="W151" s="211">
        <f t="shared" si="44"/>
        <v>2208</v>
      </c>
      <c r="X151" s="211">
        <f t="shared" si="45"/>
        <v>3520</v>
      </c>
      <c r="Y151" s="211">
        <f t="shared" si="48"/>
        <v>12350</v>
      </c>
      <c r="Z151" s="211">
        <f t="shared" si="49"/>
        <v>4462</v>
      </c>
      <c r="AA151" s="211">
        <f t="shared" si="50"/>
        <v>1920</v>
      </c>
      <c r="AB151" s="211">
        <f t="shared" si="51"/>
        <v>2208</v>
      </c>
      <c r="AC151" s="211">
        <f t="shared" si="52"/>
        <v>3520</v>
      </c>
      <c r="AD151" s="211">
        <f t="shared" si="53"/>
        <v>12110</v>
      </c>
      <c r="AE151" s="76" t="s">
        <v>518</v>
      </c>
      <c r="AF151" s="76" t="s">
        <v>24</v>
      </c>
      <c r="AG151" s="298">
        <v>600</v>
      </c>
      <c r="AH151" s="298">
        <v>1522</v>
      </c>
      <c r="AI151" s="298">
        <v>1000</v>
      </c>
      <c r="AJ151" s="298">
        <v>400</v>
      </c>
      <c r="AK151" s="298">
        <v>940</v>
      </c>
      <c r="AL151" s="298"/>
      <c r="AM151" s="298"/>
      <c r="AN151" s="298"/>
      <c r="AO151" s="255"/>
      <c r="AP151" s="255"/>
      <c r="AQ151" s="255"/>
      <c r="AR151" s="255"/>
      <c r="AS151" s="76">
        <f t="shared" si="46"/>
        <v>4462</v>
      </c>
      <c r="AT151" s="76" t="s">
        <v>518</v>
      </c>
      <c r="AU151" s="76" t="s">
        <v>24</v>
      </c>
      <c r="AV151" s="76"/>
      <c r="AW151" s="76"/>
      <c r="AX151" s="76">
        <v>640</v>
      </c>
      <c r="AY151" s="76">
        <v>640</v>
      </c>
      <c r="AZ151" s="76">
        <v>640</v>
      </c>
      <c r="BA151" s="76"/>
      <c r="BB151" s="76"/>
      <c r="BC151" s="76"/>
      <c r="BD151" s="76"/>
      <c r="BE151" s="76"/>
      <c r="BF151" s="76"/>
      <c r="BG151" s="76"/>
      <c r="BH151" s="76">
        <f t="shared" si="54"/>
        <v>1920</v>
      </c>
      <c r="BI151" s="76" t="s">
        <v>518</v>
      </c>
      <c r="BJ151" s="76" t="s">
        <v>24</v>
      </c>
      <c r="BK151" s="76"/>
      <c r="BL151" s="76"/>
      <c r="BM151" s="76">
        <v>736</v>
      </c>
      <c r="BN151" s="76">
        <v>736</v>
      </c>
      <c r="BO151" s="76">
        <v>736</v>
      </c>
      <c r="BP151" s="76"/>
      <c r="BQ151" s="76"/>
      <c r="BR151" s="76"/>
      <c r="BS151" s="76"/>
      <c r="BT151" s="76"/>
      <c r="BU151" s="76"/>
      <c r="BV151" s="76"/>
      <c r="BW151" s="76">
        <f t="shared" si="55"/>
        <v>2208</v>
      </c>
      <c r="BX151" s="76" t="s">
        <v>518</v>
      </c>
      <c r="BY151" s="76" t="s">
        <v>24</v>
      </c>
      <c r="BZ151" s="76"/>
      <c r="CA151" s="76"/>
      <c r="CB151" s="76"/>
      <c r="CC151" s="76">
        <v>650</v>
      </c>
      <c r="CD151" s="76">
        <v>2000</v>
      </c>
      <c r="CE151" s="76">
        <v>870</v>
      </c>
      <c r="CF151" s="76"/>
      <c r="CG151" s="76"/>
      <c r="CH151" s="76"/>
      <c r="CI151" s="76"/>
      <c r="CJ151" s="76"/>
      <c r="CK151" s="76"/>
      <c r="CL151" s="76">
        <f t="shared" si="56"/>
        <v>3520</v>
      </c>
      <c r="CM151" s="211">
        <f t="shared" si="57"/>
        <v>240</v>
      </c>
      <c r="CN151" s="211">
        <f t="shared" si="58"/>
        <v>0</v>
      </c>
      <c r="CO151" s="211">
        <f t="shared" si="59"/>
        <v>0</v>
      </c>
      <c r="CP151" s="211">
        <f t="shared" si="60"/>
        <v>0</v>
      </c>
    </row>
    <row r="152" spans="1:94 16381:16382" s="6" customFormat="1" ht="24.6" customHeight="1" x14ac:dyDescent="0.3">
      <c r="A152" s="4">
        <v>150</v>
      </c>
      <c r="B152" s="76" t="s">
        <v>419</v>
      </c>
      <c r="C152" s="76">
        <v>25469</v>
      </c>
      <c r="D152" s="76">
        <v>9</v>
      </c>
      <c r="E152" s="76" t="s">
        <v>342</v>
      </c>
      <c r="F152" s="76"/>
      <c r="G152" s="76" t="s">
        <v>156</v>
      </c>
      <c r="H152" s="215">
        <v>46091</v>
      </c>
      <c r="I152" s="215">
        <v>46372</v>
      </c>
      <c r="J152" s="255">
        <v>22000</v>
      </c>
      <c r="K152" s="211">
        <v>11405.7</v>
      </c>
      <c r="L152" s="211"/>
      <c r="M152" s="211">
        <v>34</v>
      </c>
      <c r="N152" s="211"/>
      <c r="O152" s="211">
        <f t="shared" si="41"/>
        <v>11439.7</v>
      </c>
      <c r="P152" s="211"/>
      <c r="Q152" s="211"/>
      <c r="R152" s="211"/>
      <c r="S152" s="211"/>
      <c r="T152" s="211">
        <f t="shared" si="47"/>
        <v>0</v>
      </c>
      <c r="U152" s="211">
        <f t="shared" si="42"/>
        <v>11405.7</v>
      </c>
      <c r="V152" s="211">
        <f t="shared" si="43"/>
        <v>0</v>
      </c>
      <c r="W152" s="211">
        <f t="shared" si="44"/>
        <v>34</v>
      </c>
      <c r="X152" s="211">
        <f t="shared" si="45"/>
        <v>0</v>
      </c>
      <c r="Y152" s="211">
        <f t="shared" si="48"/>
        <v>11439.7</v>
      </c>
      <c r="Z152" s="211">
        <f t="shared" si="49"/>
        <v>11406</v>
      </c>
      <c r="AA152" s="211">
        <f t="shared" si="50"/>
        <v>0</v>
      </c>
      <c r="AB152" s="211">
        <f t="shared" si="51"/>
        <v>34</v>
      </c>
      <c r="AC152" s="211">
        <f t="shared" si="52"/>
        <v>0</v>
      </c>
      <c r="AD152" s="211">
        <f t="shared" si="53"/>
        <v>11440</v>
      </c>
      <c r="AE152" s="76" t="s">
        <v>518</v>
      </c>
      <c r="AF152" s="76" t="s">
        <v>23</v>
      </c>
      <c r="AG152" s="298">
        <v>400</v>
      </c>
      <c r="AH152" s="298">
        <v>900</v>
      </c>
      <c r="AI152" s="298">
        <v>900</v>
      </c>
      <c r="AJ152" s="298">
        <v>1901</v>
      </c>
      <c r="AK152" s="298">
        <v>1901</v>
      </c>
      <c r="AL152" s="298">
        <v>2200</v>
      </c>
      <c r="AM152" s="298">
        <v>2200</v>
      </c>
      <c r="AN152" s="298">
        <v>1004</v>
      </c>
      <c r="AO152" s="255"/>
      <c r="AP152" s="255"/>
      <c r="AQ152" s="255"/>
      <c r="AR152" s="255"/>
      <c r="AS152" s="76">
        <f t="shared" si="46"/>
        <v>11406</v>
      </c>
      <c r="AT152" s="76" t="s">
        <v>518</v>
      </c>
      <c r="AU152" s="76" t="s">
        <v>23</v>
      </c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>
        <f t="shared" si="54"/>
        <v>0</v>
      </c>
      <c r="BI152" s="76" t="s">
        <v>518</v>
      </c>
      <c r="BJ152" s="76" t="s">
        <v>23</v>
      </c>
      <c r="BK152" s="76"/>
      <c r="BL152" s="76"/>
      <c r="BM152" s="76"/>
      <c r="BN152" s="76"/>
      <c r="BO152" s="76"/>
      <c r="BP152" s="76">
        <v>34</v>
      </c>
      <c r="BQ152" s="76"/>
      <c r="BR152" s="76"/>
      <c r="BS152" s="76"/>
      <c r="BT152" s="76"/>
      <c r="BU152" s="76"/>
      <c r="BV152" s="76"/>
      <c r="BW152" s="76">
        <f t="shared" si="55"/>
        <v>34</v>
      </c>
      <c r="BX152" s="76" t="s">
        <v>518</v>
      </c>
      <c r="BY152" s="76" t="s">
        <v>23</v>
      </c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>
        <f t="shared" si="56"/>
        <v>0</v>
      </c>
      <c r="CM152" s="211">
        <f t="shared" si="57"/>
        <v>-0.2999999999992724</v>
      </c>
      <c r="CN152" s="211">
        <f t="shared" si="58"/>
        <v>0</v>
      </c>
      <c r="CO152" s="211">
        <f t="shared" si="59"/>
        <v>0</v>
      </c>
      <c r="CP152" s="211">
        <f t="shared" si="60"/>
        <v>0</v>
      </c>
    </row>
    <row r="153" spans="1:94 16381:16382" s="6" customFormat="1" ht="24.6" customHeight="1" x14ac:dyDescent="0.3">
      <c r="A153" s="78">
        <v>151</v>
      </c>
      <c r="B153" s="76">
        <v>30276</v>
      </c>
      <c r="C153" s="76" t="s">
        <v>166</v>
      </c>
      <c r="D153" s="76">
        <v>34</v>
      </c>
      <c r="E153" s="76" t="s">
        <v>343</v>
      </c>
      <c r="F153" s="76"/>
      <c r="G153" s="76" t="s">
        <v>345</v>
      </c>
      <c r="H153" s="215">
        <v>46090</v>
      </c>
      <c r="I153" s="215">
        <v>46265</v>
      </c>
      <c r="J153" s="255">
        <v>3730</v>
      </c>
      <c r="K153" s="211">
        <v>615</v>
      </c>
      <c r="L153" s="211">
        <v>123</v>
      </c>
      <c r="M153" s="211">
        <v>350</v>
      </c>
      <c r="N153" s="211"/>
      <c r="O153" s="211">
        <f t="shared" si="41"/>
        <v>1088</v>
      </c>
      <c r="P153" s="211">
        <v>441.63</v>
      </c>
      <c r="Q153" s="211"/>
      <c r="R153" s="211"/>
      <c r="S153" s="211"/>
      <c r="T153" s="211">
        <f t="shared" si="47"/>
        <v>441.63</v>
      </c>
      <c r="U153" s="211">
        <f t="shared" si="42"/>
        <v>173.37</v>
      </c>
      <c r="V153" s="211">
        <f t="shared" si="43"/>
        <v>123</v>
      </c>
      <c r="W153" s="211">
        <f t="shared" si="44"/>
        <v>350</v>
      </c>
      <c r="X153" s="211">
        <f t="shared" si="45"/>
        <v>0</v>
      </c>
      <c r="Y153" s="211">
        <f t="shared" si="48"/>
        <v>646.37</v>
      </c>
      <c r="Z153" s="211">
        <f t="shared" si="49"/>
        <v>173</v>
      </c>
      <c r="AA153" s="211">
        <f t="shared" si="50"/>
        <v>123</v>
      </c>
      <c r="AB153" s="211">
        <f t="shared" si="51"/>
        <v>350</v>
      </c>
      <c r="AC153" s="211">
        <f t="shared" si="52"/>
        <v>0</v>
      </c>
      <c r="AD153" s="211">
        <f t="shared" si="53"/>
        <v>646</v>
      </c>
      <c r="AE153" s="76" t="s">
        <v>518</v>
      </c>
      <c r="AF153" s="76" t="s">
        <v>22</v>
      </c>
      <c r="AG153" s="298">
        <v>173</v>
      </c>
      <c r="AH153" s="298"/>
      <c r="AI153" s="298"/>
      <c r="AJ153" s="298"/>
      <c r="AK153" s="298"/>
      <c r="AL153" s="298"/>
      <c r="AM153" s="298"/>
      <c r="AN153" s="298"/>
      <c r="AO153" s="255"/>
      <c r="AP153" s="255"/>
      <c r="AQ153" s="255"/>
      <c r="AR153" s="255"/>
      <c r="AS153" s="76">
        <f t="shared" si="46"/>
        <v>173</v>
      </c>
      <c r="AT153" s="76" t="s">
        <v>518</v>
      </c>
      <c r="AU153" s="76" t="s">
        <v>22</v>
      </c>
      <c r="AV153" s="76"/>
      <c r="AW153" s="76"/>
      <c r="AX153" s="76">
        <v>123</v>
      </c>
      <c r="AY153" s="76"/>
      <c r="AZ153" s="76"/>
      <c r="BA153" s="76"/>
      <c r="BB153" s="76"/>
      <c r="BC153" s="76"/>
      <c r="BD153" s="76"/>
      <c r="BE153" s="76"/>
      <c r="BF153" s="76"/>
      <c r="BG153" s="76"/>
      <c r="BH153" s="76">
        <f t="shared" si="54"/>
        <v>123</v>
      </c>
      <c r="BI153" s="76" t="s">
        <v>518</v>
      </c>
      <c r="BJ153" s="76" t="s">
        <v>22</v>
      </c>
      <c r="BK153" s="76"/>
      <c r="BL153" s="76"/>
      <c r="BM153" s="76">
        <v>350</v>
      </c>
      <c r="BN153" s="76"/>
      <c r="BO153" s="76"/>
      <c r="BP153" s="76"/>
      <c r="BQ153" s="76"/>
      <c r="BR153" s="76"/>
      <c r="BS153" s="76"/>
      <c r="BT153" s="76"/>
      <c r="BU153" s="76"/>
      <c r="BV153" s="76"/>
      <c r="BW153" s="76">
        <f t="shared" si="55"/>
        <v>350</v>
      </c>
      <c r="BX153" s="76" t="s">
        <v>518</v>
      </c>
      <c r="BY153" s="76" t="s">
        <v>22</v>
      </c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>
        <f t="shared" si="56"/>
        <v>0</v>
      </c>
      <c r="CM153" s="211">
        <f t="shared" si="57"/>
        <v>0.37000000000000455</v>
      </c>
      <c r="CN153" s="211">
        <f t="shared" si="58"/>
        <v>0</v>
      </c>
      <c r="CO153" s="211">
        <f t="shared" si="59"/>
        <v>0</v>
      </c>
      <c r="CP153" s="211">
        <f t="shared" si="60"/>
        <v>0</v>
      </c>
    </row>
    <row r="154" spans="1:94 16381:16382" s="6" customFormat="1" ht="24.6" customHeight="1" x14ac:dyDescent="0.3">
      <c r="A154" s="4">
        <v>152</v>
      </c>
      <c r="B154" s="76">
        <v>29232</v>
      </c>
      <c r="C154" s="76" t="s">
        <v>166</v>
      </c>
      <c r="D154" s="76">
        <v>2</v>
      </c>
      <c r="E154" s="76" t="s">
        <v>344</v>
      </c>
      <c r="F154" s="76"/>
      <c r="G154" s="76" t="s">
        <v>178</v>
      </c>
      <c r="H154" s="215">
        <v>46092</v>
      </c>
      <c r="I154" s="215">
        <v>46329</v>
      </c>
      <c r="J154" s="255">
        <v>9620</v>
      </c>
      <c r="K154" s="211">
        <v>750</v>
      </c>
      <c r="L154" s="211"/>
      <c r="M154" s="211">
        <v>40</v>
      </c>
      <c r="N154" s="211">
        <v>60</v>
      </c>
      <c r="O154" s="211">
        <f t="shared" si="41"/>
        <v>850</v>
      </c>
      <c r="P154" s="211">
        <v>3.2</v>
      </c>
      <c r="Q154" s="211"/>
      <c r="R154" s="211"/>
      <c r="S154" s="211"/>
      <c r="T154" s="211">
        <f t="shared" si="47"/>
        <v>3.2</v>
      </c>
      <c r="U154" s="211">
        <f t="shared" si="42"/>
        <v>746.8</v>
      </c>
      <c r="V154" s="211">
        <f t="shared" si="43"/>
        <v>0</v>
      </c>
      <c r="W154" s="211">
        <f t="shared" si="44"/>
        <v>40</v>
      </c>
      <c r="X154" s="211">
        <f t="shared" si="45"/>
        <v>60</v>
      </c>
      <c r="Y154" s="211">
        <f t="shared" si="48"/>
        <v>846.8</v>
      </c>
      <c r="Z154" s="211">
        <f t="shared" si="49"/>
        <v>747</v>
      </c>
      <c r="AA154" s="211">
        <f t="shared" si="50"/>
        <v>0</v>
      </c>
      <c r="AB154" s="211">
        <f t="shared" si="51"/>
        <v>40</v>
      </c>
      <c r="AC154" s="211">
        <f t="shared" si="52"/>
        <v>60</v>
      </c>
      <c r="AD154" s="211">
        <f t="shared" si="53"/>
        <v>847</v>
      </c>
      <c r="AE154" s="76" t="s">
        <v>518</v>
      </c>
      <c r="AF154" s="76" t="s">
        <v>23</v>
      </c>
      <c r="AG154" s="298">
        <v>187</v>
      </c>
      <c r="AH154" s="298">
        <v>187</v>
      </c>
      <c r="AI154" s="298">
        <v>187</v>
      </c>
      <c r="AJ154" s="298">
        <v>186</v>
      </c>
      <c r="AK154" s="298"/>
      <c r="AL154" s="298"/>
      <c r="AM154" s="298"/>
      <c r="AN154" s="298"/>
      <c r="AO154" s="255"/>
      <c r="AP154" s="255"/>
      <c r="AQ154" s="255"/>
      <c r="AR154" s="255"/>
      <c r="AS154" s="76">
        <f t="shared" si="46"/>
        <v>747</v>
      </c>
      <c r="AT154" s="76" t="s">
        <v>518</v>
      </c>
      <c r="AU154" s="76" t="s">
        <v>23</v>
      </c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>
        <f t="shared" si="54"/>
        <v>0</v>
      </c>
      <c r="BI154" s="76" t="s">
        <v>518</v>
      </c>
      <c r="BJ154" s="76" t="s">
        <v>23</v>
      </c>
      <c r="BK154" s="76"/>
      <c r="BL154" s="76"/>
      <c r="BM154" s="76"/>
      <c r="BN154" s="76"/>
      <c r="BO154" s="76">
        <v>40</v>
      </c>
      <c r="BP154" s="76"/>
      <c r="BQ154" s="76"/>
      <c r="BR154" s="76"/>
      <c r="BS154" s="76"/>
      <c r="BT154" s="76"/>
      <c r="BU154" s="76"/>
      <c r="BV154" s="76"/>
      <c r="BW154" s="76">
        <f t="shared" si="55"/>
        <v>40</v>
      </c>
      <c r="BX154" s="76" t="s">
        <v>518</v>
      </c>
      <c r="BY154" s="76" t="s">
        <v>23</v>
      </c>
      <c r="BZ154" s="76"/>
      <c r="CA154" s="76"/>
      <c r="CB154" s="76"/>
      <c r="CC154" s="76"/>
      <c r="CD154" s="76"/>
      <c r="CE154" s="76">
        <v>60</v>
      </c>
      <c r="CF154" s="76"/>
      <c r="CG154" s="76"/>
      <c r="CH154" s="76"/>
      <c r="CI154" s="76"/>
      <c r="CJ154" s="76"/>
      <c r="CK154" s="76"/>
      <c r="CL154" s="76">
        <f t="shared" si="56"/>
        <v>60</v>
      </c>
      <c r="CM154" s="211">
        <f t="shared" si="57"/>
        <v>-0.20000000000004547</v>
      </c>
      <c r="CN154" s="211">
        <f t="shared" si="58"/>
        <v>0</v>
      </c>
      <c r="CO154" s="211">
        <f t="shared" si="59"/>
        <v>0</v>
      </c>
      <c r="CP154" s="211">
        <f t="shared" si="60"/>
        <v>0</v>
      </c>
    </row>
    <row r="155" spans="1:94 16381:16382" s="6" customFormat="1" ht="24.6" customHeight="1" x14ac:dyDescent="0.3">
      <c r="A155" s="78">
        <v>153</v>
      </c>
      <c r="B155" s="76" t="s">
        <v>368</v>
      </c>
      <c r="C155" s="76" t="s">
        <v>24</v>
      </c>
      <c r="D155" s="76">
        <v>1</v>
      </c>
      <c r="E155" s="76" t="s">
        <v>346</v>
      </c>
      <c r="F155" s="76"/>
      <c r="G155" s="76" t="s">
        <v>176</v>
      </c>
      <c r="H155" s="215"/>
      <c r="I155" s="215"/>
      <c r="J155" s="255">
        <v>20000</v>
      </c>
      <c r="K155" s="211">
        <v>2570</v>
      </c>
      <c r="L155" s="211">
        <v>75</v>
      </c>
      <c r="M155" s="211">
        <v>150</v>
      </c>
      <c r="N155" s="211">
        <v>250</v>
      </c>
      <c r="O155" s="211">
        <f t="shared" si="41"/>
        <v>3045</v>
      </c>
      <c r="P155" s="211"/>
      <c r="Q155" s="211"/>
      <c r="R155" s="211"/>
      <c r="S155" s="211"/>
      <c r="T155" s="211">
        <f t="shared" si="47"/>
        <v>0</v>
      </c>
      <c r="U155" s="211">
        <f t="shared" si="42"/>
        <v>2570</v>
      </c>
      <c r="V155" s="211">
        <f t="shared" si="43"/>
        <v>75</v>
      </c>
      <c r="W155" s="211">
        <f t="shared" si="44"/>
        <v>150</v>
      </c>
      <c r="X155" s="211">
        <f t="shared" si="45"/>
        <v>250</v>
      </c>
      <c r="Y155" s="211">
        <f t="shared" si="48"/>
        <v>3045</v>
      </c>
      <c r="Z155" s="211">
        <f t="shared" si="49"/>
        <v>2570</v>
      </c>
      <c r="AA155" s="211">
        <f t="shared" si="50"/>
        <v>75</v>
      </c>
      <c r="AB155" s="211">
        <f t="shared" si="51"/>
        <v>150</v>
      </c>
      <c r="AC155" s="211">
        <f t="shared" si="52"/>
        <v>250</v>
      </c>
      <c r="AD155" s="211">
        <f t="shared" si="53"/>
        <v>3045</v>
      </c>
      <c r="AE155" s="76" t="s">
        <v>518</v>
      </c>
      <c r="AF155" s="76" t="s">
        <v>24</v>
      </c>
      <c r="AG155" s="298"/>
      <c r="AH155" s="298">
        <v>600</v>
      </c>
      <c r="AI155" s="298">
        <v>700</v>
      </c>
      <c r="AJ155" s="298">
        <v>700</v>
      </c>
      <c r="AK155" s="298">
        <v>570</v>
      </c>
      <c r="AL155" s="298"/>
      <c r="AM155" s="298"/>
      <c r="AN155" s="298"/>
      <c r="AO155" s="255"/>
      <c r="AP155" s="255"/>
      <c r="AQ155" s="255"/>
      <c r="AR155" s="255"/>
      <c r="AS155" s="76">
        <f t="shared" si="46"/>
        <v>2570</v>
      </c>
      <c r="AT155" s="76" t="s">
        <v>518</v>
      </c>
      <c r="AU155" s="76" t="s">
        <v>24</v>
      </c>
      <c r="AV155" s="76"/>
      <c r="AW155" s="76"/>
      <c r="AX155" s="76"/>
      <c r="AY155" s="76"/>
      <c r="AZ155" s="76">
        <v>75</v>
      </c>
      <c r="BA155" s="76"/>
      <c r="BB155" s="76"/>
      <c r="BC155" s="76"/>
      <c r="BD155" s="76"/>
      <c r="BE155" s="76"/>
      <c r="BF155" s="76"/>
      <c r="BG155" s="76"/>
      <c r="BH155" s="76">
        <f t="shared" si="54"/>
        <v>75</v>
      </c>
      <c r="BI155" s="76" t="s">
        <v>518</v>
      </c>
      <c r="BJ155" s="76" t="s">
        <v>24</v>
      </c>
      <c r="BK155" s="76"/>
      <c r="BL155" s="76"/>
      <c r="BM155" s="76"/>
      <c r="BN155" s="76"/>
      <c r="BO155" s="76">
        <v>150</v>
      </c>
      <c r="BP155" s="76"/>
      <c r="BQ155" s="76"/>
      <c r="BR155" s="76"/>
      <c r="BS155" s="76"/>
      <c r="BT155" s="76"/>
      <c r="BU155" s="76"/>
      <c r="BV155" s="76"/>
      <c r="BW155" s="76">
        <f t="shared" si="55"/>
        <v>150</v>
      </c>
      <c r="BX155" s="76" t="s">
        <v>518</v>
      </c>
      <c r="BY155" s="76" t="s">
        <v>24</v>
      </c>
      <c r="BZ155" s="76"/>
      <c r="CA155" s="76"/>
      <c r="CB155" s="76"/>
      <c r="CC155" s="76"/>
      <c r="CD155" s="76"/>
      <c r="CE155" s="76">
        <v>250</v>
      </c>
      <c r="CF155" s="76"/>
      <c r="CG155" s="76"/>
      <c r="CH155" s="76"/>
      <c r="CI155" s="76"/>
      <c r="CJ155" s="76"/>
      <c r="CK155" s="76"/>
      <c r="CL155" s="76">
        <f t="shared" si="56"/>
        <v>250</v>
      </c>
      <c r="CM155" s="211">
        <f t="shared" si="57"/>
        <v>0</v>
      </c>
      <c r="CN155" s="211">
        <f t="shared" si="58"/>
        <v>0</v>
      </c>
      <c r="CO155" s="211">
        <f t="shared" si="59"/>
        <v>0</v>
      </c>
      <c r="CP155" s="211">
        <f t="shared" si="60"/>
        <v>0</v>
      </c>
    </row>
    <row r="156" spans="1:94 16381:16382" s="6" customFormat="1" ht="24.6" customHeight="1" x14ac:dyDescent="0.3">
      <c r="A156" s="4">
        <v>154</v>
      </c>
      <c r="B156" s="76" t="s">
        <v>350</v>
      </c>
      <c r="C156" s="76" t="s">
        <v>24</v>
      </c>
      <c r="D156" s="76">
        <v>1</v>
      </c>
      <c r="E156" s="76" t="s">
        <v>347</v>
      </c>
      <c r="F156" s="76"/>
      <c r="G156" s="76" t="s">
        <v>176</v>
      </c>
      <c r="H156" s="215"/>
      <c r="I156" s="215"/>
      <c r="J156" s="255">
        <v>20000</v>
      </c>
      <c r="K156" s="211">
        <v>2066</v>
      </c>
      <c r="L156" s="211">
        <v>270</v>
      </c>
      <c r="M156" s="211">
        <v>390</v>
      </c>
      <c r="N156" s="211">
        <v>300</v>
      </c>
      <c r="O156" s="211">
        <f t="shared" si="41"/>
        <v>3026</v>
      </c>
      <c r="P156" s="211"/>
      <c r="Q156" s="211"/>
      <c r="R156" s="211"/>
      <c r="S156" s="211"/>
      <c r="T156" s="211">
        <f t="shared" si="47"/>
        <v>0</v>
      </c>
      <c r="U156" s="211">
        <f t="shared" si="42"/>
        <v>2066</v>
      </c>
      <c r="V156" s="211">
        <f t="shared" si="43"/>
        <v>270</v>
      </c>
      <c r="W156" s="211">
        <f t="shared" si="44"/>
        <v>390</v>
      </c>
      <c r="X156" s="211">
        <f t="shared" si="45"/>
        <v>300</v>
      </c>
      <c r="Y156" s="211">
        <f t="shared" si="48"/>
        <v>3026</v>
      </c>
      <c r="Z156" s="211">
        <f t="shared" si="49"/>
        <v>2066</v>
      </c>
      <c r="AA156" s="211">
        <f t="shared" si="50"/>
        <v>270</v>
      </c>
      <c r="AB156" s="211">
        <f t="shared" si="51"/>
        <v>390</v>
      </c>
      <c r="AC156" s="211">
        <f t="shared" si="52"/>
        <v>300</v>
      </c>
      <c r="AD156" s="211">
        <f t="shared" si="53"/>
        <v>3026</v>
      </c>
      <c r="AE156" s="76" t="s">
        <v>518</v>
      </c>
      <c r="AF156" s="76" t="s">
        <v>24</v>
      </c>
      <c r="AG156" s="298"/>
      <c r="AH156" s="298">
        <v>517</v>
      </c>
      <c r="AI156" s="298">
        <v>517</v>
      </c>
      <c r="AJ156" s="298">
        <v>516</v>
      </c>
      <c r="AK156" s="298">
        <v>516</v>
      </c>
      <c r="AL156" s="298"/>
      <c r="AM156" s="298"/>
      <c r="AN156" s="298"/>
      <c r="AO156" s="255"/>
      <c r="AP156" s="255"/>
      <c r="AQ156" s="255"/>
      <c r="AR156" s="255"/>
      <c r="AS156" s="76">
        <f t="shared" si="46"/>
        <v>2066</v>
      </c>
      <c r="AT156" s="76" t="s">
        <v>518</v>
      </c>
      <c r="AU156" s="76" t="s">
        <v>24</v>
      </c>
      <c r="AV156" s="76"/>
      <c r="AW156" s="76"/>
      <c r="AX156" s="76"/>
      <c r="AY156" s="76"/>
      <c r="AZ156" s="76">
        <v>100</v>
      </c>
      <c r="BA156" s="76">
        <v>170</v>
      </c>
      <c r="BB156" s="76"/>
      <c r="BC156" s="76"/>
      <c r="BD156" s="76"/>
      <c r="BE156" s="76"/>
      <c r="BF156" s="76"/>
      <c r="BG156" s="76"/>
      <c r="BH156" s="76">
        <f t="shared" si="54"/>
        <v>270</v>
      </c>
      <c r="BI156" s="76" t="s">
        <v>518</v>
      </c>
      <c r="BJ156" s="76" t="s">
        <v>24</v>
      </c>
      <c r="BK156" s="76"/>
      <c r="BL156" s="76"/>
      <c r="BM156" s="76"/>
      <c r="BN156" s="76"/>
      <c r="BO156" s="76">
        <v>190</v>
      </c>
      <c r="BP156" s="76">
        <v>200</v>
      </c>
      <c r="BQ156" s="76"/>
      <c r="BR156" s="76"/>
      <c r="BS156" s="76"/>
      <c r="BT156" s="76"/>
      <c r="BU156" s="76"/>
      <c r="BV156" s="76"/>
      <c r="BW156" s="76">
        <f t="shared" si="55"/>
        <v>390</v>
      </c>
      <c r="BX156" s="76" t="s">
        <v>518</v>
      </c>
      <c r="BY156" s="76" t="s">
        <v>24</v>
      </c>
      <c r="BZ156" s="76"/>
      <c r="CA156" s="76"/>
      <c r="CB156" s="76"/>
      <c r="CC156" s="76"/>
      <c r="CD156" s="76"/>
      <c r="CE156" s="76"/>
      <c r="CF156" s="76">
        <v>300</v>
      </c>
      <c r="CG156" s="76"/>
      <c r="CH156" s="76"/>
      <c r="CI156" s="76"/>
      <c r="CJ156" s="76"/>
      <c r="CK156" s="76"/>
      <c r="CL156" s="76">
        <f t="shared" si="56"/>
        <v>300</v>
      </c>
      <c r="CM156" s="211">
        <f t="shared" si="57"/>
        <v>0</v>
      </c>
      <c r="CN156" s="211">
        <f t="shared" si="58"/>
        <v>0</v>
      </c>
      <c r="CO156" s="211">
        <f t="shared" si="59"/>
        <v>0</v>
      </c>
      <c r="CP156" s="211">
        <f t="shared" si="60"/>
        <v>0</v>
      </c>
    </row>
    <row r="157" spans="1:94 16381:16382" s="6" customFormat="1" ht="24.6" customHeight="1" x14ac:dyDescent="0.3">
      <c r="A157" s="78">
        <v>155</v>
      </c>
      <c r="B157" s="76" t="s">
        <v>351</v>
      </c>
      <c r="C157" s="76" t="s">
        <v>24</v>
      </c>
      <c r="D157" s="76">
        <v>1</v>
      </c>
      <c r="E157" s="76" t="s">
        <v>348</v>
      </c>
      <c r="F157" s="76"/>
      <c r="G157" s="76" t="s">
        <v>176</v>
      </c>
      <c r="H157" s="215"/>
      <c r="I157" s="215"/>
      <c r="J157" s="255"/>
      <c r="K157" s="211">
        <v>510</v>
      </c>
      <c r="L157" s="211">
        <v>40</v>
      </c>
      <c r="M157" s="211"/>
      <c r="N157" s="211">
        <v>60</v>
      </c>
      <c r="O157" s="211">
        <f t="shared" si="41"/>
        <v>610</v>
      </c>
      <c r="P157" s="211"/>
      <c r="Q157" s="211"/>
      <c r="R157" s="211"/>
      <c r="S157" s="211"/>
      <c r="T157" s="211">
        <f t="shared" si="47"/>
        <v>0</v>
      </c>
      <c r="U157" s="211">
        <f t="shared" si="42"/>
        <v>510</v>
      </c>
      <c r="V157" s="211">
        <f t="shared" si="43"/>
        <v>40</v>
      </c>
      <c r="W157" s="211">
        <f t="shared" si="44"/>
        <v>0</v>
      </c>
      <c r="X157" s="211">
        <f t="shared" si="45"/>
        <v>60</v>
      </c>
      <c r="Y157" s="211">
        <f t="shared" si="48"/>
        <v>610</v>
      </c>
      <c r="Z157" s="211">
        <f t="shared" si="49"/>
        <v>510</v>
      </c>
      <c r="AA157" s="211">
        <f t="shared" si="50"/>
        <v>40</v>
      </c>
      <c r="AB157" s="211">
        <f t="shared" si="51"/>
        <v>0</v>
      </c>
      <c r="AC157" s="211">
        <f t="shared" si="52"/>
        <v>60</v>
      </c>
      <c r="AD157" s="211">
        <f t="shared" si="53"/>
        <v>610</v>
      </c>
      <c r="AE157" s="76" t="s">
        <v>518</v>
      </c>
      <c r="AF157" s="76" t="s">
        <v>24</v>
      </c>
      <c r="AG157" s="298"/>
      <c r="AH157" s="298">
        <v>128</v>
      </c>
      <c r="AI157" s="298">
        <v>128</v>
      </c>
      <c r="AJ157" s="298">
        <v>127</v>
      </c>
      <c r="AK157" s="298">
        <v>127</v>
      </c>
      <c r="AL157" s="298"/>
      <c r="AM157" s="298"/>
      <c r="AN157" s="298"/>
      <c r="AO157" s="255"/>
      <c r="AP157" s="255"/>
      <c r="AQ157" s="255"/>
      <c r="AR157" s="255"/>
      <c r="AS157" s="76">
        <f t="shared" si="46"/>
        <v>510</v>
      </c>
      <c r="AT157" s="76" t="s">
        <v>518</v>
      </c>
      <c r="AU157" s="76" t="s">
        <v>24</v>
      </c>
      <c r="AV157" s="76"/>
      <c r="AW157" s="76"/>
      <c r="AX157" s="76"/>
      <c r="AY157" s="76"/>
      <c r="AZ157" s="76">
        <v>20</v>
      </c>
      <c r="BA157" s="76">
        <v>20</v>
      </c>
      <c r="BB157" s="76"/>
      <c r="BC157" s="76"/>
      <c r="BD157" s="76"/>
      <c r="BE157" s="76"/>
      <c r="BF157" s="76"/>
      <c r="BG157" s="76"/>
      <c r="BH157" s="76">
        <f t="shared" si="54"/>
        <v>40</v>
      </c>
      <c r="BI157" s="76" t="s">
        <v>518</v>
      </c>
      <c r="BJ157" s="76" t="s">
        <v>24</v>
      </c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>
        <f t="shared" si="55"/>
        <v>0</v>
      </c>
      <c r="BX157" s="76" t="s">
        <v>518</v>
      </c>
      <c r="BY157" s="76" t="s">
        <v>24</v>
      </c>
      <c r="BZ157" s="76"/>
      <c r="CA157" s="76"/>
      <c r="CB157" s="76"/>
      <c r="CC157" s="76"/>
      <c r="CD157" s="76"/>
      <c r="CE157" s="76"/>
      <c r="CF157" s="76">
        <v>60</v>
      </c>
      <c r="CG157" s="76"/>
      <c r="CH157" s="76"/>
      <c r="CI157" s="76"/>
      <c r="CJ157" s="76"/>
      <c r="CK157" s="76"/>
      <c r="CL157" s="76">
        <f t="shared" si="56"/>
        <v>60</v>
      </c>
      <c r="CM157" s="211">
        <f t="shared" si="57"/>
        <v>0</v>
      </c>
      <c r="CN157" s="211">
        <f t="shared" si="58"/>
        <v>0</v>
      </c>
      <c r="CO157" s="211">
        <f t="shared" si="59"/>
        <v>0</v>
      </c>
      <c r="CP157" s="211">
        <f t="shared" si="60"/>
        <v>0</v>
      </c>
    </row>
    <row r="158" spans="1:94 16381:16382" s="6" customFormat="1" ht="24.6" customHeight="1" x14ac:dyDescent="0.3">
      <c r="A158" s="4">
        <v>156</v>
      </c>
      <c r="B158" s="76" t="s">
        <v>352</v>
      </c>
      <c r="C158" s="76" t="s">
        <v>24</v>
      </c>
      <c r="D158" s="76">
        <v>1</v>
      </c>
      <c r="E158" s="76" t="s">
        <v>349</v>
      </c>
      <c r="F158" s="76"/>
      <c r="G158" s="76" t="s">
        <v>176</v>
      </c>
      <c r="H158" s="215"/>
      <c r="I158" s="215"/>
      <c r="J158" s="255"/>
      <c r="K158" s="211"/>
      <c r="L158" s="211"/>
      <c r="M158" s="211"/>
      <c r="N158" s="211">
        <v>50</v>
      </c>
      <c r="O158" s="211">
        <f t="shared" si="41"/>
        <v>50</v>
      </c>
      <c r="P158" s="211"/>
      <c r="Q158" s="211"/>
      <c r="R158" s="211"/>
      <c r="S158" s="211"/>
      <c r="T158" s="211">
        <f t="shared" si="47"/>
        <v>0</v>
      </c>
      <c r="U158" s="211">
        <f t="shared" si="42"/>
        <v>0</v>
      </c>
      <c r="V158" s="211">
        <f t="shared" si="43"/>
        <v>0</v>
      </c>
      <c r="W158" s="211">
        <f t="shared" si="44"/>
        <v>0</v>
      </c>
      <c r="X158" s="211">
        <f t="shared" si="45"/>
        <v>50</v>
      </c>
      <c r="Y158" s="211">
        <f t="shared" si="48"/>
        <v>50</v>
      </c>
      <c r="Z158" s="211">
        <f t="shared" si="49"/>
        <v>0</v>
      </c>
      <c r="AA158" s="211">
        <f t="shared" si="50"/>
        <v>0</v>
      </c>
      <c r="AB158" s="211">
        <f t="shared" si="51"/>
        <v>0</v>
      </c>
      <c r="AC158" s="211">
        <f t="shared" si="52"/>
        <v>50</v>
      </c>
      <c r="AD158" s="211">
        <f t="shared" si="53"/>
        <v>50</v>
      </c>
      <c r="AE158" s="76" t="s">
        <v>518</v>
      </c>
      <c r="AF158" s="76" t="s">
        <v>24</v>
      </c>
      <c r="AG158" s="298"/>
      <c r="AH158" s="298"/>
      <c r="AI158" s="298"/>
      <c r="AJ158" s="298"/>
      <c r="AK158" s="298"/>
      <c r="AL158" s="298"/>
      <c r="AM158" s="298"/>
      <c r="AN158" s="298"/>
      <c r="AO158" s="255"/>
      <c r="AP158" s="255"/>
      <c r="AQ158" s="255"/>
      <c r="AR158" s="255"/>
      <c r="AS158" s="76">
        <f t="shared" si="46"/>
        <v>0</v>
      </c>
      <c r="AT158" s="76" t="s">
        <v>518</v>
      </c>
      <c r="AU158" s="76" t="s">
        <v>24</v>
      </c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>
        <f t="shared" si="54"/>
        <v>0</v>
      </c>
      <c r="BI158" s="76" t="s">
        <v>518</v>
      </c>
      <c r="BJ158" s="76" t="s">
        <v>24</v>
      </c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>
        <f t="shared" si="55"/>
        <v>0</v>
      </c>
      <c r="BX158" s="76" t="s">
        <v>518</v>
      </c>
      <c r="BY158" s="76" t="s">
        <v>24</v>
      </c>
      <c r="BZ158" s="76"/>
      <c r="CA158" s="76"/>
      <c r="CB158" s="76"/>
      <c r="CC158" s="76"/>
      <c r="CD158" s="76"/>
      <c r="CE158" s="76"/>
      <c r="CF158" s="76">
        <v>50</v>
      </c>
      <c r="CG158" s="76"/>
      <c r="CH158" s="76"/>
      <c r="CI158" s="76"/>
      <c r="CJ158" s="76"/>
      <c r="CK158" s="76"/>
      <c r="CL158" s="76">
        <f t="shared" si="56"/>
        <v>50</v>
      </c>
      <c r="CM158" s="211">
        <f t="shared" si="57"/>
        <v>0</v>
      </c>
      <c r="CN158" s="211">
        <f t="shared" si="58"/>
        <v>0</v>
      </c>
      <c r="CO158" s="211">
        <f t="shared" si="59"/>
        <v>0</v>
      </c>
      <c r="CP158" s="211">
        <f t="shared" si="60"/>
        <v>0</v>
      </c>
    </row>
    <row r="159" spans="1:94 16381:16382" s="6" customFormat="1" ht="24.6" customHeight="1" x14ac:dyDescent="0.3">
      <c r="A159" s="78">
        <v>157</v>
      </c>
      <c r="B159" s="76">
        <v>29619</v>
      </c>
      <c r="C159" s="76" t="s">
        <v>166</v>
      </c>
      <c r="D159" s="76">
        <v>1</v>
      </c>
      <c r="E159" s="76" t="s">
        <v>354</v>
      </c>
      <c r="F159" s="76"/>
      <c r="G159" s="76" t="s">
        <v>178</v>
      </c>
      <c r="H159" s="215">
        <v>46098</v>
      </c>
      <c r="I159" s="215">
        <v>46234</v>
      </c>
      <c r="J159" s="255"/>
      <c r="K159" s="211"/>
      <c r="L159" s="211">
        <v>20</v>
      </c>
      <c r="M159" s="211"/>
      <c r="N159" s="211">
        <v>200</v>
      </c>
      <c r="O159" s="211">
        <f t="shared" si="41"/>
        <v>220</v>
      </c>
      <c r="P159" s="211"/>
      <c r="Q159" s="211"/>
      <c r="R159" s="211"/>
      <c r="S159" s="211">
        <v>97</v>
      </c>
      <c r="T159" s="211">
        <f t="shared" si="47"/>
        <v>97</v>
      </c>
      <c r="U159" s="211">
        <f t="shared" si="42"/>
        <v>0</v>
      </c>
      <c r="V159" s="211">
        <f t="shared" si="43"/>
        <v>20</v>
      </c>
      <c r="W159" s="211">
        <f t="shared" si="44"/>
        <v>0</v>
      </c>
      <c r="X159" s="211">
        <f t="shared" si="45"/>
        <v>103</v>
      </c>
      <c r="Y159" s="211">
        <f t="shared" si="48"/>
        <v>123</v>
      </c>
      <c r="Z159" s="211">
        <f t="shared" si="49"/>
        <v>0</v>
      </c>
      <c r="AA159" s="211">
        <f t="shared" si="50"/>
        <v>20</v>
      </c>
      <c r="AB159" s="211">
        <f t="shared" si="51"/>
        <v>0</v>
      </c>
      <c r="AC159" s="211">
        <f t="shared" si="52"/>
        <v>103</v>
      </c>
      <c r="AD159" s="211">
        <f t="shared" si="53"/>
        <v>123</v>
      </c>
      <c r="AE159" s="76" t="s">
        <v>518</v>
      </c>
      <c r="AF159" s="76" t="s">
        <v>23</v>
      </c>
      <c r="AG159" s="298"/>
      <c r="AH159" s="298"/>
      <c r="AI159" s="298"/>
      <c r="AJ159" s="298"/>
      <c r="AK159" s="298"/>
      <c r="AL159" s="298"/>
      <c r="AM159" s="298"/>
      <c r="AN159" s="298"/>
      <c r="AO159" s="255"/>
      <c r="AP159" s="255"/>
      <c r="AQ159" s="255"/>
      <c r="AR159" s="255"/>
      <c r="AS159" s="76">
        <f t="shared" si="46"/>
        <v>0</v>
      </c>
      <c r="AT159" s="76" t="s">
        <v>518</v>
      </c>
      <c r="AU159" s="76" t="s">
        <v>23</v>
      </c>
      <c r="AV159" s="76">
        <v>20</v>
      </c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>
        <f t="shared" si="54"/>
        <v>20</v>
      </c>
      <c r="BI159" s="76" t="s">
        <v>518</v>
      </c>
      <c r="BJ159" s="76" t="s">
        <v>23</v>
      </c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>
        <f t="shared" si="55"/>
        <v>0</v>
      </c>
      <c r="BX159" s="76" t="s">
        <v>518</v>
      </c>
      <c r="BY159" s="76" t="s">
        <v>23</v>
      </c>
      <c r="BZ159" s="76">
        <v>103</v>
      </c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>
        <f t="shared" si="56"/>
        <v>103</v>
      </c>
      <c r="CM159" s="211">
        <f t="shared" si="57"/>
        <v>0</v>
      </c>
      <c r="CN159" s="211">
        <f t="shared" si="58"/>
        <v>0</v>
      </c>
      <c r="CO159" s="211">
        <f t="shared" si="59"/>
        <v>0</v>
      </c>
      <c r="CP159" s="211">
        <f t="shared" si="60"/>
        <v>0</v>
      </c>
    </row>
    <row r="160" spans="1:94 16381:16382" s="6" customFormat="1" ht="24.6" customHeight="1" x14ac:dyDescent="0.3">
      <c r="A160" s="4">
        <v>158</v>
      </c>
      <c r="B160" s="76">
        <v>26277</v>
      </c>
      <c r="C160" s="76" t="s">
        <v>166</v>
      </c>
      <c r="D160" s="76">
        <v>2</v>
      </c>
      <c r="E160" s="76" t="s">
        <v>356</v>
      </c>
      <c r="F160" s="76" t="s">
        <v>505</v>
      </c>
      <c r="G160" s="76" t="s">
        <v>178</v>
      </c>
      <c r="H160" s="215">
        <v>46099</v>
      </c>
      <c r="I160" s="215">
        <v>46244</v>
      </c>
      <c r="J160" s="255"/>
      <c r="K160" s="211"/>
      <c r="L160" s="211"/>
      <c r="M160" s="211"/>
      <c r="N160" s="211"/>
      <c r="O160" s="211">
        <f t="shared" si="41"/>
        <v>0</v>
      </c>
      <c r="P160" s="211"/>
      <c r="Q160" s="211"/>
      <c r="R160" s="211"/>
      <c r="S160" s="211">
        <v>0.5</v>
      </c>
      <c r="T160" s="211">
        <f t="shared" si="47"/>
        <v>0.5</v>
      </c>
      <c r="U160" s="211">
        <f t="shared" si="42"/>
        <v>0</v>
      </c>
      <c r="V160" s="211">
        <f t="shared" si="43"/>
        <v>0</v>
      </c>
      <c r="W160" s="211">
        <f t="shared" si="44"/>
        <v>0</v>
      </c>
      <c r="X160" s="211">
        <f t="shared" si="45"/>
        <v>-0.5</v>
      </c>
      <c r="Y160" s="211">
        <f t="shared" si="48"/>
        <v>-0.5</v>
      </c>
      <c r="Z160" s="211">
        <f t="shared" si="49"/>
        <v>0</v>
      </c>
      <c r="AA160" s="211">
        <f t="shared" si="50"/>
        <v>0</v>
      </c>
      <c r="AB160" s="211">
        <f t="shared" si="51"/>
        <v>0</v>
      </c>
      <c r="AC160" s="211">
        <f t="shared" si="52"/>
        <v>0</v>
      </c>
      <c r="AD160" s="211">
        <f t="shared" si="53"/>
        <v>0</v>
      </c>
      <c r="AE160" s="76" t="s">
        <v>518</v>
      </c>
      <c r="AF160" s="76" t="s">
        <v>23</v>
      </c>
      <c r="AG160" s="298"/>
      <c r="AH160" s="298"/>
      <c r="AI160" s="298"/>
      <c r="AJ160" s="298"/>
      <c r="AK160" s="298"/>
      <c r="AL160" s="298"/>
      <c r="AM160" s="298"/>
      <c r="AN160" s="298"/>
      <c r="AO160" s="255"/>
      <c r="AP160" s="255"/>
      <c r="AQ160" s="255"/>
      <c r="AR160" s="255"/>
      <c r="AS160" s="76">
        <f t="shared" si="46"/>
        <v>0</v>
      </c>
      <c r="AT160" s="76" t="s">
        <v>518</v>
      </c>
      <c r="AU160" s="76" t="s">
        <v>23</v>
      </c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>
        <f t="shared" si="54"/>
        <v>0</v>
      </c>
      <c r="BI160" s="76" t="s">
        <v>518</v>
      </c>
      <c r="BJ160" s="76" t="s">
        <v>23</v>
      </c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>
        <f t="shared" si="55"/>
        <v>0</v>
      </c>
      <c r="BX160" s="76" t="s">
        <v>518</v>
      </c>
      <c r="BY160" s="76" t="s">
        <v>23</v>
      </c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>
        <f t="shared" si="56"/>
        <v>0</v>
      </c>
      <c r="CM160" s="211">
        <f t="shared" si="57"/>
        <v>0</v>
      </c>
      <c r="CN160" s="211">
        <f t="shared" si="58"/>
        <v>0</v>
      </c>
      <c r="CO160" s="211">
        <f t="shared" si="59"/>
        <v>0</v>
      </c>
      <c r="CP160" s="211">
        <f t="shared" si="60"/>
        <v>-0.5</v>
      </c>
    </row>
    <row r="161" spans="1:94" s="6" customFormat="1" ht="24.6" customHeight="1" x14ac:dyDescent="0.3">
      <c r="A161" s="78">
        <v>159</v>
      </c>
      <c r="B161" s="76">
        <v>30513</v>
      </c>
      <c r="C161" s="76" t="s">
        <v>166</v>
      </c>
      <c r="D161" s="76">
        <v>2</v>
      </c>
      <c r="E161" s="76" t="s">
        <v>355</v>
      </c>
      <c r="F161" s="76"/>
      <c r="G161" s="76" t="s">
        <v>178</v>
      </c>
      <c r="H161" s="215">
        <v>46100</v>
      </c>
      <c r="I161" s="215">
        <v>46315</v>
      </c>
      <c r="J161" s="255">
        <v>5278</v>
      </c>
      <c r="K161" s="211">
        <v>568</v>
      </c>
      <c r="L161" s="211">
        <v>8</v>
      </c>
      <c r="M161" s="211"/>
      <c r="N161" s="211"/>
      <c r="O161" s="211">
        <f t="shared" si="41"/>
        <v>576</v>
      </c>
      <c r="P161" s="211"/>
      <c r="Q161" s="211"/>
      <c r="R161" s="211"/>
      <c r="S161" s="211"/>
      <c r="T161" s="211">
        <f t="shared" si="47"/>
        <v>0</v>
      </c>
      <c r="U161" s="211">
        <f t="shared" si="42"/>
        <v>568</v>
      </c>
      <c r="V161" s="211">
        <f t="shared" si="43"/>
        <v>8</v>
      </c>
      <c r="W161" s="211">
        <f t="shared" si="44"/>
        <v>0</v>
      </c>
      <c r="X161" s="211">
        <f t="shared" si="45"/>
        <v>0</v>
      </c>
      <c r="Y161" s="211">
        <f t="shared" si="48"/>
        <v>576</v>
      </c>
      <c r="Z161" s="211">
        <f t="shared" si="49"/>
        <v>568</v>
      </c>
      <c r="AA161" s="211">
        <f t="shared" si="50"/>
        <v>8</v>
      </c>
      <c r="AB161" s="211">
        <f t="shared" si="51"/>
        <v>0</v>
      </c>
      <c r="AC161" s="211">
        <f t="shared" si="52"/>
        <v>0</v>
      </c>
      <c r="AD161" s="211">
        <f t="shared" si="53"/>
        <v>576</v>
      </c>
      <c r="AE161" s="76" t="s">
        <v>518</v>
      </c>
      <c r="AF161" s="76" t="s">
        <v>23</v>
      </c>
      <c r="AG161" s="298"/>
      <c r="AH161" s="298"/>
      <c r="AI161" s="298">
        <v>284</v>
      </c>
      <c r="AJ161" s="298">
        <v>284</v>
      </c>
      <c r="AK161" s="298"/>
      <c r="AL161" s="298"/>
      <c r="AM161" s="298"/>
      <c r="AN161" s="298"/>
      <c r="AO161" s="255"/>
      <c r="AP161" s="255"/>
      <c r="AQ161" s="255"/>
      <c r="AR161" s="255"/>
      <c r="AS161" s="76">
        <f t="shared" si="46"/>
        <v>568</v>
      </c>
      <c r="AT161" s="76" t="s">
        <v>518</v>
      </c>
      <c r="AU161" s="76" t="s">
        <v>23</v>
      </c>
      <c r="AV161" s="76"/>
      <c r="AW161" s="76"/>
      <c r="AX161" s="76"/>
      <c r="AY161" s="76"/>
      <c r="AZ161" s="76">
        <v>8</v>
      </c>
      <c r="BA161" s="76"/>
      <c r="BB161" s="76"/>
      <c r="BC161" s="76"/>
      <c r="BD161" s="76"/>
      <c r="BE161" s="76"/>
      <c r="BF161" s="76"/>
      <c r="BG161" s="76"/>
      <c r="BH161" s="76">
        <f t="shared" si="54"/>
        <v>8</v>
      </c>
      <c r="BI161" s="76" t="s">
        <v>518</v>
      </c>
      <c r="BJ161" s="76" t="s">
        <v>23</v>
      </c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>
        <f t="shared" si="55"/>
        <v>0</v>
      </c>
      <c r="BX161" s="76" t="s">
        <v>518</v>
      </c>
      <c r="BY161" s="76" t="s">
        <v>23</v>
      </c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>
        <f t="shared" si="56"/>
        <v>0</v>
      </c>
      <c r="CM161" s="211">
        <f t="shared" si="57"/>
        <v>0</v>
      </c>
      <c r="CN161" s="211">
        <f t="shared" si="58"/>
        <v>0</v>
      </c>
      <c r="CO161" s="211">
        <f t="shared" si="59"/>
        <v>0</v>
      </c>
      <c r="CP161" s="211">
        <f t="shared" si="60"/>
        <v>0</v>
      </c>
    </row>
    <row r="162" spans="1:94" s="6" customFormat="1" ht="24" customHeight="1" x14ac:dyDescent="0.3">
      <c r="A162" s="4">
        <v>160</v>
      </c>
      <c r="B162" s="76">
        <v>30585</v>
      </c>
      <c r="C162" s="76" t="s">
        <v>166</v>
      </c>
      <c r="D162" s="76">
        <v>9</v>
      </c>
      <c r="E162" s="76" t="s">
        <v>357</v>
      </c>
      <c r="F162" s="76"/>
      <c r="G162" s="76" t="s">
        <v>178</v>
      </c>
      <c r="H162" s="215">
        <v>46100</v>
      </c>
      <c r="I162" s="215">
        <v>46339</v>
      </c>
      <c r="J162" s="255"/>
      <c r="K162" s="211">
        <v>128</v>
      </c>
      <c r="L162" s="211"/>
      <c r="M162" s="211">
        <v>8</v>
      </c>
      <c r="N162" s="211">
        <v>100</v>
      </c>
      <c r="O162" s="211">
        <f t="shared" si="41"/>
        <v>236</v>
      </c>
      <c r="P162" s="211"/>
      <c r="Q162" s="211"/>
      <c r="R162" s="211"/>
      <c r="S162" s="211"/>
      <c r="T162" s="211">
        <f t="shared" si="47"/>
        <v>0</v>
      </c>
      <c r="U162" s="211">
        <f t="shared" si="42"/>
        <v>128</v>
      </c>
      <c r="V162" s="211">
        <f t="shared" si="43"/>
        <v>0</v>
      </c>
      <c r="W162" s="211">
        <f t="shared" si="44"/>
        <v>8</v>
      </c>
      <c r="X162" s="211">
        <f t="shared" si="45"/>
        <v>100</v>
      </c>
      <c r="Y162" s="211">
        <f t="shared" si="48"/>
        <v>236</v>
      </c>
      <c r="Z162" s="211">
        <f t="shared" si="49"/>
        <v>128</v>
      </c>
      <c r="AA162" s="211">
        <f t="shared" si="50"/>
        <v>0</v>
      </c>
      <c r="AB162" s="211">
        <f t="shared" si="51"/>
        <v>8</v>
      </c>
      <c r="AC162" s="211">
        <f t="shared" si="52"/>
        <v>100</v>
      </c>
      <c r="AD162" s="211">
        <f t="shared" si="53"/>
        <v>236</v>
      </c>
      <c r="AE162" s="76" t="s">
        <v>518</v>
      </c>
      <c r="AF162" s="76" t="s">
        <v>23</v>
      </c>
      <c r="AG162" s="298"/>
      <c r="AH162" s="298"/>
      <c r="AI162" s="298">
        <v>128</v>
      </c>
      <c r="AJ162" s="298"/>
      <c r="AK162" s="298"/>
      <c r="AL162" s="298"/>
      <c r="AM162" s="298"/>
      <c r="AN162" s="298"/>
      <c r="AO162" s="255"/>
      <c r="AP162" s="255"/>
      <c r="AQ162" s="255"/>
      <c r="AR162" s="255"/>
      <c r="AS162" s="76">
        <f t="shared" si="46"/>
        <v>128</v>
      </c>
      <c r="AT162" s="76" t="s">
        <v>518</v>
      </c>
      <c r="AU162" s="76" t="s">
        <v>23</v>
      </c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>
        <f t="shared" si="54"/>
        <v>0</v>
      </c>
      <c r="BI162" s="76" t="s">
        <v>518</v>
      </c>
      <c r="BJ162" s="76" t="s">
        <v>23</v>
      </c>
      <c r="BK162" s="76"/>
      <c r="BL162" s="76"/>
      <c r="BM162" s="76"/>
      <c r="BN162" s="76">
        <v>8</v>
      </c>
      <c r="BO162" s="76"/>
      <c r="BP162" s="76"/>
      <c r="BQ162" s="76"/>
      <c r="BR162" s="76"/>
      <c r="BS162" s="76"/>
      <c r="BT162" s="76"/>
      <c r="BU162" s="76"/>
      <c r="BV162" s="76"/>
      <c r="BW162" s="76">
        <f t="shared" si="55"/>
        <v>8</v>
      </c>
      <c r="BX162" s="76" t="s">
        <v>518</v>
      </c>
      <c r="BY162" s="76" t="s">
        <v>23</v>
      </c>
      <c r="BZ162" s="76"/>
      <c r="CA162" s="76"/>
      <c r="CB162" s="76"/>
      <c r="CC162" s="76"/>
      <c r="CD162" s="76"/>
      <c r="CE162" s="76">
        <v>100</v>
      </c>
      <c r="CF162" s="76"/>
      <c r="CG162" s="76"/>
      <c r="CH162" s="76"/>
      <c r="CI162" s="76"/>
      <c r="CJ162" s="76"/>
      <c r="CK162" s="76"/>
      <c r="CL162" s="76">
        <f t="shared" si="56"/>
        <v>100</v>
      </c>
      <c r="CM162" s="211">
        <f t="shared" si="57"/>
        <v>0</v>
      </c>
      <c r="CN162" s="211">
        <f t="shared" si="58"/>
        <v>0</v>
      </c>
      <c r="CO162" s="211">
        <f t="shared" si="59"/>
        <v>0</v>
      </c>
      <c r="CP162" s="211">
        <f t="shared" si="60"/>
        <v>0</v>
      </c>
    </row>
    <row r="163" spans="1:94" s="6" customFormat="1" ht="24.6" customHeight="1" x14ac:dyDescent="0.3">
      <c r="A163" s="78">
        <v>161</v>
      </c>
      <c r="B163" s="76">
        <v>29536</v>
      </c>
      <c r="C163" s="76" t="s">
        <v>166</v>
      </c>
      <c r="D163" s="76">
        <v>12</v>
      </c>
      <c r="E163" s="76" t="s">
        <v>358</v>
      </c>
      <c r="F163" s="76"/>
      <c r="G163" s="76" t="s">
        <v>279</v>
      </c>
      <c r="H163" s="215">
        <v>46100</v>
      </c>
      <c r="I163" s="215">
        <v>46386</v>
      </c>
      <c r="J163" s="255"/>
      <c r="K163" s="211"/>
      <c r="L163" s="211"/>
      <c r="M163" s="211"/>
      <c r="N163" s="211">
        <v>150</v>
      </c>
      <c r="O163" s="211">
        <f t="shared" si="41"/>
        <v>150</v>
      </c>
      <c r="P163" s="211"/>
      <c r="Q163" s="211"/>
      <c r="R163" s="211"/>
      <c r="S163" s="211"/>
      <c r="T163" s="211">
        <f t="shared" si="47"/>
        <v>0</v>
      </c>
      <c r="U163" s="211">
        <f t="shared" si="42"/>
        <v>0</v>
      </c>
      <c r="V163" s="211">
        <f t="shared" si="43"/>
        <v>0</v>
      </c>
      <c r="W163" s="211">
        <f t="shared" si="44"/>
        <v>0</v>
      </c>
      <c r="X163" s="211">
        <f t="shared" si="45"/>
        <v>150</v>
      </c>
      <c r="Y163" s="211">
        <f t="shared" si="48"/>
        <v>150</v>
      </c>
      <c r="Z163" s="211">
        <f t="shared" si="49"/>
        <v>0</v>
      </c>
      <c r="AA163" s="211">
        <f t="shared" si="50"/>
        <v>0</v>
      </c>
      <c r="AB163" s="211">
        <f t="shared" si="51"/>
        <v>0</v>
      </c>
      <c r="AC163" s="211">
        <f t="shared" si="52"/>
        <v>150</v>
      </c>
      <c r="AD163" s="211">
        <f t="shared" si="53"/>
        <v>150</v>
      </c>
      <c r="AE163" s="76" t="s">
        <v>518</v>
      </c>
      <c r="AF163" s="76" t="s">
        <v>23</v>
      </c>
      <c r="AG163" s="298"/>
      <c r="AH163" s="298"/>
      <c r="AI163" s="298"/>
      <c r="AJ163" s="298"/>
      <c r="AK163" s="298"/>
      <c r="AL163" s="298"/>
      <c r="AM163" s="298"/>
      <c r="AN163" s="298"/>
      <c r="AO163" s="255"/>
      <c r="AP163" s="255"/>
      <c r="AQ163" s="255"/>
      <c r="AR163" s="255"/>
      <c r="AS163" s="76">
        <f t="shared" si="46"/>
        <v>0</v>
      </c>
      <c r="AT163" s="76" t="s">
        <v>518</v>
      </c>
      <c r="AU163" s="76" t="s">
        <v>23</v>
      </c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>
        <f t="shared" si="54"/>
        <v>0</v>
      </c>
      <c r="BI163" s="76" t="s">
        <v>518</v>
      </c>
      <c r="BJ163" s="76" t="s">
        <v>23</v>
      </c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>
        <f t="shared" si="55"/>
        <v>0</v>
      </c>
      <c r="BX163" s="76" t="s">
        <v>518</v>
      </c>
      <c r="BY163" s="76" t="s">
        <v>23</v>
      </c>
      <c r="BZ163" s="76"/>
      <c r="CA163" s="76"/>
      <c r="CB163" s="76"/>
      <c r="CC163" s="76"/>
      <c r="CD163" s="76"/>
      <c r="CE163" s="76">
        <v>150</v>
      </c>
      <c r="CF163" s="76"/>
      <c r="CG163" s="76"/>
      <c r="CH163" s="76"/>
      <c r="CI163" s="76"/>
      <c r="CJ163" s="76"/>
      <c r="CK163" s="76"/>
      <c r="CL163" s="76">
        <f t="shared" si="56"/>
        <v>150</v>
      </c>
      <c r="CM163" s="211">
        <f t="shared" si="57"/>
        <v>0</v>
      </c>
      <c r="CN163" s="211">
        <f t="shared" si="58"/>
        <v>0</v>
      </c>
      <c r="CO163" s="211">
        <f t="shared" si="59"/>
        <v>0</v>
      </c>
      <c r="CP163" s="211">
        <f t="shared" si="60"/>
        <v>0</v>
      </c>
    </row>
    <row r="164" spans="1:94" s="6" customFormat="1" ht="24.6" customHeight="1" x14ac:dyDescent="0.3">
      <c r="A164" s="4">
        <v>162</v>
      </c>
      <c r="B164" s="76">
        <v>30721</v>
      </c>
      <c r="C164" s="76" t="s">
        <v>166</v>
      </c>
      <c r="D164" s="76"/>
      <c r="E164" s="76" t="s">
        <v>359</v>
      </c>
      <c r="F164" s="76" t="s">
        <v>353</v>
      </c>
      <c r="G164" s="76" t="s">
        <v>156</v>
      </c>
      <c r="H164" s="215">
        <v>46101</v>
      </c>
      <c r="I164" s="215">
        <v>46132</v>
      </c>
      <c r="J164" s="255"/>
      <c r="K164" s="211"/>
      <c r="L164" s="211"/>
      <c r="M164" s="211"/>
      <c r="N164" s="211"/>
      <c r="O164" s="211">
        <f t="shared" si="41"/>
        <v>0</v>
      </c>
      <c r="P164" s="211"/>
      <c r="Q164" s="211"/>
      <c r="R164" s="211"/>
      <c r="S164" s="211"/>
      <c r="T164" s="211">
        <f t="shared" si="47"/>
        <v>0</v>
      </c>
      <c r="U164" s="211">
        <f t="shared" si="42"/>
        <v>0</v>
      </c>
      <c r="V164" s="211">
        <f t="shared" si="43"/>
        <v>0</v>
      </c>
      <c r="W164" s="211">
        <f t="shared" si="44"/>
        <v>0</v>
      </c>
      <c r="X164" s="211">
        <f t="shared" si="45"/>
        <v>0</v>
      </c>
      <c r="Y164" s="211">
        <f t="shared" si="48"/>
        <v>0</v>
      </c>
      <c r="Z164" s="211">
        <f t="shared" si="49"/>
        <v>0</v>
      </c>
      <c r="AA164" s="211">
        <f t="shared" si="50"/>
        <v>0</v>
      </c>
      <c r="AB164" s="211">
        <f t="shared" si="51"/>
        <v>0</v>
      </c>
      <c r="AC164" s="211">
        <f t="shared" si="52"/>
        <v>0</v>
      </c>
      <c r="AD164" s="211">
        <f t="shared" si="53"/>
        <v>0</v>
      </c>
      <c r="AE164" s="76" t="s">
        <v>518</v>
      </c>
      <c r="AF164" s="76" t="s">
        <v>22</v>
      </c>
      <c r="AG164" s="298"/>
      <c r="AH164" s="298"/>
      <c r="AI164" s="298"/>
      <c r="AJ164" s="298"/>
      <c r="AK164" s="298"/>
      <c r="AL164" s="298"/>
      <c r="AM164" s="298"/>
      <c r="AN164" s="298"/>
      <c r="AO164" s="255"/>
      <c r="AP164" s="255"/>
      <c r="AQ164" s="255"/>
      <c r="AR164" s="255"/>
      <c r="AS164" s="76">
        <f t="shared" si="46"/>
        <v>0</v>
      </c>
      <c r="AT164" s="76" t="s">
        <v>518</v>
      </c>
      <c r="AU164" s="76" t="s">
        <v>22</v>
      </c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>
        <f t="shared" si="54"/>
        <v>0</v>
      </c>
      <c r="BI164" s="76" t="s">
        <v>518</v>
      </c>
      <c r="BJ164" s="76" t="s">
        <v>22</v>
      </c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>
        <f t="shared" si="55"/>
        <v>0</v>
      </c>
      <c r="BX164" s="76" t="s">
        <v>518</v>
      </c>
      <c r="BY164" s="76" t="s">
        <v>22</v>
      </c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>
        <f t="shared" si="56"/>
        <v>0</v>
      </c>
      <c r="CM164" s="211">
        <f t="shared" si="57"/>
        <v>0</v>
      </c>
      <c r="CN164" s="211">
        <f t="shared" si="58"/>
        <v>0</v>
      </c>
      <c r="CO164" s="211">
        <f t="shared" si="59"/>
        <v>0</v>
      </c>
      <c r="CP164" s="211">
        <f t="shared" si="60"/>
        <v>0</v>
      </c>
    </row>
    <row r="165" spans="1:94" s="6" customFormat="1" ht="24.6" customHeight="1" x14ac:dyDescent="0.3">
      <c r="A165" s="78">
        <v>163</v>
      </c>
      <c r="B165" s="76" t="s">
        <v>403</v>
      </c>
      <c r="C165" s="76" t="s">
        <v>24</v>
      </c>
      <c r="D165" s="76">
        <v>1</v>
      </c>
      <c r="E165" s="76" t="s">
        <v>411</v>
      </c>
      <c r="F165" s="76"/>
      <c r="G165" s="76" t="s">
        <v>189</v>
      </c>
      <c r="H165" s="215">
        <v>46101</v>
      </c>
      <c r="I165" s="215">
        <v>46447</v>
      </c>
      <c r="J165" s="255">
        <v>16000</v>
      </c>
      <c r="K165" s="230">
        <v>1000</v>
      </c>
      <c r="L165" s="211">
        <v>250</v>
      </c>
      <c r="M165" s="211"/>
      <c r="N165" s="231">
        <v>350</v>
      </c>
      <c r="O165" s="211">
        <f t="shared" si="41"/>
        <v>1600</v>
      </c>
      <c r="P165" s="211"/>
      <c r="Q165" s="211"/>
      <c r="R165" s="211"/>
      <c r="S165" s="211"/>
      <c r="T165" s="211">
        <f t="shared" si="47"/>
        <v>0</v>
      </c>
      <c r="U165" s="211">
        <f t="shared" si="42"/>
        <v>1000</v>
      </c>
      <c r="V165" s="211">
        <f t="shared" si="43"/>
        <v>250</v>
      </c>
      <c r="W165" s="211">
        <f t="shared" si="44"/>
        <v>0</v>
      </c>
      <c r="X165" s="211">
        <f t="shared" si="45"/>
        <v>350</v>
      </c>
      <c r="Y165" s="211">
        <f t="shared" si="48"/>
        <v>1600</v>
      </c>
      <c r="Z165" s="211">
        <f t="shared" si="49"/>
        <v>1000</v>
      </c>
      <c r="AA165" s="211">
        <f t="shared" si="50"/>
        <v>250</v>
      </c>
      <c r="AB165" s="211">
        <f t="shared" si="51"/>
        <v>0</v>
      </c>
      <c r="AC165" s="211">
        <f t="shared" si="52"/>
        <v>350</v>
      </c>
      <c r="AD165" s="211">
        <f t="shared" si="53"/>
        <v>1600</v>
      </c>
      <c r="AE165" s="76" t="s">
        <v>518</v>
      </c>
      <c r="AF165" s="76" t="s">
        <v>24</v>
      </c>
      <c r="AG165" s="298"/>
      <c r="AH165" s="298"/>
      <c r="AI165" s="298"/>
      <c r="AJ165" s="298"/>
      <c r="AK165" s="298"/>
      <c r="AL165" s="298">
        <v>300</v>
      </c>
      <c r="AM165" s="298">
        <v>300</v>
      </c>
      <c r="AN165" s="298">
        <v>300</v>
      </c>
      <c r="AO165" s="255">
        <v>100</v>
      </c>
      <c r="AP165" s="255"/>
      <c r="AQ165" s="255"/>
      <c r="AR165" s="255"/>
      <c r="AS165" s="76">
        <f t="shared" si="46"/>
        <v>1000</v>
      </c>
      <c r="AT165" s="76" t="s">
        <v>518</v>
      </c>
      <c r="AU165" s="76" t="s">
        <v>24</v>
      </c>
      <c r="AV165" s="76"/>
      <c r="AW165" s="76"/>
      <c r="AX165" s="76"/>
      <c r="AY165" s="76"/>
      <c r="AZ165" s="76"/>
      <c r="BA165" s="76"/>
      <c r="BB165" s="76"/>
      <c r="BC165" s="76">
        <v>100</v>
      </c>
      <c r="BD165" s="76">
        <v>150</v>
      </c>
      <c r="BE165" s="76"/>
      <c r="BF165" s="76"/>
      <c r="BG165" s="76"/>
      <c r="BH165" s="76">
        <f t="shared" si="54"/>
        <v>250</v>
      </c>
      <c r="BI165" s="76" t="s">
        <v>518</v>
      </c>
      <c r="BJ165" s="76" t="s">
        <v>24</v>
      </c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>
        <f t="shared" si="55"/>
        <v>0</v>
      </c>
      <c r="BX165" s="76" t="s">
        <v>518</v>
      </c>
      <c r="BY165" s="76" t="s">
        <v>24</v>
      </c>
      <c r="BZ165" s="76"/>
      <c r="CA165" s="76"/>
      <c r="CB165" s="76"/>
      <c r="CC165" s="76"/>
      <c r="CD165" s="76"/>
      <c r="CE165" s="76"/>
      <c r="CF165" s="76"/>
      <c r="CG165" s="76"/>
      <c r="CH165" s="76"/>
      <c r="CI165" s="76">
        <v>350</v>
      </c>
      <c r="CJ165" s="76"/>
      <c r="CK165" s="76"/>
      <c r="CL165" s="76">
        <f t="shared" si="56"/>
        <v>350</v>
      </c>
      <c r="CM165" s="211">
        <f t="shared" si="57"/>
        <v>0</v>
      </c>
      <c r="CN165" s="211">
        <f t="shared" si="58"/>
        <v>0</v>
      </c>
      <c r="CO165" s="211">
        <f t="shared" si="59"/>
        <v>0</v>
      </c>
      <c r="CP165" s="211">
        <f t="shared" si="60"/>
        <v>0</v>
      </c>
    </row>
    <row r="166" spans="1:94" s="6" customFormat="1" ht="24.6" customHeight="1" x14ac:dyDescent="0.3">
      <c r="A166" s="4">
        <v>164</v>
      </c>
      <c r="B166" s="76" t="s">
        <v>404</v>
      </c>
      <c r="C166" s="76" t="s">
        <v>24</v>
      </c>
      <c r="D166" s="76">
        <v>3</v>
      </c>
      <c r="E166" s="76" t="s">
        <v>412</v>
      </c>
      <c r="F166" s="76"/>
      <c r="G166" s="76" t="s">
        <v>189</v>
      </c>
      <c r="H166" s="215">
        <v>46101</v>
      </c>
      <c r="I166" s="215">
        <v>46416</v>
      </c>
      <c r="J166" s="255">
        <v>20000</v>
      </c>
      <c r="K166" s="230">
        <v>3000</v>
      </c>
      <c r="L166" s="211">
        <f>250*3</f>
        <v>750</v>
      </c>
      <c r="M166" s="211"/>
      <c r="N166" s="231">
        <v>720</v>
      </c>
      <c r="O166" s="211">
        <f t="shared" si="41"/>
        <v>4470</v>
      </c>
      <c r="P166" s="211"/>
      <c r="Q166" s="211"/>
      <c r="R166" s="211"/>
      <c r="S166" s="211"/>
      <c r="T166" s="211">
        <f t="shared" si="47"/>
        <v>0</v>
      </c>
      <c r="U166" s="211">
        <f t="shared" si="42"/>
        <v>3000</v>
      </c>
      <c r="V166" s="211">
        <f t="shared" si="43"/>
        <v>750</v>
      </c>
      <c r="W166" s="211">
        <f t="shared" si="44"/>
        <v>0</v>
      </c>
      <c r="X166" s="211">
        <f t="shared" si="45"/>
        <v>720</v>
      </c>
      <c r="Y166" s="211">
        <f t="shared" si="48"/>
        <v>4470</v>
      </c>
      <c r="Z166" s="211">
        <f t="shared" si="49"/>
        <v>3000</v>
      </c>
      <c r="AA166" s="211">
        <f t="shared" si="50"/>
        <v>750</v>
      </c>
      <c r="AB166" s="211">
        <f t="shared" si="51"/>
        <v>0</v>
      </c>
      <c r="AC166" s="211">
        <f t="shared" si="52"/>
        <v>720</v>
      </c>
      <c r="AD166" s="211">
        <f t="shared" si="53"/>
        <v>4470</v>
      </c>
      <c r="AE166" s="76" t="s">
        <v>518</v>
      </c>
      <c r="AF166" s="76" t="s">
        <v>24</v>
      </c>
      <c r="AG166" s="298"/>
      <c r="AH166" s="298"/>
      <c r="AI166" s="298">
        <v>600</v>
      </c>
      <c r="AJ166" s="298">
        <v>600</v>
      </c>
      <c r="AK166" s="298">
        <v>600</v>
      </c>
      <c r="AL166" s="298">
        <v>600</v>
      </c>
      <c r="AM166" s="298">
        <v>600</v>
      </c>
      <c r="AN166" s="298"/>
      <c r="AO166" s="255"/>
      <c r="AP166" s="255"/>
      <c r="AQ166" s="255"/>
      <c r="AR166" s="255"/>
      <c r="AS166" s="76">
        <f t="shared" si="46"/>
        <v>3000</v>
      </c>
      <c r="AT166" s="76" t="s">
        <v>518</v>
      </c>
      <c r="AU166" s="76" t="s">
        <v>24</v>
      </c>
      <c r="AV166" s="76"/>
      <c r="AW166" s="76"/>
      <c r="AX166" s="76"/>
      <c r="AY166" s="76"/>
      <c r="AZ166" s="76"/>
      <c r="BA166" s="76">
        <v>375</v>
      </c>
      <c r="BB166" s="76">
        <v>375</v>
      </c>
      <c r="BC166" s="76"/>
      <c r="BD166" s="76"/>
      <c r="BE166" s="76"/>
      <c r="BF166" s="76"/>
      <c r="BG166" s="76"/>
      <c r="BH166" s="76">
        <f t="shared" si="54"/>
        <v>750</v>
      </c>
      <c r="BI166" s="76" t="s">
        <v>518</v>
      </c>
      <c r="BJ166" s="76" t="s">
        <v>24</v>
      </c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>
        <f t="shared" si="55"/>
        <v>0</v>
      </c>
      <c r="BX166" s="76" t="s">
        <v>518</v>
      </c>
      <c r="BY166" s="76" t="s">
        <v>24</v>
      </c>
      <c r="BZ166" s="76"/>
      <c r="CA166" s="76"/>
      <c r="CB166" s="76"/>
      <c r="CC166" s="76"/>
      <c r="CD166" s="76"/>
      <c r="CE166" s="76"/>
      <c r="CF166" s="76"/>
      <c r="CG166" s="76">
        <v>360</v>
      </c>
      <c r="CH166" s="76">
        <v>360</v>
      </c>
      <c r="CI166" s="76"/>
      <c r="CJ166" s="76"/>
      <c r="CK166" s="76"/>
      <c r="CL166" s="76">
        <f t="shared" si="56"/>
        <v>720</v>
      </c>
      <c r="CM166" s="211">
        <f t="shared" si="57"/>
        <v>0</v>
      </c>
      <c r="CN166" s="211">
        <f t="shared" si="58"/>
        <v>0</v>
      </c>
      <c r="CO166" s="211">
        <f t="shared" si="59"/>
        <v>0</v>
      </c>
      <c r="CP166" s="211">
        <f t="shared" si="60"/>
        <v>0</v>
      </c>
    </row>
    <row r="167" spans="1:94" s="6" customFormat="1" ht="24.6" customHeight="1" x14ac:dyDescent="0.3">
      <c r="A167" s="78">
        <v>165</v>
      </c>
      <c r="B167" s="76" t="s">
        <v>405</v>
      </c>
      <c r="C167" s="76" t="s">
        <v>24</v>
      </c>
      <c r="D167" s="76">
        <v>1</v>
      </c>
      <c r="E167" s="76" t="s">
        <v>413</v>
      </c>
      <c r="F167" s="76"/>
      <c r="G167" s="76" t="s">
        <v>189</v>
      </c>
      <c r="H167" s="215">
        <v>46101</v>
      </c>
      <c r="I167" s="215">
        <v>46447</v>
      </c>
      <c r="J167" s="255">
        <v>18747</v>
      </c>
      <c r="K167" s="230">
        <v>1100</v>
      </c>
      <c r="L167" s="211">
        <v>250</v>
      </c>
      <c r="M167" s="211"/>
      <c r="N167" s="231">
        <v>350</v>
      </c>
      <c r="O167" s="211">
        <f t="shared" si="41"/>
        <v>1700</v>
      </c>
      <c r="P167" s="211"/>
      <c r="Q167" s="211"/>
      <c r="R167" s="211"/>
      <c r="S167" s="211"/>
      <c r="T167" s="211">
        <f t="shared" si="47"/>
        <v>0</v>
      </c>
      <c r="U167" s="211">
        <f t="shared" si="42"/>
        <v>1100</v>
      </c>
      <c r="V167" s="211">
        <f t="shared" si="43"/>
        <v>250</v>
      </c>
      <c r="W167" s="211">
        <f t="shared" si="44"/>
        <v>0</v>
      </c>
      <c r="X167" s="211">
        <f t="shared" si="45"/>
        <v>350</v>
      </c>
      <c r="Y167" s="211">
        <f t="shared" si="48"/>
        <v>1700</v>
      </c>
      <c r="Z167" s="211">
        <f t="shared" si="49"/>
        <v>1100</v>
      </c>
      <c r="AA167" s="211">
        <f t="shared" si="50"/>
        <v>250</v>
      </c>
      <c r="AB167" s="211">
        <f t="shared" si="51"/>
        <v>0</v>
      </c>
      <c r="AC167" s="211">
        <f t="shared" si="52"/>
        <v>350</v>
      </c>
      <c r="AD167" s="211">
        <f t="shared" si="53"/>
        <v>1700</v>
      </c>
      <c r="AE167" s="76" t="s">
        <v>518</v>
      </c>
      <c r="AF167" s="76" t="s">
        <v>24</v>
      </c>
      <c r="AG167" s="298"/>
      <c r="AH167" s="298"/>
      <c r="AI167" s="298"/>
      <c r="AJ167" s="298"/>
      <c r="AK167" s="298"/>
      <c r="AL167" s="298">
        <v>300</v>
      </c>
      <c r="AM167" s="298">
        <v>300</v>
      </c>
      <c r="AN167" s="298">
        <v>300</v>
      </c>
      <c r="AO167" s="255">
        <v>200</v>
      </c>
      <c r="AP167" s="255"/>
      <c r="AQ167" s="255"/>
      <c r="AR167" s="255"/>
      <c r="AS167" s="76">
        <f t="shared" si="46"/>
        <v>1100</v>
      </c>
      <c r="AT167" s="76" t="s">
        <v>518</v>
      </c>
      <c r="AU167" s="76" t="s">
        <v>24</v>
      </c>
      <c r="AV167" s="76"/>
      <c r="AW167" s="76"/>
      <c r="AX167" s="76"/>
      <c r="AY167" s="76"/>
      <c r="AZ167" s="76"/>
      <c r="BA167" s="76"/>
      <c r="BB167" s="76"/>
      <c r="BC167" s="76">
        <v>100</v>
      </c>
      <c r="BD167" s="76">
        <v>150</v>
      </c>
      <c r="BE167" s="76"/>
      <c r="BF167" s="76"/>
      <c r="BG167" s="76"/>
      <c r="BH167" s="76">
        <f t="shared" si="54"/>
        <v>250</v>
      </c>
      <c r="BI167" s="76" t="s">
        <v>518</v>
      </c>
      <c r="BJ167" s="76" t="s">
        <v>24</v>
      </c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>
        <f t="shared" si="55"/>
        <v>0</v>
      </c>
      <c r="BX167" s="76" t="s">
        <v>518</v>
      </c>
      <c r="BY167" s="76" t="s">
        <v>24</v>
      </c>
      <c r="BZ167" s="76"/>
      <c r="CA167" s="76"/>
      <c r="CB167" s="76"/>
      <c r="CC167" s="76"/>
      <c r="CD167" s="76"/>
      <c r="CE167" s="76"/>
      <c r="CF167" s="76"/>
      <c r="CG167" s="76"/>
      <c r="CH167" s="76"/>
      <c r="CI167" s="76">
        <v>350</v>
      </c>
      <c r="CJ167" s="76"/>
      <c r="CK167" s="76"/>
      <c r="CL167" s="76">
        <f t="shared" si="56"/>
        <v>350</v>
      </c>
      <c r="CM167" s="211">
        <f t="shared" si="57"/>
        <v>0</v>
      </c>
      <c r="CN167" s="211">
        <f t="shared" si="58"/>
        <v>0</v>
      </c>
      <c r="CO167" s="211">
        <f t="shared" si="59"/>
        <v>0</v>
      </c>
      <c r="CP167" s="211">
        <f t="shared" si="60"/>
        <v>0</v>
      </c>
    </row>
    <row r="168" spans="1:94" s="6" customFormat="1" ht="24.6" customHeight="1" x14ac:dyDescent="0.3">
      <c r="A168" s="4">
        <v>166</v>
      </c>
      <c r="B168" s="76" t="s">
        <v>406</v>
      </c>
      <c r="C168" s="76" t="s">
        <v>24</v>
      </c>
      <c r="D168" s="76">
        <v>2</v>
      </c>
      <c r="E168" s="76" t="s">
        <v>414</v>
      </c>
      <c r="F168" s="76"/>
      <c r="G168" s="76" t="s">
        <v>189</v>
      </c>
      <c r="H168" s="215">
        <v>46101</v>
      </c>
      <c r="I168" s="215">
        <v>46416</v>
      </c>
      <c r="J168" s="255">
        <v>15000</v>
      </c>
      <c r="K168" s="230">
        <v>2200</v>
      </c>
      <c r="L168" s="211">
        <f>500</f>
        <v>500</v>
      </c>
      <c r="M168" s="211"/>
      <c r="N168" s="231">
        <v>560</v>
      </c>
      <c r="O168" s="211">
        <f t="shared" si="41"/>
        <v>3260</v>
      </c>
      <c r="P168" s="211"/>
      <c r="Q168" s="211"/>
      <c r="R168" s="211"/>
      <c r="S168" s="211"/>
      <c r="T168" s="211">
        <f t="shared" si="47"/>
        <v>0</v>
      </c>
      <c r="U168" s="211">
        <f t="shared" si="42"/>
        <v>2200</v>
      </c>
      <c r="V168" s="211">
        <f t="shared" si="43"/>
        <v>500</v>
      </c>
      <c r="W168" s="211">
        <f t="shared" si="44"/>
        <v>0</v>
      </c>
      <c r="X168" s="211">
        <f t="shared" si="45"/>
        <v>560</v>
      </c>
      <c r="Y168" s="211">
        <f t="shared" si="48"/>
        <v>3260</v>
      </c>
      <c r="Z168" s="211">
        <f t="shared" si="49"/>
        <v>2200</v>
      </c>
      <c r="AA168" s="211">
        <f t="shared" si="50"/>
        <v>500</v>
      </c>
      <c r="AB168" s="211">
        <f t="shared" si="51"/>
        <v>0</v>
      </c>
      <c r="AC168" s="211">
        <f t="shared" si="52"/>
        <v>560</v>
      </c>
      <c r="AD168" s="211">
        <f t="shared" si="53"/>
        <v>3260</v>
      </c>
      <c r="AE168" s="76" t="s">
        <v>518</v>
      </c>
      <c r="AF168" s="76" t="s">
        <v>24</v>
      </c>
      <c r="AG168" s="298"/>
      <c r="AH168" s="298"/>
      <c r="AI168" s="298">
        <v>500</v>
      </c>
      <c r="AJ168" s="298">
        <v>500</v>
      </c>
      <c r="AK168" s="298">
        <v>400</v>
      </c>
      <c r="AL168" s="298">
        <v>400</v>
      </c>
      <c r="AM168" s="298">
        <v>400</v>
      </c>
      <c r="AN168" s="298"/>
      <c r="AO168" s="255"/>
      <c r="AP168" s="255"/>
      <c r="AQ168" s="255"/>
      <c r="AR168" s="255"/>
      <c r="AS168" s="76">
        <f t="shared" si="46"/>
        <v>2200</v>
      </c>
      <c r="AT168" s="76" t="s">
        <v>518</v>
      </c>
      <c r="AU168" s="76" t="s">
        <v>24</v>
      </c>
      <c r="AV168" s="76"/>
      <c r="AW168" s="76"/>
      <c r="AX168" s="76"/>
      <c r="AY168" s="76"/>
      <c r="AZ168" s="76"/>
      <c r="BA168" s="76">
        <v>250</v>
      </c>
      <c r="BB168" s="76">
        <v>250</v>
      </c>
      <c r="BC168" s="76"/>
      <c r="BD168" s="76"/>
      <c r="BE168" s="76"/>
      <c r="BF168" s="76"/>
      <c r="BG168" s="76"/>
      <c r="BH168" s="76">
        <f t="shared" si="54"/>
        <v>500</v>
      </c>
      <c r="BI168" s="76" t="s">
        <v>518</v>
      </c>
      <c r="BJ168" s="76" t="s">
        <v>24</v>
      </c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>
        <f t="shared" si="55"/>
        <v>0</v>
      </c>
      <c r="BX168" s="76" t="s">
        <v>518</v>
      </c>
      <c r="BY168" s="76" t="s">
        <v>24</v>
      </c>
      <c r="BZ168" s="76"/>
      <c r="CA168" s="76"/>
      <c r="CB168" s="76"/>
      <c r="CC168" s="76"/>
      <c r="CD168" s="76"/>
      <c r="CE168" s="76"/>
      <c r="CF168" s="76">
        <v>280</v>
      </c>
      <c r="CG168" s="76">
        <v>280</v>
      </c>
      <c r="CH168" s="76"/>
      <c r="CI168" s="76"/>
      <c r="CJ168" s="76"/>
      <c r="CK168" s="76"/>
      <c r="CL168" s="76">
        <f t="shared" si="56"/>
        <v>560</v>
      </c>
      <c r="CM168" s="211">
        <f t="shared" si="57"/>
        <v>0</v>
      </c>
      <c r="CN168" s="211">
        <f t="shared" si="58"/>
        <v>0</v>
      </c>
      <c r="CO168" s="211">
        <f t="shared" si="59"/>
        <v>0</v>
      </c>
      <c r="CP168" s="211">
        <f t="shared" si="60"/>
        <v>0</v>
      </c>
    </row>
    <row r="169" spans="1:94" s="6" customFormat="1" ht="24.6" customHeight="1" x14ac:dyDescent="0.3">
      <c r="A169" s="78">
        <v>167</v>
      </c>
      <c r="B169" s="76" t="s">
        <v>407</v>
      </c>
      <c r="C169" s="76" t="s">
        <v>24</v>
      </c>
      <c r="D169" s="76">
        <v>1</v>
      </c>
      <c r="E169" s="76" t="s">
        <v>415</v>
      </c>
      <c r="F169" s="76"/>
      <c r="G169" s="76" t="s">
        <v>189</v>
      </c>
      <c r="H169" s="215">
        <v>46101</v>
      </c>
      <c r="I169" s="215">
        <v>46436</v>
      </c>
      <c r="J169" s="255">
        <v>15000</v>
      </c>
      <c r="K169" s="230">
        <v>1700</v>
      </c>
      <c r="L169" s="211">
        <v>375</v>
      </c>
      <c r="M169" s="211"/>
      <c r="N169" s="211">
        <v>360</v>
      </c>
      <c r="O169" s="211">
        <f t="shared" si="41"/>
        <v>2435</v>
      </c>
      <c r="P169" s="211"/>
      <c r="Q169" s="211"/>
      <c r="R169" s="211"/>
      <c r="S169" s="211"/>
      <c r="T169" s="211">
        <f t="shared" si="47"/>
        <v>0</v>
      </c>
      <c r="U169" s="211">
        <f t="shared" si="42"/>
        <v>1700</v>
      </c>
      <c r="V169" s="211">
        <f t="shared" si="43"/>
        <v>375</v>
      </c>
      <c r="W169" s="211">
        <f t="shared" si="44"/>
        <v>0</v>
      </c>
      <c r="X169" s="211">
        <f t="shared" si="45"/>
        <v>360</v>
      </c>
      <c r="Y169" s="211">
        <f t="shared" si="48"/>
        <v>2435</v>
      </c>
      <c r="Z169" s="211">
        <f t="shared" si="49"/>
        <v>1700</v>
      </c>
      <c r="AA169" s="211">
        <f t="shared" si="50"/>
        <v>375</v>
      </c>
      <c r="AB169" s="211">
        <f t="shared" si="51"/>
        <v>0</v>
      </c>
      <c r="AC169" s="211">
        <f t="shared" si="52"/>
        <v>360</v>
      </c>
      <c r="AD169" s="211">
        <f t="shared" si="53"/>
        <v>2435</v>
      </c>
      <c r="AE169" s="76" t="s">
        <v>518</v>
      </c>
      <c r="AF169" s="76" t="s">
        <v>24</v>
      </c>
      <c r="AG169" s="298"/>
      <c r="AH169" s="298"/>
      <c r="AI169" s="298">
        <v>340</v>
      </c>
      <c r="AJ169" s="298">
        <v>340</v>
      </c>
      <c r="AK169" s="298">
        <v>340</v>
      </c>
      <c r="AL169" s="298">
        <v>340</v>
      </c>
      <c r="AM169" s="298">
        <v>340</v>
      </c>
      <c r="AN169" s="298"/>
      <c r="AO169" s="255"/>
      <c r="AP169" s="255"/>
      <c r="AQ169" s="255"/>
      <c r="AR169" s="255"/>
      <c r="AS169" s="76">
        <f t="shared" si="46"/>
        <v>1700</v>
      </c>
      <c r="AT169" s="76" t="s">
        <v>518</v>
      </c>
      <c r="AU169" s="76" t="s">
        <v>24</v>
      </c>
      <c r="AV169" s="76"/>
      <c r="AW169" s="76"/>
      <c r="AX169" s="76"/>
      <c r="AY169" s="76"/>
      <c r="AZ169" s="76"/>
      <c r="BA169" s="76"/>
      <c r="BB169" s="76">
        <v>188</v>
      </c>
      <c r="BC169" s="76">
        <v>187</v>
      </c>
      <c r="BD169" s="76"/>
      <c r="BE169" s="76"/>
      <c r="BF169" s="76"/>
      <c r="BG169" s="76"/>
      <c r="BH169" s="76">
        <f t="shared" si="54"/>
        <v>375</v>
      </c>
      <c r="BI169" s="76" t="s">
        <v>518</v>
      </c>
      <c r="BJ169" s="76" t="s">
        <v>24</v>
      </c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>
        <f t="shared" si="55"/>
        <v>0</v>
      </c>
      <c r="BX169" s="76" t="s">
        <v>518</v>
      </c>
      <c r="BY169" s="76" t="s">
        <v>24</v>
      </c>
      <c r="BZ169" s="76"/>
      <c r="CA169" s="76"/>
      <c r="CB169" s="76"/>
      <c r="CC169" s="76"/>
      <c r="CD169" s="76"/>
      <c r="CE169" s="76"/>
      <c r="CF169" s="76"/>
      <c r="CG169" s="76"/>
      <c r="CH169" s="76">
        <v>360</v>
      </c>
      <c r="CI169" s="76"/>
      <c r="CJ169" s="76"/>
      <c r="CK169" s="76"/>
      <c r="CL169" s="76">
        <f t="shared" si="56"/>
        <v>360</v>
      </c>
      <c r="CM169" s="211">
        <f t="shared" si="57"/>
        <v>0</v>
      </c>
      <c r="CN169" s="211">
        <f t="shared" si="58"/>
        <v>0</v>
      </c>
      <c r="CO169" s="211">
        <f t="shared" si="59"/>
        <v>0</v>
      </c>
      <c r="CP169" s="211">
        <f t="shared" si="60"/>
        <v>0</v>
      </c>
    </row>
    <row r="170" spans="1:94" s="6" customFormat="1" ht="24.6" customHeight="1" x14ac:dyDescent="0.3">
      <c r="A170" s="4">
        <v>168</v>
      </c>
      <c r="B170" s="76" t="s">
        <v>408</v>
      </c>
      <c r="C170" s="76" t="s">
        <v>24</v>
      </c>
      <c r="D170" s="76">
        <v>1</v>
      </c>
      <c r="E170" s="76" t="s">
        <v>416</v>
      </c>
      <c r="F170" s="76"/>
      <c r="G170" s="76" t="s">
        <v>189</v>
      </c>
      <c r="H170" s="215">
        <v>46101</v>
      </c>
      <c r="I170" s="215">
        <v>46416</v>
      </c>
      <c r="J170" s="255">
        <v>15000</v>
      </c>
      <c r="K170" s="230">
        <v>1700</v>
      </c>
      <c r="L170" s="211">
        <v>375</v>
      </c>
      <c r="M170" s="211"/>
      <c r="N170" s="211">
        <v>360</v>
      </c>
      <c r="O170" s="211">
        <f t="shared" si="41"/>
        <v>2435</v>
      </c>
      <c r="P170" s="211"/>
      <c r="Q170" s="211"/>
      <c r="R170" s="211"/>
      <c r="S170" s="211"/>
      <c r="T170" s="211">
        <f t="shared" si="47"/>
        <v>0</v>
      </c>
      <c r="U170" s="211">
        <f t="shared" si="42"/>
        <v>1700</v>
      </c>
      <c r="V170" s="211">
        <f t="shared" si="43"/>
        <v>375</v>
      </c>
      <c r="W170" s="211">
        <f t="shared" si="44"/>
        <v>0</v>
      </c>
      <c r="X170" s="211">
        <f t="shared" si="45"/>
        <v>360</v>
      </c>
      <c r="Y170" s="211">
        <f t="shared" si="48"/>
        <v>2435</v>
      </c>
      <c r="Z170" s="211">
        <f t="shared" si="49"/>
        <v>1700</v>
      </c>
      <c r="AA170" s="211">
        <f t="shared" si="50"/>
        <v>375</v>
      </c>
      <c r="AB170" s="211">
        <f t="shared" si="51"/>
        <v>0</v>
      </c>
      <c r="AC170" s="211">
        <f t="shared" si="52"/>
        <v>360</v>
      </c>
      <c r="AD170" s="211">
        <f t="shared" si="53"/>
        <v>2435</v>
      </c>
      <c r="AE170" s="76" t="s">
        <v>518</v>
      </c>
      <c r="AF170" s="76" t="s">
        <v>24</v>
      </c>
      <c r="AG170" s="298"/>
      <c r="AH170" s="298">
        <v>340</v>
      </c>
      <c r="AI170" s="298">
        <v>340</v>
      </c>
      <c r="AJ170" s="298">
        <v>340</v>
      </c>
      <c r="AK170" s="298">
        <v>340</v>
      </c>
      <c r="AL170" s="298">
        <v>340</v>
      </c>
      <c r="AM170" s="298"/>
      <c r="AN170" s="298"/>
      <c r="AO170" s="255"/>
      <c r="AP170" s="255"/>
      <c r="AQ170" s="255"/>
      <c r="AR170" s="255"/>
      <c r="AS170" s="76">
        <f t="shared" si="46"/>
        <v>1700</v>
      </c>
      <c r="AT170" s="76" t="s">
        <v>518</v>
      </c>
      <c r="AU170" s="76" t="s">
        <v>24</v>
      </c>
      <c r="AV170" s="76"/>
      <c r="AW170" s="76"/>
      <c r="AX170" s="76"/>
      <c r="AY170" s="76"/>
      <c r="AZ170" s="76">
        <v>188</v>
      </c>
      <c r="BA170" s="76">
        <v>187</v>
      </c>
      <c r="BB170" s="76"/>
      <c r="BC170" s="76"/>
      <c r="BD170" s="76"/>
      <c r="BE170" s="76"/>
      <c r="BF170" s="76"/>
      <c r="BG170" s="76"/>
      <c r="BH170" s="76">
        <f t="shared" si="54"/>
        <v>375</v>
      </c>
      <c r="BI170" s="76" t="s">
        <v>518</v>
      </c>
      <c r="BJ170" s="76" t="s">
        <v>24</v>
      </c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>
        <f t="shared" si="55"/>
        <v>0</v>
      </c>
      <c r="BX170" s="76" t="s">
        <v>518</v>
      </c>
      <c r="BY170" s="76" t="s">
        <v>24</v>
      </c>
      <c r="BZ170" s="76"/>
      <c r="CA170" s="76"/>
      <c r="CB170" s="76"/>
      <c r="CC170" s="76"/>
      <c r="CD170" s="76"/>
      <c r="CE170" s="76"/>
      <c r="CF170" s="76">
        <v>100</v>
      </c>
      <c r="CG170" s="76">
        <v>260</v>
      </c>
      <c r="CH170" s="76"/>
      <c r="CI170" s="76"/>
      <c r="CJ170" s="76"/>
      <c r="CK170" s="76"/>
      <c r="CL170" s="76">
        <f t="shared" si="56"/>
        <v>360</v>
      </c>
      <c r="CM170" s="211">
        <f t="shared" si="57"/>
        <v>0</v>
      </c>
      <c r="CN170" s="211">
        <f t="shared" si="58"/>
        <v>0</v>
      </c>
      <c r="CO170" s="211">
        <f t="shared" si="59"/>
        <v>0</v>
      </c>
      <c r="CP170" s="211">
        <f t="shared" si="60"/>
        <v>0</v>
      </c>
    </row>
    <row r="171" spans="1:94" s="6" customFormat="1" ht="24.6" customHeight="1" x14ac:dyDescent="0.3">
      <c r="A171" s="78">
        <v>169</v>
      </c>
      <c r="B171" s="76" t="s">
        <v>409</v>
      </c>
      <c r="C171" s="76" t="s">
        <v>24</v>
      </c>
      <c r="D171" s="76">
        <v>1</v>
      </c>
      <c r="E171" s="76" t="s">
        <v>417</v>
      </c>
      <c r="F171" s="76"/>
      <c r="G171" s="76" t="s">
        <v>189</v>
      </c>
      <c r="H171" s="215">
        <v>46101</v>
      </c>
      <c r="I171" s="215">
        <v>46447</v>
      </c>
      <c r="J171" s="255">
        <v>15000</v>
      </c>
      <c r="K171" s="211">
        <v>1700</v>
      </c>
      <c r="L171" s="211">
        <v>375</v>
      </c>
      <c r="M171" s="211"/>
      <c r="N171" s="211">
        <v>360</v>
      </c>
      <c r="O171" s="211">
        <f t="shared" si="41"/>
        <v>2435</v>
      </c>
      <c r="P171" s="211"/>
      <c r="Q171" s="211"/>
      <c r="R171" s="211"/>
      <c r="S171" s="211"/>
      <c r="T171" s="211">
        <f t="shared" si="47"/>
        <v>0</v>
      </c>
      <c r="U171" s="211">
        <f t="shared" si="42"/>
        <v>1700</v>
      </c>
      <c r="V171" s="211">
        <f t="shared" si="43"/>
        <v>375</v>
      </c>
      <c r="W171" s="211">
        <f t="shared" si="44"/>
        <v>0</v>
      </c>
      <c r="X171" s="211">
        <f t="shared" si="45"/>
        <v>360</v>
      </c>
      <c r="Y171" s="211">
        <f t="shared" si="48"/>
        <v>2435</v>
      </c>
      <c r="Z171" s="211">
        <f t="shared" si="49"/>
        <v>1700</v>
      </c>
      <c r="AA171" s="211">
        <f t="shared" si="50"/>
        <v>375</v>
      </c>
      <c r="AB171" s="211">
        <f t="shared" si="51"/>
        <v>0</v>
      </c>
      <c r="AC171" s="211">
        <f t="shared" si="52"/>
        <v>360</v>
      </c>
      <c r="AD171" s="211">
        <f t="shared" si="53"/>
        <v>2435</v>
      </c>
      <c r="AE171" s="76" t="s">
        <v>518</v>
      </c>
      <c r="AF171" s="76" t="s">
        <v>24</v>
      </c>
      <c r="AG171" s="298"/>
      <c r="AH171" s="298"/>
      <c r="AI171" s="298">
        <v>340</v>
      </c>
      <c r="AJ171" s="298">
        <v>340</v>
      </c>
      <c r="AK171" s="298">
        <v>340</v>
      </c>
      <c r="AL171" s="298">
        <v>340</v>
      </c>
      <c r="AM171" s="298">
        <v>340</v>
      </c>
      <c r="AN171" s="298"/>
      <c r="AO171" s="255"/>
      <c r="AP171" s="255"/>
      <c r="AQ171" s="255"/>
      <c r="AR171" s="255"/>
      <c r="AS171" s="76">
        <f t="shared" si="46"/>
        <v>1700</v>
      </c>
      <c r="AT171" s="76" t="s">
        <v>518</v>
      </c>
      <c r="AU171" s="76" t="s">
        <v>24</v>
      </c>
      <c r="AV171" s="76"/>
      <c r="AW171" s="76"/>
      <c r="AX171" s="76"/>
      <c r="AY171" s="76"/>
      <c r="AZ171" s="76"/>
      <c r="BA171" s="76"/>
      <c r="BB171" s="76"/>
      <c r="BC171" s="76">
        <v>188</v>
      </c>
      <c r="BD171" s="76">
        <v>187</v>
      </c>
      <c r="BE171" s="76"/>
      <c r="BF171" s="76"/>
      <c r="BG171" s="76"/>
      <c r="BH171" s="76">
        <f t="shared" si="54"/>
        <v>375</v>
      </c>
      <c r="BI171" s="76" t="s">
        <v>518</v>
      </c>
      <c r="BJ171" s="76" t="s">
        <v>24</v>
      </c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>
        <f t="shared" si="55"/>
        <v>0</v>
      </c>
      <c r="BX171" s="76" t="s">
        <v>518</v>
      </c>
      <c r="BY171" s="76" t="s">
        <v>24</v>
      </c>
      <c r="BZ171" s="76"/>
      <c r="CA171" s="76"/>
      <c r="CB171" s="76"/>
      <c r="CC171" s="76"/>
      <c r="CD171" s="76"/>
      <c r="CE171" s="76"/>
      <c r="CF171" s="76"/>
      <c r="CG171" s="76"/>
      <c r="CH171" s="76"/>
      <c r="CI171" s="76">
        <v>360</v>
      </c>
      <c r="CJ171" s="76"/>
      <c r="CK171" s="76"/>
      <c r="CL171" s="76">
        <f t="shared" si="56"/>
        <v>360</v>
      </c>
      <c r="CM171" s="211">
        <f t="shared" si="57"/>
        <v>0</v>
      </c>
      <c r="CN171" s="211">
        <f t="shared" si="58"/>
        <v>0</v>
      </c>
      <c r="CO171" s="211">
        <f t="shared" si="59"/>
        <v>0</v>
      </c>
      <c r="CP171" s="211">
        <f t="shared" si="60"/>
        <v>0</v>
      </c>
    </row>
    <row r="172" spans="1:94" s="6" customFormat="1" ht="24.6" customHeight="1" x14ac:dyDescent="0.3">
      <c r="A172" s="4">
        <v>170</v>
      </c>
      <c r="B172" s="76" t="s">
        <v>410</v>
      </c>
      <c r="C172" s="76" t="s">
        <v>24</v>
      </c>
      <c r="D172" s="76">
        <v>1</v>
      </c>
      <c r="E172" s="76" t="s">
        <v>418</v>
      </c>
      <c r="F172" s="76"/>
      <c r="G172" s="76" t="s">
        <v>189</v>
      </c>
      <c r="H172" s="215">
        <v>46101</v>
      </c>
      <c r="I172" s="215">
        <v>46416</v>
      </c>
      <c r="J172" s="255">
        <v>15000</v>
      </c>
      <c r="K172" s="211">
        <v>1700</v>
      </c>
      <c r="L172" s="211">
        <v>375</v>
      </c>
      <c r="M172" s="211"/>
      <c r="N172" s="211">
        <v>360</v>
      </c>
      <c r="O172" s="211">
        <f t="shared" si="41"/>
        <v>2435</v>
      </c>
      <c r="P172" s="211"/>
      <c r="Q172" s="211"/>
      <c r="R172" s="211"/>
      <c r="S172" s="211"/>
      <c r="T172" s="211">
        <f t="shared" si="47"/>
        <v>0</v>
      </c>
      <c r="U172" s="211">
        <f t="shared" si="42"/>
        <v>1700</v>
      </c>
      <c r="V172" s="211">
        <f t="shared" si="43"/>
        <v>375</v>
      </c>
      <c r="W172" s="211">
        <f t="shared" si="44"/>
        <v>0</v>
      </c>
      <c r="X172" s="211">
        <f t="shared" si="45"/>
        <v>360</v>
      </c>
      <c r="Y172" s="211">
        <f t="shared" si="48"/>
        <v>2435</v>
      </c>
      <c r="Z172" s="211">
        <f t="shared" si="49"/>
        <v>1700</v>
      </c>
      <c r="AA172" s="211">
        <f t="shared" si="50"/>
        <v>375</v>
      </c>
      <c r="AB172" s="211">
        <f t="shared" si="51"/>
        <v>0</v>
      </c>
      <c r="AC172" s="211">
        <f t="shared" si="52"/>
        <v>360</v>
      </c>
      <c r="AD172" s="211">
        <f t="shared" si="53"/>
        <v>2435</v>
      </c>
      <c r="AE172" s="76" t="s">
        <v>518</v>
      </c>
      <c r="AF172" s="76" t="s">
        <v>24</v>
      </c>
      <c r="AG172" s="298"/>
      <c r="AH172" s="298">
        <v>340</v>
      </c>
      <c r="AI172" s="298">
        <v>340</v>
      </c>
      <c r="AJ172" s="298">
        <v>340</v>
      </c>
      <c r="AK172" s="298">
        <v>340</v>
      </c>
      <c r="AL172" s="298">
        <v>340</v>
      </c>
      <c r="AM172" s="298"/>
      <c r="AN172" s="298"/>
      <c r="AO172" s="255"/>
      <c r="AP172" s="255"/>
      <c r="AQ172" s="255"/>
      <c r="AR172" s="255"/>
      <c r="AS172" s="76">
        <f t="shared" si="46"/>
        <v>1700</v>
      </c>
      <c r="AT172" s="76" t="s">
        <v>518</v>
      </c>
      <c r="AU172" s="76" t="s">
        <v>24</v>
      </c>
      <c r="AV172" s="76"/>
      <c r="AW172" s="76"/>
      <c r="AX172" s="76"/>
      <c r="AY172" s="76"/>
      <c r="AZ172" s="76">
        <v>188</v>
      </c>
      <c r="BA172" s="76">
        <v>187</v>
      </c>
      <c r="BB172" s="76"/>
      <c r="BC172" s="76"/>
      <c r="BD172" s="76"/>
      <c r="BE172" s="76"/>
      <c r="BF172" s="76"/>
      <c r="BG172" s="76"/>
      <c r="BH172" s="76">
        <f t="shared" si="54"/>
        <v>375</v>
      </c>
      <c r="BI172" s="76" t="s">
        <v>518</v>
      </c>
      <c r="BJ172" s="76" t="s">
        <v>24</v>
      </c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>
        <f t="shared" si="55"/>
        <v>0</v>
      </c>
      <c r="BX172" s="76" t="s">
        <v>518</v>
      </c>
      <c r="BY172" s="76" t="s">
        <v>24</v>
      </c>
      <c r="BZ172" s="76"/>
      <c r="CA172" s="76"/>
      <c r="CB172" s="76"/>
      <c r="CC172" s="76"/>
      <c r="CD172" s="76"/>
      <c r="CE172" s="76"/>
      <c r="CF172" s="76">
        <v>100</v>
      </c>
      <c r="CG172" s="76">
        <v>260</v>
      </c>
      <c r="CH172" s="76"/>
      <c r="CI172" s="76"/>
      <c r="CJ172" s="76"/>
      <c r="CK172" s="76"/>
      <c r="CL172" s="76">
        <f t="shared" si="56"/>
        <v>360</v>
      </c>
      <c r="CM172" s="211">
        <f t="shared" si="57"/>
        <v>0</v>
      </c>
      <c r="CN172" s="211">
        <f t="shared" si="58"/>
        <v>0</v>
      </c>
      <c r="CO172" s="211">
        <f t="shared" si="59"/>
        <v>0</v>
      </c>
      <c r="CP172" s="211">
        <f t="shared" si="60"/>
        <v>0</v>
      </c>
    </row>
    <row r="173" spans="1:94" s="6" customFormat="1" ht="25.2" x14ac:dyDescent="0.3">
      <c r="A173" s="78">
        <v>171</v>
      </c>
      <c r="B173" s="76">
        <v>30779</v>
      </c>
      <c r="C173" s="76" t="s">
        <v>166</v>
      </c>
      <c r="D173" s="76">
        <v>6</v>
      </c>
      <c r="E173" s="76" t="s">
        <v>360</v>
      </c>
      <c r="F173" s="76"/>
      <c r="G173" s="76" t="s">
        <v>345</v>
      </c>
      <c r="H173" s="215">
        <v>46104</v>
      </c>
      <c r="I173" s="215">
        <v>46280</v>
      </c>
      <c r="J173" s="255">
        <v>4048</v>
      </c>
      <c r="K173" s="211">
        <v>1215</v>
      </c>
      <c r="L173" s="211">
        <v>81</v>
      </c>
      <c r="M173" s="211">
        <v>250</v>
      </c>
      <c r="N173" s="211"/>
      <c r="O173" s="211">
        <f t="shared" si="41"/>
        <v>1546</v>
      </c>
      <c r="P173" s="211">
        <v>1808</v>
      </c>
      <c r="Q173" s="211"/>
      <c r="R173" s="211"/>
      <c r="S173" s="211"/>
      <c r="T173" s="211">
        <f t="shared" si="47"/>
        <v>1808</v>
      </c>
      <c r="U173" s="211">
        <f t="shared" si="42"/>
        <v>-593</v>
      </c>
      <c r="V173" s="211">
        <f t="shared" si="43"/>
        <v>81</v>
      </c>
      <c r="W173" s="211">
        <f t="shared" si="44"/>
        <v>250</v>
      </c>
      <c r="X173" s="211">
        <f t="shared" si="45"/>
        <v>0</v>
      </c>
      <c r="Y173" s="211">
        <f t="shared" si="48"/>
        <v>-262</v>
      </c>
      <c r="Z173" s="211">
        <f t="shared" si="49"/>
        <v>0</v>
      </c>
      <c r="AA173" s="211">
        <f t="shared" si="50"/>
        <v>81</v>
      </c>
      <c r="AB173" s="211">
        <f t="shared" si="51"/>
        <v>250</v>
      </c>
      <c r="AC173" s="211">
        <f t="shared" si="52"/>
        <v>0</v>
      </c>
      <c r="AD173" s="211">
        <f t="shared" si="53"/>
        <v>331</v>
      </c>
      <c r="AE173" s="76" t="s">
        <v>518</v>
      </c>
      <c r="AF173" s="76" t="s">
        <v>22</v>
      </c>
      <c r="AG173" s="298"/>
      <c r="AH173" s="298"/>
      <c r="AI173" s="298"/>
      <c r="AJ173" s="298"/>
      <c r="AK173" s="298"/>
      <c r="AL173" s="298"/>
      <c r="AM173" s="298"/>
      <c r="AN173" s="298"/>
      <c r="AO173" s="255"/>
      <c r="AP173" s="255"/>
      <c r="AQ173" s="255"/>
      <c r="AR173" s="255"/>
      <c r="AS173" s="76">
        <f t="shared" si="46"/>
        <v>0</v>
      </c>
      <c r="AT173" s="76" t="s">
        <v>518</v>
      </c>
      <c r="AU173" s="76" t="s">
        <v>22</v>
      </c>
      <c r="AV173" s="76"/>
      <c r="AW173" s="76"/>
      <c r="AX173" s="76">
        <v>81</v>
      </c>
      <c r="AY173" s="76"/>
      <c r="AZ173" s="76"/>
      <c r="BA173" s="76"/>
      <c r="BB173" s="76"/>
      <c r="BC173" s="76"/>
      <c r="BD173" s="76"/>
      <c r="BE173" s="76"/>
      <c r="BF173" s="76"/>
      <c r="BG173" s="76"/>
      <c r="BH173" s="76">
        <f t="shared" si="54"/>
        <v>81</v>
      </c>
      <c r="BI173" s="76" t="s">
        <v>518</v>
      </c>
      <c r="BJ173" s="76" t="s">
        <v>22</v>
      </c>
      <c r="BK173" s="76"/>
      <c r="BL173" s="76"/>
      <c r="BM173" s="76"/>
      <c r="BN173" s="76">
        <v>100</v>
      </c>
      <c r="BO173" s="76">
        <v>150</v>
      </c>
      <c r="BP173" s="76"/>
      <c r="BQ173" s="76"/>
      <c r="BR173" s="76"/>
      <c r="BS173" s="76"/>
      <c r="BT173" s="76"/>
      <c r="BU173" s="76"/>
      <c r="BV173" s="76"/>
      <c r="BW173" s="76">
        <f t="shared" si="55"/>
        <v>250</v>
      </c>
      <c r="BX173" s="76" t="s">
        <v>518</v>
      </c>
      <c r="BY173" s="76" t="s">
        <v>22</v>
      </c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>
        <f t="shared" si="56"/>
        <v>0</v>
      </c>
      <c r="CM173" s="211">
        <f t="shared" si="57"/>
        <v>-593</v>
      </c>
      <c r="CN173" s="211">
        <f t="shared" si="58"/>
        <v>0</v>
      </c>
      <c r="CO173" s="211">
        <f t="shared" si="59"/>
        <v>0</v>
      </c>
      <c r="CP173" s="211">
        <f t="shared" si="60"/>
        <v>0</v>
      </c>
    </row>
    <row r="174" spans="1:94" s="6" customFormat="1" ht="25.2" customHeight="1" x14ac:dyDescent="0.3">
      <c r="A174" s="4">
        <v>172</v>
      </c>
      <c r="B174" s="76">
        <v>29618</v>
      </c>
      <c r="C174" s="76" t="s">
        <v>166</v>
      </c>
      <c r="D174" s="76"/>
      <c r="E174" s="76" t="s">
        <v>361</v>
      </c>
      <c r="F174" s="76" t="s">
        <v>353</v>
      </c>
      <c r="G174" s="76" t="s">
        <v>156</v>
      </c>
      <c r="H174" s="215"/>
      <c r="I174" s="215"/>
      <c r="J174" s="255"/>
      <c r="K174" s="211"/>
      <c r="L174" s="211"/>
      <c r="M174" s="211"/>
      <c r="N174" s="211"/>
      <c r="O174" s="211">
        <f t="shared" si="41"/>
        <v>0</v>
      </c>
      <c r="P174" s="211"/>
      <c r="Q174" s="211"/>
      <c r="R174" s="211"/>
      <c r="S174" s="211"/>
      <c r="T174" s="211">
        <f t="shared" si="47"/>
        <v>0</v>
      </c>
      <c r="U174" s="211">
        <f t="shared" si="42"/>
        <v>0</v>
      </c>
      <c r="V174" s="211">
        <f t="shared" si="43"/>
        <v>0</v>
      </c>
      <c r="W174" s="211">
        <f t="shared" si="44"/>
        <v>0</v>
      </c>
      <c r="X174" s="211">
        <f t="shared" si="45"/>
        <v>0</v>
      </c>
      <c r="Y174" s="211">
        <f t="shared" si="48"/>
        <v>0</v>
      </c>
      <c r="Z174" s="211">
        <f t="shared" si="49"/>
        <v>0</v>
      </c>
      <c r="AA174" s="211">
        <f t="shared" si="50"/>
        <v>0</v>
      </c>
      <c r="AB174" s="211">
        <f t="shared" si="51"/>
        <v>0</v>
      </c>
      <c r="AC174" s="211">
        <f t="shared" si="52"/>
        <v>0</v>
      </c>
      <c r="AD174" s="211">
        <f t="shared" si="53"/>
        <v>0</v>
      </c>
      <c r="AE174" s="76" t="s">
        <v>518</v>
      </c>
      <c r="AF174" s="76" t="s">
        <v>22</v>
      </c>
      <c r="AG174" s="298"/>
      <c r="AH174" s="298"/>
      <c r="AI174" s="298"/>
      <c r="AJ174" s="298"/>
      <c r="AK174" s="298"/>
      <c r="AL174" s="298"/>
      <c r="AM174" s="298"/>
      <c r="AN174" s="298"/>
      <c r="AO174" s="255"/>
      <c r="AP174" s="255"/>
      <c r="AQ174" s="255"/>
      <c r="AR174" s="255"/>
      <c r="AS174" s="76">
        <f t="shared" si="46"/>
        <v>0</v>
      </c>
      <c r="AT174" s="76" t="s">
        <v>518</v>
      </c>
      <c r="AU174" s="76" t="s">
        <v>22</v>
      </c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>
        <f t="shared" si="54"/>
        <v>0</v>
      </c>
      <c r="BI174" s="76" t="s">
        <v>518</v>
      </c>
      <c r="BJ174" s="76" t="s">
        <v>22</v>
      </c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>
        <f t="shared" si="55"/>
        <v>0</v>
      </c>
      <c r="BX174" s="76" t="s">
        <v>518</v>
      </c>
      <c r="BY174" s="76" t="s">
        <v>22</v>
      </c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>
        <f t="shared" si="56"/>
        <v>0</v>
      </c>
      <c r="CM174" s="211">
        <f t="shared" si="57"/>
        <v>0</v>
      </c>
      <c r="CN174" s="211">
        <f t="shared" si="58"/>
        <v>0</v>
      </c>
      <c r="CO174" s="211">
        <f t="shared" si="59"/>
        <v>0</v>
      </c>
      <c r="CP174" s="211">
        <f t="shared" si="60"/>
        <v>0</v>
      </c>
    </row>
    <row r="175" spans="1:94" s="6" customFormat="1" ht="25.2" x14ac:dyDescent="0.3">
      <c r="A175" s="78">
        <v>173</v>
      </c>
      <c r="B175" s="76">
        <v>30015</v>
      </c>
      <c r="C175" s="76" t="s">
        <v>166</v>
      </c>
      <c r="D175" s="76">
        <v>28</v>
      </c>
      <c r="E175" s="76" t="s">
        <v>362</v>
      </c>
      <c r="F175" s="76"/>
      <c r="G175" s="76" t="s">
        <v>178</v>
      </c>
      <c r="H175" s="215">
        <v>46105</v>
      </c>
      <c r="I175" s="215">
        <v>46320</v>
      </c>
      <c r="J175" s="255">
        <v>5278</v>
      </c>
      <c r="K175" s="211"/>
      <c r="L175" s="211"/>
      <c r="M175" s="211"/>
      <c r="N175" s="211">
        <v>112</v>
      </c>
      <c r="O175" s="211">
        <f t="shared" si="41"/>
        <v>112</v>
      </c>
      <c r="P175" s="211"/>
      <c r="Q175" s="211"/>
      <c r="R175" s="211"/>
      <c r="S175" s="211"/>
      <c r="T175" s="211">
        <f t="shared" si="47"/>
        <v>0</v>
      </c>
      <c r="U175" s="211">
        <f t="shared" si="42"/>
        <v>0</v>
      </c>
      <c r="V175" s="211">
        <f t="shared" si="43"/>
        <v>0</v>
      </c>
      <c r="W175" s="211">
        <f t="shared" si="44"/>
        <v>0</v>
      </c>
      <c r="X175" s="211">
        <f t="shared" si="45"/>
        <v>112</v>
      </c>
      <c r="Y175" s="211">
        <f t="shared" si="48"/>
        <v>112</v>
      </c>
      <c r="Z175" s="211">
        <f t="shared" si="49"/>
        <v>0</v>
      </c>
      <c r="AA175" s="211">
        <f t="shared" si="50"/>
        <v>0</v>
      </c>
      <c r="AB175" s="211">
        <f t="shared" si="51"/>
        <v>0</v>
      </c>
      <c r="AC175" s="211">
        <f t="shared" si="52"/>
        <v>112</v>
      </c>
      <c r="AD175" s="211">
        <f t="shared" si="53"/>
        <v>112</v>
      </c>
      <c r="AE175" s="76" t="s">
        <v>518</v>
      </c>
      <c r="AF175" s="76" t="s">
        <v>23</v>
      </c>
      <c r="AG175" s="298"/>
      <c r="AH175" s="298"/>
      <c r="AI175" s="298"/>
      <c r="AJ175" s="298"/>
      <c r="AK175" s="298"/>
      <c r="AL175" s="298"/>
      <c r="AM175" s="298"/>
      <c r="AN175" s="298"/>
      <c r="AO175" s="255"/>
      <c r="AP175" s="255"/>
      <c r="AQ175" s="255"/>
      <c r="AR175" s="255"/>
      <c r="AS175" s="76">
        <f t="shared" si="46"/>
        <v>0</v>
      </c>
      <c r="AT175" s="76" t="s">
        <v>518</v>
      </c>
      <c r="AU175" s="76" t="s">
        <v>23</v>
      </c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>
        <f t="shared" si="54"/>
        <v>0</v>
      </c>
      <c r="BI175" s="76" t="s">
        <v>518</v>
      </c>
      <c r="BJ175" s="76" t="s">
        <v>23</v>
      </c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>
        <f t="shared" si="55"/>
        <v>0</v>
      </c>
      <c r="BX175" s="76" t="s">
        <v>518</v>
      </c>
      <c r="BY175" s="76" t="s">
        <v>23</v>
      </c>
      <c r="BZ175" s="76"/>
      <c r="CA175" s="76"/>
      <c r="CB175" s="76"/>
      <c r="CC175" s="76"/>
      <c r="CD175" s="76">
        <v>112</v>
      </c>
      <c r="CE175" s="76"/>
      <c r="CF175" s="76"/>
      <c r="CG175" s="76"/>
      <c r="CH175" s="76"/>
      <c r="CI175" s="76"/>
      <c r="CJ175" s="76"/>
      <c r="CK175" s="76"/>
      <c r="CL175" s="76">
        <f t="shared" si="56"/>
        <v>112</v>
      </c>
      <c r="CM175" s="211">
        <f t="shared" si="57"/>
        <v>0</v>
      </c>
      <c r="CN175" s="211">
        <f t="shared" si="58"/>
        <v>0</v>
      </c>
      <c r="CO175" s="211">
        <f t="shared" si="59"/>
        <v>0</v>
      </c>
      <c r="CP175" s="211">
        <f t="shared" si="60"/>
        <v>0</v>
      </c>
    </row>
    <row r="176" spans="1:94" s="6" customFormat="1" ht="20.399999999999999" customHeight="1" x14ac:dyDescent="0.3">
      <c r="A176" s="4">
        <v>174</v>
      </c>
      <c r="B176" s="76">
        <v>30133</v>
      </c>
      <c r="C176" s="76" t="s">
        <v>166</v>
      </c>
      <c r="D176" s="76">
        <v>15</v>
      </c>
      <c r="E176" s="76" t="s">
        <v>363</v>
      </c>
      <c r="F176" s="76"/>
      <c r="G176" s="76" t="s">
        <v>178</v>
      </c>
      <c r="H176" s="215">
        <v>46106</v>
      </c>
      <c r="I176" s="215">
        <v>46349</v>
      </c>
      <c r="J176" s="255">
        <v>1148</v>
      </c>
      <c r="K176" s="211"/>
      <c r="L176" s="211"/>
      <c r="M176" s="211"/>
      <c r="N176" s="211">
        <v>15</v>
      </c>
      <c r="O176" s="211">
        <f t="shared" si="41"/>
        <v>15</v>
      </c>
      <c r="P176" s="211"/>
      <c r="Q176" s="211"/>
      <c r="R176" s="211"/>
      <c r="S176" s="211"/>
      <c r="T176" s="211">
        <f t="shared" si="47"/>
        <v>0</v>
      </c>
      <c r="U176" s="211">
        <f t="shared" si="42"/>
        <v>0</v>
      </c>
      <c r="V176" s="211">
        <f t="shared" si="43"/>
        <v>0</v>
      </c>
      <c r="W176" s="211">
        <f t="shared" si="44"/>
        <v>0</v>
      </c>
      <c r="X176" s="211">
        <f t="shared" si="45"/>
        <v>15</v>
      </c>
      <c r="Y176" s="211">
        <f t="shared" si="48"/>
        <v>15</v>
      </c>
      <c r="Z176" s="211">
        <f t="shared" si="49"/>
        <v>0</v>
      </c>
      <c r="AA176" s="211">
        <f t="shared" si="50"/>
        <v>0</v>
      </c>
      <c r="AB176" s="211">
        <f t="shared" si="51"/>
        <v>0</v>
      </c>
      <c r="AC176" s="211">
        <f t="shared" si="52"/>
        <v>15</v>
      </c>
      <c r="AD176" s="211">
        <f t="shared" si="53"/>
        <v>15</v>
      </c>
      <c r="AE176" s="76" t="s">
        <v>518</v>
      </c>
      <c r="AF176" s="76" t="s">
        <v>23</v>
      </c>
      <c r="AG176" s="298"/>
      <c r="AH176" s="298"/>
      <c r="AI176" s="298"/>
      <c r="AJ176" s="298"/>
      <c r="AK176" s="298"/>
      <c r="AL176" s="298"/>
      <c r="AM176" s="298"/>
      <c r="AN176" s="298"/>
      <c r="AO176" s="255"/>
      <c r="AP176" s="255"/>
      <c r="AQ176" s="255"/>
      <c r="AR176" s="255"/>
      <c r="AS176" s="76">
        <f t="shared" si="46"/>
        <v>0</v>
      </c>
      <c r="AT176" s="76" t="s">
        <v>518</v>
      </c>
      <c r="AU176" s="76" t="s">
        <v>23</v>
      </c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>
        <f t="shared" si="54"/>
        <v>0</v>
      </c>
      <c r="BI176" s="76" t="s">
        <v>518</v>
      </c>
      <c r="BJ176" s="76" t="s">
        <v>23</v>
      </c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>
        <f t="shared" si="55"/>
        <v>0</v>
      </c>
      <c r="BX176" s="76" t="s">
        <v>518</v>
      </c>
      <c r="BY176" s="76" t="s">
        <v>23</v>
      </c>
      <c r="BZ176" s="76"/>
      <c r="CA176" s="76"/>
      <c r="CB176" s="76"/>
      <c r="CC176" s="76"/>
      <c r="CD176" s="76"/>
      <c r="CE176" s="76">
        <v>15</v>
      </c>
      <c r="CF176" s="76"/>
      <c r="CG176" s="76"/>
      <c r="CH176" s="76"/>
      <c r="CI176" s="76"/>
      <c r="CJ176" s="76"/>
      <c r="CK176" s="76"/>
      <c r="CL176" s="76">
        <f t="shared" si="56"/>
        <v>15</v>
      </c>
      <c r="CM176" s="211">
        <f t="shared" si="57"/>
        <v>0</v>
      </c>
      <c r="CN176" s="211">
        <f t="shared" si="58"/>
        <v>0</v>
      </c>
      <c r="CO176" s="211">
        <f t="shared" si="59"/>
        <v>0</v>
      </c>
      <c r="CP176" s="211">
        <f t="shared" si="60"/>
        <v>0</v>
      </c>
    </row>
    <row r="177" spans="1:94" s="6" customFormat="1" ht="13.8" x14ac:dyDescent="0.3">
      <c r="A177" s="78">
        <v>175</v>
      </c>
      <c r="B177" s="76" t="s">
        <v>511</v>
      </c>
      <c r="C177" s="76" t="s">
        <v>166</v>
      </c>
      <c r="D177" s="76">
        <v>1</v>
      </c>
      <c r="E177" s="76" t="s">
        <v>364</v>
      </c>
      <c r="F177" s="76"/>
      <c r="G177" s="76" t="s">
        <v>189</v>
      </c>
      <c r="H177" s="215">
        <v>46107</v>
      </c>
      <c r="I177" s="215"/>
      <c r="J177" s="255"/>
      <c r="K177" s="211"/>
      <c r="L177" s="211"/>
      <c r="M177" s="211"/>
      <c r="N177" s="211"/>
      <c r="O177" s="211">
        <f t="shared" si="41"/>
        <v>0</v>
      </c>
      <c r="P177" s="211"/>
      <c r="Q177" s="211"/>
      <c r="R177" s="211"/>
      <c r="S177" s="211"/>
      <c r="T177" s="211">
        <f t="shared" si="47"/>
        <v>0</v>
      </c>
      <c r="U177" s="211">
        <f t="shared" si="42"/>
        <v>0</v>
      </c>
      <c r="V177" s="211">
        <f t="shared" si="43"/>
        <v>0</v>
      </c>
      <c r="W177" s="211">
        <f t="shared" si="44"/>
        <v>0</v>
      </c>
      <c r="X177" s="211">
        <f t="shared" si="45"/>
        <v>0</v>
      </c>
      <c r="Y177" s="211">
        <f t="shared" si="48"/>
        <v>0</v>
      </c>
      <c r="Z177" s="211">
        <f t="shared" si="49"/>
        <v>0</v>
      </c>
      <c r="AA177" s="211">
        <f t="shared" si="50"/>
        <v>0</v>
      </c>
      <c r="AB177" s="211">
        <f t="shared" si="51"/>
        <v>0</v>
      </c>
      <c r="AC177" s="211">
        <f t="shared" si="52"/>
        <v>0</v>
      </c>
      <c r="AD177" s="211">
        <f t="shared" si="53"/>
        <v>0</v>
      </c>
      <c r="AE177" s="76" t="s">
        <v>518</v>
      </c>
      <c r="AF177" s="76" t="s">
        <v>22</v>
      </c>
      <c r="AG177" s="298"/>
      <c r="AH177" s="298"/>
      <c r="AI177" s="298"/>
      <c r="AJ177" s="298"/>
      <c r="AK177" s="298"/>
      <c r="AL177" s="298"/>
      <c r="AM177" s="298"/>
      <c r="AN177" s="298"/>
      <c r="AO177" s="255"/>
      <c r="AP177" s="255"/>
      <c r="AQ177" s="255"/>
      <c r="AR177" s="255"/>
      <c r="AS177" s="76">
        <f t="shared" si="46"/>
        <v>0</v>
      </c>
      <c r="AT177" s="76" t="s">
        <v>518</v>
      </c>
      <c r="AU177" s="76" t="s">
        <v>22</v>
      </c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>
        <f t="shared" si="54"/>
        <v>0</v>
      </c>
      <c r="BI177" s="76" t="s">
        <v>518</v>
      </c>
      <c r="BJ177" s="76" t="s">
        <v>22</v>
      </c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>
        <f t="shared" si="55"/>
        <v>0</v>
      </c>
      <c r="BX177" s="76" t="s">
        <v>518</v>
      </c>
      <c r="BY177" s="76" t="s">
        <v>22</v>
      </c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>
        <f t="shared" si="56"/>
        <v>0</v>
      </c>
      <c r="CM177" s="211">
        <f t="shared" si="57"/>
        <v>0</v>
      </c>
      <c r="CN177" s="211">
        <f t="shared" si="58"/>
        <v>0</v>
      </c>
      <c r="CO177" s="211">
        <f t="shared" si="59"/>
        <v>0</v>
      </c>
      <c r="CP177" s="211">
        <f t="shared" si="60"/>
        <v>0</v>
      </c>
    </row>
    <row r="178" spans="1:94" s="6" customFormat="1" ht="21" customHeight="1" x14ac:dyDescent="0.3">
      <c r="A178" s="4">
        <v>176</v>
      </c>
      <c r="B178" s="76">
        <v>30493</v>
      </c>
      <c r="C178" s="76" t="s">
        <v>166</v>
      </c>
      <c r="D178" s="76">
        <v>1</v>
      </c>
      <c r="E178" s="76" t="s">
        <v>365</v>
      </c>
      <c r="F178" s="76"/>
      <c r="G178" s="76" t="s">
        <v>178</v>
      </c>
      <c r="H178" s="215">
        <v>46108</v>
      </c>
      <c r="I178" s="215">
        <v>46277</v>
      </c>
      <c r="J178" s="255"/>
      <c r="K178" s="211"/>
      <c r="L178" s="211"/>
      <c r="M178" s="211"/>
      <c r="N178" s="211">
        <v>8</v>
      </c>
      <c r="O178" s="211">
        <f t="shared" si="41"/>
        <v>8</v>
      </c>
      <c r="P178" s="211"/>
      <c r="Q178" s="211"/>
      <c r="R178" s="211"/>
      <c r="S178" s="211"/>
      <c r="T178" s="211">
        <f t="shared" si="47"/>
        <v>0</v>
      </c>
      <c r="U178" s="211">
        <f t="shared" si="42"/>
        <v>0</v>
      </c>
      <c r="V178" s="211">
        <f t="shared" si="43"/>
        <v>0</v>
      </c>
      <c r="W178" s="211">
        <f t="shared" si="44"/>
        <v>0</v>
      </c>
      <c r="X178" s="211">
        <f t="shared" si="45"/>
        <v>8</v>
      </c>
      <c r="Y178" s="211">
        <f t="shared" si="48"/>
        <v>8</v>
      </c>
      <c r="Z178" s="211">
        <f t="shared" si="49"/>
        <v>0</v>
      </c>
      <c r="AA178" s="211">
        <f t="shared" si="50"/>
        <v>0</v>
      </c>
      <c r="AB178" s="211">
        <f t="shared" si="51"/>
        <v>0</v>
      </c>
      <c r="AC178" s="211">
        <f t="shared" si="52"/>
        <v>0</v>
      </c>
      <c r="AD178" s="211">
        <f t="shared" si="53"/>
        <v>0</v>
      </c>
      <c r="AE178" s="76" t="s">
        <v>518</v>
      </c>
      <c r="AF178" s="76" t="s">
        <v>23</v>
      </c>
      <c r="AG178" s="298"/>
      <c r="AH178" s="298"/>
      <c r="AI178" s="298"/>
      <c r="AJ178" s="298"/>
      <c r="AK178" s="298"/>
      <c r="AL178" s="298"/>
      <c r="AM178" s="298"/>
      <c r="AN178" s="298"/>
      <c r="AO178" s="255"/>
      <c r="AP178" s="255"/>
      <c r="AQ178" s="255"/>
      <c r="AR178" s="255"/>
      <c r="AS178" s="76">
        <f t="shared" si="46"/>
        <v>0</v>
      </c>
      <c r="AT178" s="76" t="s">
        <v>518</v>
      </c>
      <c r="AU178" s="76" t="s">
        <v>23</v>
      </c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>
        <f t="shared" si="54"/>
        <v>0</v>
      </c>
      <c r="BI178" s="76" t="s">
        <v>518</v>
      </c>
      <c r="BJ178" s="76" t="s">
        <v>23</v>
      </c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>
        <f t="shared" si="55"/>
        <v>0</v>
      </c>
      <c r="BX178" s="76" t="s">
        <v>518</v>
      </c>
      <c r="BY178" s="76" t="s">
        <v>23</v>
      </c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>
        <f t="shared" si="56"/>
        <v>0</v>
      </c>
      <c r="CM178" s="211">
        <f t="shared" si="57"/>
        <v>0</v>
      </c>
      <c r="CN178" s="211">
        <f t="shared" si="58"/>
        <v>0</v>
      </c>
      <c r="CO178" s="211">
        <f t="shared" si="59"/>
        <v>0</v>
      </c>
      <c r="CP178" s="211">
        <f t="shared" si="60"/>
        <v>8</v>
      </c>
    </row>
    <row r="179" spans="1:94" s="6" customFormat="1" ht="21" customHeight="1" x14ac:dyDescent="0.3">
      <c r="A179" s="78">
        <v>177</v>
      </c>
      <c r="B179" s="76">
        <v>27003</v>
      </c>
      <c r="C179" s="76" t="s">
        <v>166</v>
      </c>
      <c r="D179" s="76">
        <v>1</v>
      </c>
      <c r="E179" s="76" t="s">
        <v>366</v>
      </c>
      <c r="F179" s="76" t="s">
        <v>505</v>
      </c>
      <c r="G179" s="76" t="s">
        <v>178</v>
      </c>
      <c r="H179" s="215">
        <v>46111</v>
      </c>
      <c r="I179" s="215">
        <v>46278</v>
      </c>
      <c r="J179" s="255"/>
      <c r="K179" s="211"/>
      <c r="L179" s="211"/>
      <c r="M179" s="211"/>
      <c r="N179" s="211"/>
      <c r="O179" s="211">
        <f t="shared" si="41"/>
        <v>0</v>
      </c>
      <c r="P179" s="211"/>
      <c r="Q179" s="211"/>
      <c r="R179" s="211"/>
      <c r="S179" s="211"/>
      <c r="T179" s="211">
        <f t="shared" si="47"/>
        <v>0</v>
      </c>
      <c r="U179" s="211">
        <f t="shared" si="42"/>
        <v>0</v>
      </c>
      <c r="V179" s="211">
        <f t="shared" si="43"/>
        <v>0</v>
      </c>
      <c r="W179" s="211">
        <f t="shared" si="44"/>
        <v>0</v>
      </c>
      <c r="X179" s="211">
        <f t="shared" si="45"/>
        <v>0</v>
      </c>
      <c r="Y179" s="211">
        <f t="shared" si="48"/>
        <v>0</v>
      </c>
      <c r="Z179" s="211">
        <f t="shared" si="49"/>
        <v>0</v>
      </c>
      <c r="AA179" s="211">
        <f t="shared" si="50"/>
        <v>0</v>
      </c>
      <c r="AB179" s="211">
        <f t="shared" si="51"/>
        <v>0</v>
      </c>
      <c r="AC179" s="211">
        <f t="shared" si="52"/>
        <v>0</v>
      </c>
      <c r="AD179" s="211">
        <f t="shared" si="53"/>
        <v>0</v>
      </c>
      <c r="AE179" s="76" t="s">
        <v>518</v>
      </c>
      <c r="AF179" s="76" t="s">
        <v>23</v>
      </c>
      <c r="AG179" s="298"/>
      <c r="AH179" s="298"/>
      <c r="AI179" s="298"/>
      <c r="AJ179" s="298"/>
      <c r="AK179" s="298"/>
      <c r="AL179" s="298"/>
      <c r="AM179" s="298"/>
      <c r="AN179" s="298"/>
      <c r="AO179" s="255"/>
      <c r="AP179" s="255"/>
      <c r="AQ179" s="255"/>
      <c r="AR179" s="255"/>
      <c r="AS179" s="76">
        <f t="shared" si="46"/>
        <v>0</v>
      </c>
      <c r="AT179" s="76" t="s">
        <v>518</v>
      </c>
      <c r="AU179" s="76" t="s">
        <v>23</v>
      </c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>
        <f t="shared" si="54"/>
        <v>0</v>
      </c>
      <c r="BI179" s="76" t="s">
        <v>518</v>
      </c>
      <c r="BJ179" s="76" t="s">
        <v>23</v>
      </c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>
        <f t="shared" si="55"/>
        <v>0</v>
      </c>
      <c r="BX179" s="76" t="s">
        <v>518</v>
      </c>
      <c r="BY179" s="76" t="s">
        <v>23</v>
      </c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>
        <f t="shared" si="56"/>
        <v>0</v>
      </c>
      <c r="CM179" s="211">
        <f t="shared" si="57"/>
        <v>0</v>
      </c>
      <c r="CN179" s="211">
        <f t="shared" si="58"/>
        <v>0</v>
      </c>
      <c r="CO179" s="211">
        <f t="shared" si="59"/>
        <v>0</v>
      </c>
      <c r="CP179" s="211">
        <f t="shared" si="60"/>
        <v>0</v>
      </c>
    </row>
    <row r="180" spans="1:94" s="6" customFormat="1" ht="21" customHeight="1" x14ac:dyDescent="0.3">
      <c r="A180" s="4">
        <v>178</v>
      </c>
      <c r="B180" s="76">
        <v>30941</v>
      </c>
      <c r="C180" s="76" t="s">
        <v>166</v>
      </c>
      <c r="D180" s="76">
        <v>1</v>
      </c>
      <c r="E180" s="76" t="s">
        <v>367</v>
      </c>
      <c r="F180" s="76"/>
      <c r="G180" s="76" t="s">
        <v>178</v>
      </c>
      <c r="H180" s="215">
        <v>46112</v>
      </c>
      <c r="I180" s="215">
        <v>46338</v>
      </c>
      <c r="J180" s="255"/>
      <c r="K180" s="211"/>
      <c r="L180" s="211"/>
      <c r="M180" s="211"/>
      <c r="N180" s="211">
        <v>20</v>
      </c>
      <c r="O180" s="211">
        <f t="shared" si="41"/>
        <v>20</v>
      </c>
      <c r="P180" s="211"/>
      <c r="Q180" s="211"/>
      <c r="R180" s="211"/>
      <c r="S180" s="211"/>
      <c r="T180" s="211">
        <f t="shared" si="47"/>
        <v>0</v>
      </c>
      <c r="U180" s="211">
        <f t="shared" si="42"/>
        <v>0</v>
      </c>
      <c r="V180" s="211">
        <f t="shared" si="43"/>
        <v>0</v>
      </c>
      <c r="W180" s="211">
        <f t="shared" si="44"/>
        <v>0</v>
      </c>
      <c r="X180" s="211">
        <f t="shared" si="45"/>
        <v>20</v>
      </c>
      <c r="Y180" s="211">
        <f t="shared" si="48"/>
        <v>20</v>
      </c>
      <c r="Z180" s="211">
        <f t="shared" si="49"/>
        <v>0</v>
      </c>
      <c r="AA180" s="211">
        <f t="shared" si="50"/>
        <v>0</v>
      </c>
      <c r="AB180" s="211">
        <f t="shared" si="51"/>
        <v>0</v>
      </c>
      <c r="AC180" s="211">
        <f t="shared" si="52"/>
        <v>0</v>
      </c>
      <c r="AD180" s="211">
        <f t="shared" si="53"/>
        <v>0</v>
      </c>
      <c r="AE180" s="76" t="s">
        <v>518</v>
      </c>
      <c r="AF180" s="76" t="s">
        <v>23</v>
      </c>
      <c r="AG180" s="298"/>
      <c r="AH180" s="298"/>
      <c r="AI180" s="298"/>
      <c r="AJ180" s="298"/>
      <c r="AK180" s="298"/>
      <c r="AL180" s="298"/>
      <c r="AM180" s="298"/>
      <c r="AN180" s="298"/>
      <c r="AO180" s="255"/>
      <c r="AP180" s="255"/>
      <c r="AQ180" s="255"/>
      <c r="AR180" s="255"/>
      <c r="AS180" s="76">
        <f t="shared" si="46"/>
        <v>0</v>
      </c>
      <c r="AT180" s="76" t="s">
        <v>518</v>
      </c>
      <c r="AU180" s="76" t="s">
        <v>23</v>
      </c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>
        <f t="shared" si="54"/>
        <v>0</v>
      </c>
      <c r="BI180" s="76" t="s">
        <v>518</v>
      </c>
      <c r="BJ180" s="76" t="s">
        <v>23</v>
      </c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>
        <f t="shared" si="55"/>
        <v>0</v>
      </c>
      <c r="BX180" s="76" t="s">
        <v>518</v>
      </c>
      <c r="BY180" s="76" t="s">
        <v>23</v>
      </c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>
        <f t="shared" si="56"/>
        <v>0</v>
      </c>
      <c r="CM180" s="211">
        <f t="shared" si="57"/>
        <v>0</v>
      </c>
      <c r="CN180" s="211">
        <f t="shared" si="58"/>
        <v>0</v>
      </c>
      <c r="CO180" s="211">
        <f t="shared" si="59"/>
        <v>0</v>
      </c>
      <c r="CP180" s="211">
        <f t="shared" si="60"/>
        <v>20</v>
      </c>
    </row>
    <row r="181" spans="1:94" s="6" customFormat="1" ht="24.6" customHeight="1" x14ac:dyDescent="0.3">
      <c r="A181" s="78">
        <v>179</v>
      </c>
      <c r="B181" s="76">
        <v>30488</v>
      </c>
      <c r="C181" s="76" t="s">
        <v>166</v>
      </c>
      <c r="D181" s="76">
        <v>28</v>
      </c>
      <c r="E181" s="76" t="s">
        <v>582</v>
      </c>
      <c r="F181" s="76"/>
      <c r="G181" s="76" t="s">
        <v>162</v>
      </c>
      <c r="H181" s="215">
        <v>46111</v>
      </c>
      <c r="I181" s="215"/>
      <c r="J181" s="255"/>
      <c r="K181" s="211">
        <v>2100</v>
      </c>
      <c r="L181" s="211">
        <v>450</v>
      </c>
      <c r="M181" s="211"/>
      <c r="N181" s="211"/>
      <c r="O181" s="211">
        <f t="shared" si="41"/>
        <v>2550</v>
      </c>
      <c r="P181" s="211"/>
      <c r="Q181" s="211"/>
      <c r="R181" s="211"/>
      <c r="S181" s="211"/>
      <c r="T181" s="211">
        <f t="shared" si="47"/>
        <v>0</v>
      </c>
      <c r="U181" s="211">
        <f t="shared" si="42"/>
        <v>2100</v>
      </c>
      <c r="V181" s="211">
        <f t="shared" si="43"/>
        <v>450</v>
      </c>
      <c r="W181" s="211">
        <f t="shared" si="44"/>
        <v>0</v>
      </c>
      <c r="X181" s="211">
        <f t="shared" si="45"/>
        <v>0</v>
      </c>
      <c r="Y181" s="211">
        <f t="shared" si="48"/>
        <v>2550</v>
      </c>
      <c r="Z181" s="211">
        <f t="shared" si="49"/>
        <v>2100</v>
      </c>
      <c r="AA181" s="211">
        <f t="shared" si="50"/>
        <v>450</v>
      </c>
      <c r="AB181" s="211">
        <f t="shared" si="51"/>
        <v>0</v>
      </c>
      <c r="AC181" s="211">
        <f t="shared" si="52"/>
        <v>0</v>
      </c>
      <c r="AD181" s="211">
        <f t="shared" si="53"/>
        <v>2550</v>
      </c>
      <c r="AE181" s="76" t="s">
        <v>518</v>
      </c>
      <c r="AF181" s="76" t="s">
        <v>23</v>
      </c>
      <c r="AG181" s="298"/>
      <c r="AH181" s="298"/>
      <c r="AI181" s="298">
        <v>525</v>
      </c>
      <c r="AJ181" s="298">
        <v>525</v>
      </c>
      <c r="AK181" s="298">
        <v>525</v>
      </c>
      <c r="AL181" s="298">
        <v>525</v>
      </c>
      <c r="AM181" s="298"/>
      <c r="AN181" s="298"/>
      <c r="AO181" s="255"/>
      <c r="AP181" s="255"/>
      <c r="AQ181" s="255"/>
      <c r="AR181" s="255"/>
      <c r="AS181" s="76">
        <f t="shared" si="46"/>
        <v>2100</v>
      </c>
      <c r="AT181" s="76" t="s">
        <v>518</v>
      </c>
      <c r="AU181" s="76" t="s">
        <v>23</v>
      </c>
      <c r="AV181" s="76"/>
      <c r="AW181" s="76"/>
      <c r="AX181" s="76"/>
      <c r="AY181" s="76">
        <v>225</v>
      </c>
      <c r="AZ181" s="76">
        <v>225</v>
      </c>
      <c r="BA181" s="76"/>
      <c r="BB181" s="76"/>
      <c r="BC181" s="76"/>
      <c r="BD181" s="76"/>
      <c r="BE181" s="76"/>
      <c r="BF181" s="76"/>
      <c r="BG181" s="76"/>
      <c r="BH181" s="76">
        <f t="shared" si="54"/>
        <v>450</v>
      </c>
      <c r="BI181" s="76" t="s">
        <v>518</v>
      </c>
      <c r="BJ181" s="76" t="s">
        <v>23</v>
      </c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>
        <f t="shared" si="55"/>
        <v>0</v>
      </c>
      <c r="BX181" s="76" t="s">
        <v>518</v>
      </c>
      <c r="BY181" s="76" t="s">
        <v>23</v>
      </c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>
        <f t="shared" si="56"/>
        <v>0</v>
      </c>
      <c r="CM181" s="211">
        <f t="shared" si="57"/>
        <v>0</v>
      </c>
      <c r="CN181" s="211">
        <f t="shared" si="58"/>
        <v>0</v>
      </c>
      <c r="CO181" s="211">
        <f t="shared" si="59"/>
        <v>0</v>
      </c>
      <c r="CP181" s="211">
        <f t="shared" si="60"/>
        <v>0</v>
      </c>
    </row>
    <row r="182" spans="1:94" s="6" customFormat="1" ht="24.6" customHeight="1" x14ac:dyDescent="0.3">
      <c r="A182" s="4">
        <v>180</v>
      </c>
      <c r="B182" s="76">
        <v>25991</v>
      </c>
      <c r="C182" s="76" t="s">
        <v>166</v>
      </c>
      <c r="D182" s="76">
        <v>1</v>
      </c>
      <c r="E182" s="76" t="s">
        <v>296</v>
      </c>
      <c r="F182" s="76"/>
      <c r="G182" s="76" t="s">
        <v>178</v>
      </c>
      <c r="H182" s="215">
        <v>46093</v>
      </c>
      <c r="I182" s="215">
        <v>46367</v>
      </c>
      <c r="J182" s="255"/>
      <c r="K182" s="211"/>
      <c r="L182" s="211"/>
      <c r="M182" s="211">
        <v>10</v>
      </c>
      <c r="N182" s="211">
        <v>125</v>
      </c>
      <c r="O182" s="211">
        <f t="shared" si="41"/>
        <v>135</v>
      </c>
      <c r="P182" s="211"/>
      <c r="Q182" s="211"/>
      <c r="R182" s="211"/>
      <c r="S182" s="211">
        <v>75</v>
      </c>
      <c r="T182" s="211">
        <f t="shared" si="47"/>
        <v>75</v>
      </c>
      <c r="U182" s="211">
        <f t="shared" si="42"/>
        <v>0</v>
      </c>
      <c r="V182" s="211">
        <f t="shared" si="43"/>
        <v>0</v>
      </c>
      <c r="W182" s="211">
        <f t="shared" si="44"/>
        <v>10</v>
      </c>
      <c r="X182" s="211">
        <f t="shared" si="45"/>
        <v>50</v>
      </c>
      <c r="Y182" s="211">
        <f t="shared" si="48"/>
        <v>60</v>
      </c>
      <c r="Z182" s="211">
        <f t="shared" si="49"/>
        <v>0</v>
      </c>
      <c r="AA182" s="211">
        <f t="shared" si="50"/>
        <v>0</v>
      </c>
      <c r="AB182" s="211">
        <f t="shared" si="51"/>
        <v>0</v>
      </c>
      <c r="AC182" s="211">
        <f t="shared" si="52"/>
        <v>50</v>
      </c>
      <c r="AD182" s="211">
        <f t="shared" si="53"/>
        <v>50</v>
      </c>
      <c r="AE182" s="76" t="s">
        <v>518</v>
      </c>
      <c r="AF182" s="76" t="s">
        <v>23</v>
      </c>
      <c r="AG182" s="298"/>
      <c r="AH182" s="298"/>
      <c r="AI182" s="298"/>
      <c r="AJ182" s="298"/>
      <c r="AK182" s="298"/>
      <c r="AL182" s="298"/>
      <c r="AM182" s="298"/>
      <c r="AN182" s="298"/>
      <c r="AO182" s="255"/>
      <c r="AP182" s="255"/>
      <c r="AQ182" s="255"/>
      <c r="AR182" s="255"/>
      <c r="AS182" s="76">
        <f t="shared" si="46"/>
        <v>0</v>
      </c>
      <c r="AT182" s="76" t="s">
        <v>518</v>
      </c>
      <c r="AU182" s="76" t="s">
        <v>23</v>
      </c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>
        <f t="shared" si="54"/>
        <v>0</v>
      </c>
      <c r="BI182" s="76" t="s">
        <v>518</v>
      </c>
      <c r="BJ182" s="76" t="s">
        <v>23</v>
      </c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>
        <f t="shared" si="55"/>
        <v>0</v>
      </c>
      <c r="BX182" s="76" t="s">
        <v>518</v>
      </c>
      <c r="BY182" s="76" t="s">
        <v>23</v>
      </c>
      <c r="BZ182" s="76"/>
      <c r="CA182" s="76"/>
      <c r="CB182" s="76"/>
      <c r="CC182" s="76"/>
      <c r="CD182" s="76"/>
      <c r="CE182" s="76">
        <v>50</v>
      </c>
      <c r="CF182" s="76"/>
      <c r="CG182" s="76"/>
      <c r="CH182" s="76"/>
      <c r="CI182" s="76"/>
      <c r="CJ182" s="76"/>
      <c r="CK182" s="76"/>
      <c r="CL182" s="76">
        <f t="shared" si="56"/>
        <v>50</v>
      </c>
      <c r="CM182" s="211">
        <f t="shared" si="57"/>
        <v>0</v>
      </c>
      <c r="CN182" s="211">
        <f t="shared" si="58"/>
        <v>0</v>
      </c>
      <c r="CO182" s="211">
        <f t="shared" si="59"/>
        <v>10</v>
      </c>
      <c r="CP182" s="211">
        <f t="shared" si="60"/>
        <v>0</v>
      </c>
    </row>
    <row r="183" spans="1:94" s="6" customFormat="1" ht="25.2" x14ac:dyDescent="0.3">
      <c r="A183" s="78">
        <v>181</v>
      </c>
      <c r="B183" s="76" t="s">
        <v>389</v>
      </c>
      <c r="C183" s="76">
        <v>31367</v>
      </c>
      <c r="D183" s="76">
        <v>2</v>
      </c>
      <c r="E183" s="76" t="s">
        <v>370</v>
      </c>
      <c r="F183" s="76"/>
      <c r="G183" s="76" t="s">
        <v>156</v>
      </c>
      <c r="H183" s="215">
        <v>46114</v>
      </c>
      <c r="I183" s="215">
        <v>46599</v>
      </c>
      <c r="J183" s="255"/>
      <c r="K183" s="230">
        <v>28480</v>
      </c>
      <c r="L183" s="211"/>
      <c r="M183" s="211"/>
      <c r="N183" s="211"/>
      <c r="O183" s="211">
        <f t="shared" si="41"/>
        <v>28480</v>
      </c>
      <c r="P183" s="211"/>
      <c r="Q183" s="211"/>
      <c r="R183" s="211"/>
      <c r="S183" s="211"/>
      <c r="T183" s="211">
        <f t="shared" si="47"/>
        <v>0</v>
      </c>
      <c r="U183" s="211">
        <f t="shared" si="42"/>
        <v>28480</v>
      </c>
      <c r="V183" s="211">
        <f t="shared" si="43"/>
        <v>0</v>
      </c>
      <c r="W183" s="211">
        <f t="shared" si="44"/>
        <v>0</v>
      </c>
      <c r="X183" s="211">
        <f t="shared" si="45"/>
        <v>0</v>
      </c>
      <c r="Y183" s="211">
        <f t="shared" si="48"/>
        <v>28480</v>
      </c>
      <c r="Z183" s="211">
        <f t="shared" si="49"/>
        <v>28480</v>
      </c>
      <c r="AA183" s="211">
        <f t="shared" si="50"/>
        <v>0</v>
      </c>
      <c r="AB183" s="211">
        <f t="shared" si="51"/>
        <v>0</v>
      </c>
      <c r="AC183" s="211">
        <f t="shared" si="52"/>
        <v>0</v>
      </c>
      <c r="AD183" s="211">
        <f t="shared" si="53"/>
        <v>28480</v>
      </c>
      <c r="AE183" s="76" t="s">
        <v>517</v>
      </c>
      <c r="AF183" s="76" t="s">
        <v>22</v>
      </c>
      <c r="AG183" s="298"/>
      <c r="AH183" s="298">
        <v>200</v>
      </c>
      <c r="AI183" s="298">
        <v>200</v>
      </c>
      <c r="AJ183" s="298">
        <v>1000</v>
      </c>
      <c r="AK183" s="298">
        <v>5300</v>
      </c>
      <c r="AL183" s="298">
        <v>6300</v>
      </c>
      <c r="AM183" s="298">
        <v>6050</v>
      </c>
      <c r="AN183" s="298">
        <v>8980</v>
      </c>
      <c r="AO183" s="255">
        <v>450</v>
      </c>
      <c r="AP183" s="255"/>
      <c r="AQ183" s="255"/>
      <c r="AR183" s="255"/>
      <c r="AS183" s="76">
        <f t="shared" si="46"/>
        <v>28480</v>
      </c>
      <c r="AT183" s="76" t="s">
        <v>517</v>
      </c>
      <c r="AU183" s="76" t="s">
        <v>22</v>
      </c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>
        <f t="shared" si="54"/>
        <v>0</v>
      </c>
      <c r="BI183" s="76" t="s">
        <v>517</v>
      </c>
      <c r="BJ183" s="76" t="s">
        <v>22</v>
      </c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>
        <f t="shared" si="55"/>
        <v>0</v>
      </c>
      <c r="BX183" s="76" t="s">
        <v>517</v>
      </c>
      <c r="BY183" s="76" t="s">
        <v>22</v>
      </c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>
        <f t="shared" si="56"/>
        <v>0</v>
      </c>
      <c r="CM183" s="211">
        <f t="shared" si="57"/>
        <v>0</v>
      </c>
      <c r="CN183" s="211">
        <f t="shared" si="58"/>
        <v>0</v>
      </c>
      <c r="CO183" s="211">
        <f t="shared" si="59"/>
        <v>0</v>
      </c>
      <c r="CP183" s="211">
        <f t="shared" si="60"/>
        <v>0</v>
      </c>
    </row>
    <row r="184" spans="1:94" s="6" customFormat="1" ht="37.200000000000003" customHeight="1" x14ac:dyDescent="0.3">
      <c r="A184" s="4">
        <v>182</v>
      </c>
      <c r="B184" s="76">
        <v>31025</v>
      </c>
      <c r="C184" s="76" t="s">
        <v>166</v>
      </c>
      <c r="D184" s="76">
        <v>2</v>
      </c>
      <c r="E184" s="76" t="s">
        <v>390</v>
      </c>
      <c r="F184" s="76"/>
      <c r="G184" s="76" t="s">
        <v>178</v>
      </c>
      <c r="H184" s="215">
        <v>46113</v>
      </c>
      <c r="I184" s="215">
        <v>46377</v>
      </c>
      <c r="J184" s="255">
        <v>7960</v>
      </c>
      <c r="K184" s="211"/>
      <c r="L184" s="211"/>
      <c r="M184" s="211"/>
      <c r="N184" s="211">
        <v>20</v>
      </c>
      <c r="O184" s="211">
        <f t="shared" si="41"/>
        <v>20</v>
      </c>
      <c r="P184" s="211"/>
      <c r="Q184" s="211"/>
      <c r="R184" s="211"/>
      <c r="S184" s="211"/>
      <c r="T184" s="211">
        <f t="shared" si="47"/>
        <v>0</v>
      </c>
      <c r="U184" s="211">
        <f t="shared" si="42"/>
        <v>0</v>
      </c>
      <c r="V184" s="211">
        <f t="shared" si="43"/>
        <v>0</v>
      </c>
      <c r="W184" s="211">
        <f t="shared" si="44"/>
        <v>0</v>
      </c>
      <c r="X184" s="211">
        <f t="shared" si="45"/>
        <v>20</v>
      </c>
      <c r="Y184" s="211">
        <f t="shared" si="48"/>
        <v>20</v>
      </c>
      <c r="Z184" s="211">
        <f t="shared" si="49"/>
        <v>0</v>
      </c>
      <c r="AA184" s="211">
        <f t="shared" si="50"/>
        <v>0</v>
      </c>
      <c r="AB184" s="211">
        <f t="shared" si="51"/>
        <v>0</v>
      </c>
      <c r="AC184" s="211">
        <f t="shared" si="52"/>
        <v>20</v>
      </c>
      <c r="AD184" s="211">
        <f t="shared" si="53"/>
        <v>20</v>
      </c>
      <c r="AE184" s="76" t="s">
        <v>518</v>
      </c>
      <c r="AF184" s="76" t="s">
        <v>23</v>
      </c>
      <c r="AG184" s="298"/>
      <c r="AH184" s="298"/>
      <c r="AI184" s="298"/>
      <c r="AJ184" s="298"/>
      <c r="AK184" s="298"/>
      <c r="AL184" s="298"/>
      <c r="AM184" s="298"/>
      <c r="AN184" s="298"/>
      <c r="AO184" s="255"/>
      <c r="AP184" s="255"/>
      <c r="AQ184" s="255"/>
      <c r="AR184" s="255"/>
      <c r="AS184" s="76">
        <f t="shared" si="46"/>
        <v>0</v>
      </c>
      <c r="AT184" s="76" t="s">
        <v>518</v>
      </c>
      <c r="AU184" s="76" t="s">
        <v>23</v>
      </c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>
        <f t="shared" si="54"/>
        <v>0</v>
      </c>
      <c r="BI184" s="76" t="s">
        <v>518</v>
      </c>
      <c r="BJ184" s="76" t="s">
        <v>23</v>
      </c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>
        <f t="shared" si="55"/>
        <v>0</v>
      </c>
      <c r="BX184" s="76" t="s">
        <v>518</v>
      </c>
      <c r="BY184" s="76" t="s">
        <v>23</v>
      </c>
      <c r="BZ184" s="76"/>
      <c r="CA184" s="76"/>
      <c r="CB184" s="76"/>
      <c r="CC184" s="76"/>
      <c r="CD184" s="76"/>
      <c r="CE184" s="76">
        <v>20</v>
      </c>
      <c r="CF184" s="76"/>
      <c r="CG184" s="76"/>
      <c r="CH184" s="76"/>
      <c r="CI184" s="76"/>
      <c r="CJ184" s="76"/>
      <c r="CK184" s="76"/>
      <c r="CL184" s="76">
        <f t="shared" si="56"/>
        <v>20</v>
      </c>
      <c r="CM184" s="211">
        <f t="shared" si="57"/>
        <v>0</v>
      </c>
      <c r="CN184" s="211">
        <f t="shared" si="58"/>
        <v>0</v>
      </c>
      <c r="CO184" s="211">
        <f t="shared" si="59"/>
        <v>0</v>
      </c>
      <c r="CP184" s="211">
        <f t="shared" si="60"/>
        <v>0</v>
      </c>
    </row>
    <row r="185" spans="1:94" s="6" customFormat="1" ht="37.200000000000003" customHeight="1" x14ac:dyDescent="0.3">
      <c r="A185" s="78">
        <v>183</v>
      </c>
      <c r="B185" s="76">
        <v>31208</v>
      </c>
      <c r="C185" s="76" t="s">
        <v>166</v>
      </c>
      <c r="D185" s="76">
        <v>1</v>
      </c>
      <c r="E185" s="76" t="s">
        <v>391</v>
      </c>
      <c r="F185" s="76"/>
      <c r="G185" s="76" t="s">
        <v>178</v>
      </c>
      <c r="H185" s="215">
        <v>46113</v>
      </c>
      <c r="I185" s="215">
        <v>46382</v>
      </c>
      <c r="J185" s="255">
        <v>10000</v>
      </c>
      <c r="K185" s="211"/>
      <c r="L185" s="211"/>
      <c r="M185" s="211"/>
      <c r="N185" s="211">
        <v>40</v>
      </c>
      <c r="O185" s="211">
        <f t="shared" si="41"/>
        <v>40</v>
      </c>
      <c r="P185" s="211"/>
      <c r="Q185" s="211"/>
      <c r="R185" s="211"/>
      <c r="S185" s="211"/>
      <c r="T185" s="211">
        <f t="shared" si="47"/>
        <v>0</v>
      </c>
      <c r="U185" s="211">
        <f t="shared" si="42"/>
        <v>0</v>
      </c>
      <c r="V185" s="211">
        <f t="shared" si="43"/>
        <v>0</v>
      </c>
      <c r="W185" s="211">
        <f t="shared" si="44"/>
        <v>0</v>
      </c>
      <c r="X185" s="211">
        <f t="shared" si="45"/>
        <v>40</v>
      </c>
      <c r="Y185" s="211">
        <f t="shared" si="48"/>
        <v>40</v>
      </c>
      <c r="Z185" s="211">
        <f t="shared" si="49"/>
        <v>0</v>
      </c>
      <c r="AA185" s="211">
        <f t="shared" si="50"/>
        <v>0</v>
      </c>
      <c r="AB185" s="211">
        <f t="shared" si="51"/>
        <v>0</v>
      </c>
      <c r="AC185" s="211">
        <f t="shared" si="52"/>
        <v>40</v>
      </c>
      <c r="AD185" s="211">
        <f t="shared" si="53"/>
        <v>40</v>
      </c>
      <c r="AE185" s="76" t="s">
        <v>518</v>
      </c>
      <c r="AF185" s="76" t="s">
        <v>23</v>
      </c>
      <c r="AG185" s="298"/>
      <c r="AH185" s="298"/>
      <c r="AI185" s="298"/>
      <c r="AJ185" s="298"/>
      <c r="AK185" s="298"/>
      <c r="AL185" s="298"/>
      <c r="AM185" s="298"/>
      <c r="AN185" s="298"/>
      <c r="AO185" s="255"/>
      <c r="AP185" s="255"/>
      <c r="AQ185" s="255"/>
      <c r="AR185" s="255"/>
      <c r="AS185" s="76">
        <f t="shared" si="46"/>
        <v>0</v>
      </c>
      <c r="AT185" s="76" t="s">
        <v>518</v>
      </c>
      <c r="AU185" s="76" t="s">
        <v>23</v>
      </c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>
        <f t="shared" si="54"/>
        <v>0</v>
      </c>
      <c r="BI185" s="76" t="s">
        <v>518</v>
      </c>
      <c r="BJ185" s="76" t="s">
        <v>23</v>
      </c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>
        <f t="shared" si="55"/>
        <v>0</v>
      </c>
      <c r="BX185" s="76" t="s">
        <v>518</v>
      </c>
      <c r="BY185" s="76" t="s">
        <v>23</v>
      </c>
      <c r="BZ185" s="76"/>
      <c r="CA185" s="76"/>
      <c r="CB185" s="76"/>
      <c r="CC185" s="76"/>
      <c r="CD185" s="76"/>
      <c r="CE185" s="76">
        <v>40</v>
      </c>
      <c r="CF185" s="76"/>
      <c r="CG185" s="76"/>
      <c r="CH185" s="76"/>
      <c r="CI185" s="76"/>
      <c r="CJ185" s="76"/>
      <c r="CK185" s="76"/>
      <c r="CL185" s="76">
        <f t="shared" si="56"/>
        <v>40</v>
      </c>
      <c r="CM185" s="211">
        <f t="shared" si="57"/>
        <v>0</v>
      </c>
      <c r="CN185" s="211">
        <f t="shared" si="58"/>
        <v>0</v>
      </c>
      <c r="CO185" s="211">
        <f t="shared" si="59"/>
        <v>0</v>
      </c>
      <c r="CP185" s="211">
        <f t="shared" si="60"/>
        <v>0</v>
      </c>
    </row>
    <row r="186" spans="1:94" s="6" customFormat="1" ht="37.200000000000003" customHeight="1" x14ac:dyDescent="0.3">
      <c r="A186" s="4">
        <v>184</v>
      </c>
      <c r="B186" s="76">
        <v>30291</v>
      </c>
      <c r="C186" s="76" t="s">
        <v>166</v>
      </c>
      <c r="D186" s="76">
        <v>8</v>
      </c>
      <c r="E186" s="76" t="s">
        <v>392</v>
      </c>
      <c r="F186" s="76"/>
      <c r="G186" s="76" t="s">
        <v>178</v>
      </c>
      <c r="H186" s="215">
        <v>46114</v>
      </c>
      <c r="I186" s="215">
        <v>46291</v>
      </c>
      <c r="J186" s="255">
        <v>10000</v>
      </c>
      <c r="K186" s="211">
        <v>1010</v>
      </c>
      <c r="L186" s="211">
        <v>104</v>
      </c>
      <c r="M186" s="211">
        <v>180</v>
      </c>
      <c r="N186" s="211"/>
      <c r="O186" s="211">
        <f t="shared" si="41"/>
        <v>1294</v>
      </c>
      <c r="P186" s="211"/>
      <c r="Q186" s="211"/>
      <c r="R186" s="211"/>
      <c r="S186" s="211"/>
      <c r="T186" s="211">
        <f t="shared" si="47"/>
        <v>0</v>
      </c>
      <c r="U186" s="211">
        <f t="shared" si="42"/>
        <v>1010</v>
      </c>
      <c r="V186" s="211">
        <f t="shared" si="43"/>
        <v>104</v>
      </c>
      <c r="W186" s="211">
        <f t="shared" si="44"/>
        <v>180</v>
      </c>
      <c r="X186" s="211">
        <f t="shared" si="45"/>
        <v>0</v>
      </c>
      <c r="Y186" s="211">
        <f t="shared" si="48"/>
        <v>1294</v>
      </c>
      <c r="Z186" s="211">
        <f t="shared" si="49"/>
        <v>1010</v>
      </c>
      <c r="AA186" s="211">
        <f t="shared" si="50"/>
        <v>104</v>
      </c>
      <c r="AB186" s="211">
        <f t="shared" si="51"/>
        <v>180</v>
      </c>
      <c r="AC186" s="211">
        <f t="shared" si="52"/>
        <v>0</v>
      </c>
      <c r="AD186" s="211">
        <f t="shared" si="53"/>
        <v>1294</v>
      </c>
      <c r="AE186" s="76" t="s">
        <v>518</v>
      </c>
      <c r="AF186" s="76" t="s">
        <v>23</v>
      </c>
      <c r="AG186" s="298">
        <v>253</v>
      </c>
      <c r="AH186" s="298">
        <v>253</v>
      </c>
      <c r="AI186" s="298">
        <v>252</v>
      </c>
      <c r="AJ186" s="298">
        <v>252</v>
      </c>
      <c r="AK186" s="298"/>
      <c r="AL186" s="298"/>
      <c r="AM186" s="298"/>
      <c r="AN186" s="298"/>
      <c r="AO186" s="255"/>
      <c r="AP186" s="255"/>
      <c r="AQ186" s="255"/>
      <c r="AR186" s="255"/>
      <c r="AS186" s="76">
        <f t="shared" si="46"/>
        <v>1010</v>
      </c>
      <c r="AT186" s="76" t="s">
        <v>518</v>
      </c>
      <c r="AU186" s="76" t="s">
        <v>23</v>
      </c>
      <c r="AV186" s="76"/>
      <c r="AW186" s="76"/>
      <c r="AX186" s="76"/>
      <c r="AY186" s="76"/>
      <c r="AZ186" s="76">
        <v>104</v>
      </c>
      <c r="BA186" s="76"/>
      <c r="BB186" s="76"/>
      <c r="BC186" s="76"/>
      <c r="BD186" s="76"/>
      <c r="BE186" s="76"/>
      <c r="BF186" s="76"/>
      <c r="BG186" s="76"/>
      <c r="BH186" s="76">
        <f t="shared" si="54"/>
        <v>104</v>
      </c>
      <c r="BI186" s="76" t="s">
        <v>518</v>
      </c>
      <c r="BJ186" s="76" t="s">
        <v>23</v>
      </c>
      <c r="BK186" s="76"/>
      <c r="BL186" s="76"/>
      <c r="BM186" s="76"/>
      <c r="BN186" s="76"/>
      <c r="BO186" s="76">
        <v>180</v>
      </c>
      <c r="BP186" s="76"/>
      <c r="BQ186" s="76"/>
      <c r="BR186" s="76"/>
      <c r="BS186" s="76"/>
      <c r="BT186" s="76"/>
      <c r="BU186" s="76"/>
      <c r="BV186" s="76"/>
      <c r="BW186" s="76">
        <f t="shared" si="55"/>
        <v>180</v>
      </c>
      <c r="BX186" s="76" t="s">
        <v>518</v>
      </c>
      <c r="BY186" s="76" t="s">
        <v>23</v>
      </c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>
        <f t="shared" si="56"/>
        <v>0</v>
      </c>
      <c r="CM186" s="211">
        <f t="shared" si="57"/>
        <v>0</v>
      </c>
      <c r="CN186" s="211">
        <f t="shared" si="58"/>
        <v>0</v>
      </c>
      <c r="CO186" s="211">
        <f t="shared" si="59"/>
        <v>0</v>
      </c>
      <c r="CP186" s="211">
        <f t="shared" si="60"/>
        <v>0</v>
      </c>
    </row>
    <row r="187" spans="1:94" s="6" customFormat="1" ht="37.200000000000003" customHeight="1" x14ac:dyDescent="0.3">
      <c r="A187" s="78">
        <v>185</v>
      </c>
      <c r="B187" s="76">
        <v>22452</v>
      </c>
      <c r="C187" s="76" t="s">
        <v>166</v>
      </c>
      <c r="D187" s="76">
        <v>10</v>
      </c>
      <c r="E187" s="76" t="s">
        <v>393</v>
      </c>
      <c r="F187" s="76"/>
      <c r="G187" s="76" t="s">
        <v>178</v>
      </c>
      <c r="H187" s="215">
        <v>45926</v>
      </c>
      <c r="I187" s="215">
        <v>46022</v>
      </c>
      <c r="J187" s="255">
        <v>3500</v>
      </c>
      <c r="K187" s="211"/>
      <c r="L187" s="211"/>
      <c r="M187" s="211"/>
      <c r="N187" s="211">
        <v>120</v>
      </c>
      <c r="O187" s="211">
        <f t="shared" ref="O187:O197" si="61">SUM(K187:N187)</f>
        <v>120</v>
      </c>
      <c r="P187" s="211"/>
      <c r="Q187" s="211"/>
      <c r="R187" s="211"/>
      <c r="S187" s="211">
        <v>74.8</v>
      </c>
      <c r="T187" s="211">
        <f t="shared" si="47"/>
        <v>74.8</v>
      </c>
      <c r="U187" s="211">
        <f t="shared" ref="U187:U199" si="62">K187-P187</f>
        <v>0</v>
      </c>
      <c r="V187" s="211">
        <f t="shared" ref="V187:V199" si="63">L187-Q187</f>
        <v>0</v>
      </c>
      <c r="W187" s="211">
        <f t="shared" ref="W187:W199" si="64">M187-R187</f>
        <v>0</v>
      </c>
      <c r="X187" s="211">
        <f t="shared" ref="X187:X199" si="65">N187-S187</f>
        <v>45.2</v>
      </c>
      <c r="Y187" s="211">
        <f t="shared" si="48"/>
        <v>45.2</v>
      </c>
      <c r="Z187" s="211">
        <f t="shared" si="49"/>
        <v>0</v>
      </c>
      <c r="AA187" s="211">
        <f t="shared" si="50"/>
        <v>0</v>
      </c>
      <c r="AB187" s="211">
        <f t="shared" si="51"/>
        <v>0</v>
      </c>
      <c r="AC187" s="211">
        <f t="shared" si="52"/>
        <v>45</v>
      </c>
      <c r="AD187" s="211">
        <f t="shared" si="53"/>
        <v>45</v>
      </c>
      <c r="AE187" s="76" t="s">
        <v>518</v>
      </c>
      <c r="AF187" s="76" t="s">
        <v>23</v>
      </c>
      <c r="AG187" s="298"/>
      <c r="AH187" s="298"/>
      <c r="AI187" s="298"/>
      <c r="AJ187" s="298"/>
      <c r="AK187" s="298"/>
      <c r="AL187" s="298"/>
      <c r="AM187" s="298"/>
      <c r="AN187" s="298"/>
      <c r="AO187" s="255"/>
      <c r="AP187" s="255"/>
      <c r="AQ187" s="255"/>
      <c r="AR187" s="255"/>
      <c r="AS187" s="76">
        <f t="shared" ref="AS187:AS195" si="66">SUM(AG187:AR187)</f>
        <v>0</v>
      </c>
      <c r="AT187" s="76" t="s">
        <v>518</v>
      </c>
      <c r="AU187" s="76" t="s">
        <v>23</v>
      </c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>
        <f t="shared" si="54"/>
        <v>0</v>
      </c>
      <c r="BI187" s="76" t="s">
        <v>518</v>
      </c>
      <c r="BJ187" s="76" t="s">
        <v>23</v>
      </c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>
        <f t="shared" si="55"/>
        <v>0</v>
      </c>
      <c r="BX187" s="76" t="s">
        <v>518</v>
      </c>
      <c r="BY187" s="76" t="s">
        <v>23</v>
      </c>
      <c r="BZ187" s="76"/>
      <c r="CA187" s="76"/>
      <c r="CB187" s="76"/>
      <c r="CC187" s="76"/>
      <c r="CD187" s="76"/>
      <c r="CE187" s="76">
        <v>45</v>
      </c>
      <c r="CF187" s="76"/>
      <c r="CG187" s="76"/>
      <c r="CH187" s="76"/>
      <c r="CI187" s="76"/>
      <c r="CJ187" s="76"/>
      <c r="CK187" s="76"/>
      <c r="CL187" s="76">
        <f t="shared" si="56"/>
        <v>45</v>
      </c>
      <c r="CM187" s="211">
        <f t="shared" si="57"/>
        <v>0</v>
      </c>
      <c r="CN187" s="211">
        <f t="shared" si="58"/>
        <v>0</v>
      </c>
      <c r="CO187" s="211">
        <f t="shared" si="59"/>
        <v>0</v>
      </c>
      <c r="CP187" s="211">
        <f t="shared" si="60"/>
        <v>0.20000000000000284</v>
      </c>
    </row>
    <row r="188" spans="1:94" s="6" customFormat="1" ht="37.200000000000003" customHeight="1" x14ac:dyDescent="0.3">
      <c r="A188" s="4">
        <v>186</v>
      </c>
      <c r="B188" s="76" t="s">
        <v>394</v>
      </c>
      <c r="C188" s="76" t="s">
        <v>24</v>
      </c>
      <c r="D188" s="76">
        <v>1</v>
      </c>
      <c r="E188" s="76" t="s">
        <v>395</v>
      </c>
      <c r="F188" s="76"/>
      <c r="G188" s="76" t="s">
        <v>156</v>
      </c>
      <c r="H188" s="215">
        <v>46127</v>
      </c>
      <c r="I188" s="215">
        <v>46387</v>
      </c>
      <c r="J188" s="255">
        <v>9167</v>
      </c>
      <c r="K188" s="211">
        <v>2023</v>
      </c>
      <c r="L188" s="211"/>
      <c r="M188" s="211">
        <v>14</v>
      </c>
      <c r="N188" s="211"/>
      <c r="O188" s="211">
        <f t="shared" si="61"/>
        <v>2037</v>
      </c>
      <c r="P188" s="211"/>
      <c r="Q188" s="211"/>
      <c r="R188" s="211"/>
      <c r="S188" s="211"/>
      <c r="T188" s="211">
        <f t="shared" ref="T188:T199" si="67">SUM(P188:S188)</f>
        <v>0</v>
      </c>
      <c r="U188" s="211">
        <f t="shared" si="62"/>
        <v>2023</v>
      </c>
      <c r="V188" s="211">
        <f t="shared" si="63"/>
        <v>0</v>
      </c>
      <c r="W188" s="211">
        <f t="shared" si="64"/>
        <v>14</v>
      </c>
      <c r="X188" s="211">
        <f t="shared" si="65"/>
        <v>0</v>
      </c>
      <c r="Y188" s="211">
        <f t="shared" ref="Y188:Y199" si="68">SUM(U188:X188)</f>
        <v>2037</v>
      </c>
      <c r="Z188" s="211">
        <f t="shared" ref="Z188:Z195" si="69">AS188</f>
        <v>2023</v>
      </c>
      <c r="AA188" s="211">
        <f t="shared" ref="AA188:AA195" si="70">BH188</f>
        <v>0</v>
      </c>
      <c r="AB188" s="211">
        <f t="shared" ref="AB188:AB195" si="71">BW188</f>
        <v>14</v>
      </c>
      <c r="AC188" s="211">
        <f t="shared" ref="AC188:AC199" si="72">CL188</f>
        <v>0</v>
      </c>
      <c r="AD188" s="211">
        <f t="shared" ref="AD188:AD199" si="73">SUM(Z188:AC188)</f>
        <v>2037</v>
      </c>
      <c r="AE188" s="76" t="s">
        <v>517</v>
      </c>
      <c r="AF188" s="76" t="s">
        <v>24</v>
      </c>
      <c r="AG188" s="298"/>
      <c r="AH188" s="298"/>
      <c r="AI188" s="298"/>
      <c r="AJ188" s="298">
        <v>405</v>
      </c>
      <c r="AK188" s="298">
        <v>405</v>
      </c>
      <c r="AL188" s="298">
        <v>404</v>
      </c>
      <c r="AM188" s="298">
        <v>404</v>
      </c>
      <c r="AN188" s="298">
        <v>405</v>
      </c>
      <c r="AO188" s="255"/>
      <c r="AP188" s="255"/>
      <c r="AQ188" s="255"/>
      <c r="AR188" s="255"/>
      <c r="AS188" s="76">
        <f t="shared" si="66"/>
        <v>2023</v>
      </c>
      <c r="AT188" s="76" t="s">
        <v>517</v>
      </c>
      <c r="AU188" s="76" t="s">
        <v>24</v>
      </c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>
        <f t="shared" ref="BH188:BH198" si="74">SUM(AV188:BG188)</f>
        <v>0</v>
      </c>
      <c r="BI188" s="76" t="s">
        <v>517</v>
      </c>
      <c r="BJ188" s="76" t="s">
        <v>24</v>
      </c>
      <c r="BK188" s="76"/>
      <c r="BL188" s="76"/>
      <c r="BM188" s="76"/>
      <c r="BN188" s="76"/>
      <c r="BO188" s="76"/>
      <c r="BP188" s="76">
        <v>14</v>
      </c>
      <c r="BQ188" s="76"/>
      <c r="BR188" s="76"/>
      <c r="BS188" s="76"/>
      <c r="BT188" s="76"/>
      <c r="BU188" s="76"/>
      <c r="BV188" s="76"/>
      <c r="BW188" s="76">
        <f t="shared" ref="BW188:BW198" si="75">SUM(BK188:BV188)</f>
        <v>14</v>
      </c>
      <c r="BX188" s="76" t="s">
        <v>517</v>
      </c>
      <c r="BY188" s="76" t="s">
        <v>24</v>
      </c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>
        <f t="shared" ref="CL188:CL195" si="76">SUM(BZ188:CK188)</f>
        <v>0</v>
      </c>
      <c r="CM188" s="211">
        <f t="shared" ref="CM188:CM195" si="77">U188-Z188</f>
        <v>0</v>
      </c>
      <c r="CN188" s="211">
        <f t="shared" ref="CN188:CN195" si="78">V188-AA188</f>
        <v>0</v>
      </c>
      <c r="CO188" s="211">
        <f t="shared" ref="CO188:CO195" si="79">W188-AB188</f>
        <v>0</v>
      </c>
      <c r="CP188" s="211">
        <f t="shared" ref="CP188:CP195" si="80">X188-AC188</f>
        <v>0</v>
      </c>
    </row>
    <row r="189" spans="1:94" s="6" customFormat="1" ht="37.200000000000003" customHeight="1" x14ac:dyDescent="0.3">
      <c r="A189" s="78">
        <v>187</v>
      </c>
      <c r="B189" s="76">
        <v>31141</v>
      </c>
      <c r="C189" s="76" t="s">
        <v>166</v>
      </c>
      <c r="D189" s="76">
        <v>4</v>
      </c>
      <c r="E189" s="76" t="s">
        <v>396</v>
      </c>
      <c r="F189" s="76"/>
      <c r="G189" s="76" t="s">
        <v>158</v>
      </c>
      <c r="H189" s="215">
        <v>46122</v>
      </c>
      <c r="I189" s="215">
        <v>46387</v>
      </c>
      <c r="J189" s="255">
        <v>10000</v>
      </c>
      <c r="K189" s="211">
        <v>26</v>
      </c>
      <c r="L189" s="211">
        <v>614</v>
      </c>
      <c r="M189" s="211">
        <v>208</v>
      </c>
      <c r="N189" s="211"/>
      <c r="O189" s="211">
        <f t="shared" si="61"/>
        <v>848</v>
      </c>
      <c r="P189" s="211"/>
      <c r="Q189" s="211"/>
      <c r="R189" s="211"/>
      <c r="S189" s="211"/>
      <c r="T189" s="211">
        <f t="shared" si="67"/>
        <v>0</v>
      </c>
      <c r="U189" s="211">
        <f t="shared" si="62"/>
        <v>26</v>
      </c>
      <c r="V189" s="211">
        <f t="shared" si="63"/>
        <v>614</v>
      </c>
      <c r="W189" s="211">
        <f t="shared" si="64"/>
        <v>208</v>
      </c>
      <c r="X189" s="211">
        <f t="shared" si="65"/>
        <v>0</v>
      </c>
      <c r="Y189" s="211">
        <f t="shared" si="68"/>
        <v>848</v>
      </c>
      <c r="Z189" s="211">
        <f t="shared" si="69"/>
        <v>26</v>
      </c>
      <c r="AA189" s="211">
        <f t="shared" si="70"/>
        <v>614</v>
      </c>
      <c r="AB189" s="211">
        <f t="shared" si="71"/>
        <v>0</v>
      </c>
      <c r="AC189" s="211">
        <f t="shared" si="72"/>
        <v>0</v>
      </c>
      <c r="AD189" s="211">
        <f t="shared" si="73"/>
        <v>640</v>
      </c>
      <c r="AE189" s="76" t="s">
        <v>518</v>
      </c>
      <c r="AF189" s="76" t="s">
        <v>23</v>
      </c>
      <c r="AG189" s="298"/>
      <c r="AH189" s="298"/>
      <c r="AI189" s="298"/>
      <c r="AJ189" s="298">
        <v>26</v>
      </c>
      <c r="AK189" s="298"/>
      <c r="AL189" s="298"/>
      <c r="AM189" s="298"/>
      <c r="AN189" s="298"/>
      <c r="AO189" s="255"/>
      <c r="AP189" s="255"/>
      <c r="AQ189" s="255"/>
      <c r="AR189" s="255"/>
      <c r="AS189" s="76">
        <f t="shared" si="66"/>
        <v>26</v>
      </c>
      <c r="AT189" s="76" t="s">
        <v>518</v>
      </c>
      <c r="AU189" s="76" t="s">
        <v>23</v>
      </c>
      <c r="AV189" s="76"/>
      <c r="AW189" s="76"/>
      <c r="AX189" s="76"/>
      <c r="AY189" s="76"/>
      <c r="AZ189" s="76"/>
      <c r="BA189" s="76">
        <v>300</v>
      </c>
      <c r="BB189" s="76">
        <v>314</v>
      </c>
      <c r="BC189" s="76"/>
      <c r="BD189" s="76"/>
      <c r="BE189" s="76"/>
      <c r="BF189" s="76"/>
      <c r="BG189" s="76"/>
      <c r="BH189" s="76">
        <f t="shared" si="74"/>
        <v>614</v>
      </c>
      <c r="BI189" s="76" t="s">
        <v>518</v>
      </c>
      <c r="BJ189" s="76" t="s">
        <v>23</v>
      </c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>
        <f t="shared" si="75"/>
        <v>0</v>
      </c>
      <c r="BX189" s="76" t="s">
        <v>518</v>
      </c>
      <c r="BY189" s="76" t="s">
        <v>23</v>
      </c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>
        <f t="shared" si="76"/>
        <v>0</v>
      </c>
      <c r="CM189" s="211">
        <f t="shared" si="77"/>
        <v>0</v>
      </c>
      <c r="CN189" s="211">
        <f t="shared" si="78"/>
        <v>0</v>
      </c>
      <c r="CO189" s="211">
        <f t="shared" si="79"/>
        <v>208</v>
      </c>
      <c r="CP189" s="211">
        <f t="shared" si="80"/>
        <v>0</v>
      </c>
    </row>
    <row r="190" spans="1:94" s="6" customFormat="1" ht="37.200000000000003" customHeight="1" x14ac:dyDescent="0.3">
      <c r="A190" s="4">
        <v>188</v>
      </c>
      <c r="B190" s="76">
        <v>31827</v>
      </c>
      <c r="C190" s="76" t="s">
        <v>166</v>
      </c>
      <c r="D190" s="76">
        <v>20</v>
      </c>
      <c r="E190" s="76" t="s">
        <v>264</v>
      </c>
      <c r="F190" s="76"/>
      <c r="G190" s="76" t="s">
        <v>178</v>
      </c>
      <c r="H190" s="215">
        <v>46126</v>
      </c>
      <c r="I190" s="215">
        <v>46305</v>
      </c>
      <c r="J190" s="255">
        <v>3600</v>
      </c>
      <c r="K190" s="211"/>
      <c r="L190" s="211"/>
      <c r="M190" s="211"/>
      <c r="N190" s="211">
        <v>40</v>
      </c>
      <c r="O190" s="211">
        <f t="shared" si="61"/>
        <v>40</v>
      </c>
      <c r="P190" s="211"/>
      <c r="Q190" s="211"/>
      <c r="R190" s="211"/>
      <c r="S190" s="211"/>
      <c r="T190" s="211">
        <f t="shared" si="67"/>
        <v>0</v>
      </c>
      <c r="U190" s="211">
        <f t="shared" si="62"/>
        <v>0</v>
      </c>
      <c r="V190" s="211">
        <f t="shared" si="63"/>
        <v>0</v>
      </c>
      <c r="W190" s="211">
        <f t="shared" si="64"/>
        <v>0</v>
      </c>
      <c r="X190" s="211">
        <f t="shared" si="65"/>
        <v>40</v>
      </c>
      <c r="Y190" s="211">
        <f t="shared" si="68"/>
        <v>40</v>
      </c>
      <c r="Z190" s="211">
        <f t="shared" si="69"/>
        <v>0</v>
      </c>
      <c r="AA190" s="211">
        <f t="shared" si="70"/>
        <v>0</v>
      </c>
      <c r="AB190" s="211">
        <f t="shared" si="71"/>
        <v>0</v>
      </c>
      <c r="AC190" s="211">
        <f t="shared" si="72"/>
        <v>40</v>
      </c>
      <c r="AD190" s="211">
        <f t="shared" si="73"/>
        <v>40</v>
      </c>
      <c r="AE190" s="76" t="s">
        <v>518</v>
      </c>
      <c r="AF190" s="76" t="s">
        <v>23</v>
      </c>
      <c r="AG190" s="298"/>
      <c r="AH190" s="298"/>
      <c r="AI190" s="298"/>
      <c r="AJ190" s="298"/>
      <c r="AK190" s="298"/>
      <c r="AL190" s="298"/>
      <c r="AM190" s="298"/>
      <c r="AN190" s="298"/>
      <c r="AO190" s="255"/>
      <c r="AP190" s="255"/>
      <c r="AQ190" s="255"/>
      <c r="AR190" s="255"/>
      <c r="AS190" s="76">
        <f t="shared" si="66"/>
        <v>0</v>
      </c>
      <c r="AT190" s="76" t="s">
        <v>518</v>
      </c>
      <c r="AU190" s="76" t="s">
        <v>23</v>
      </c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>
        <f t="shared" si="74"/>
        <v>0</v>
      </c>
      <c r="BI190" s="76" t="s">
        <v>518</v>
      </c>
      <c r="BJ190" s="76" t="s">
        <v>23</v>
      </c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>
        <f t="shared" si="75"/>
        <v>0</v>
      </c>
      <c r="BX190" s="76" t="s">
        <v>518</v>
      </c>
      <c r="BY190" s="76" t="s">
        <v>23</v>
      </c>
      <c r="BZ190" s="76"/>
      <c r="CA190" s="76"/>
      <c r="CB190" s="76"/>
      <c r="CC190" s="76"/>
      <c r="CD190" s="76">
        <v>40</v>
      </c>
      <c r="CE190" s="76"/>
      <c r="CF190" s="76"/>
      <c r="CG190" s="76"/>
      <c r="CH190" s="76"/>
      <c r="CI190" s="76"/>
      <c r="CJ190" s="76"/>
      <c r="CK190" s="76"/>
      <c r="CL190" s="76">
        <f t="shared" si="76"/>
        <v>40</v>
      </c>
      <c r="CM190" s="211">
        <f t="shared" si="77"/>
        <v>0</v>
      </c>
      <c r="CN190" s="211">
        <f t="shared" si="78"/>
        <v>0</v>
      </c>
      <c r="CO190" s="211">
        <f t="shared" si="79"/>
        <v>0</v>
      </c>
      <c r="CP190" s="211">
        <f t="shared" si="80"/>
        <v>0</v>
      </c>
    </row>
    <row r="191" spans="1:94" s="6" customFormat="1" ht="37.200000000000003" customHeight="1" x14ac:dyDescent="0.3">
      <c r="A191" s="78">
        <v>189</v>
      </c>
      <c r="B191" s="76" t="s">
        <v>397</v>
      </c>
      <c r="C191" s="76" t="s">
        <v>24</v>
      </c>
      <c r="D191" s="76">
        <v>2</v>
      </c>
      <c r="E191" s="76" t="s">
        <v>398</v>
      </c>
      <c r="F191" s="76"/>
      <c r="G191" s="76" t="s">
        <v>156</v>
      </c>
      <c r="H191" s="215">
        <v>46129</v>
      </c>
      <c r="I191" s="215"/>
      <c r="J191" s="255">
        <v>2858.6</v>
      </c>
      <c r="K191" s="211">
        <v>837</v>
      </c>
      <c r="L191" s="211"/>
      <c r="M191" s="211"/>
      <c r="N191" s="211"/>
      <c r="O191" s="211">
        <f t="shared" si="61"/>
        <v>837</v>
      </c>
      <c r="P191" s="211">
        <v>400</v>
      </c>
      <c r="Q191" s="211"/>
      <c r="R191" s="211"/>
      <c r="S191" s="211"/>
      <c r="T191" s="211">
        <f t="shared" si="67"/>
        <v>400</v>
      </c>
      <c r="U191" s="211">
        <f t="shared" si="62"/>
        <v>437</v>
      </c>
      <c r="V191" s="211">
        <f t="shared" si="63"/>
        <v>0</v>
      </c>
      <c r="W191" s="211">
        <f t="shared" si="64"/>
        <v>0</v>
      </c>
      <c r="X191" s="211">
        <f t="shared" si="65"/>
        <v>0</v>
      </c>
      <c r="Y191" s="211">
        <f t="shared" si="68"/>
        <v>437</v>
      </c>
      <c r="Z191" s="211">
        <f t="shared" si="69"/>
        <v>437</v>
      </c>
      <c r="AA191" s="211">
        <f t="shared" si="70"/>
        <v>0</v>
      </c>
      <c r="AB191" s="211">
        <f t="shared" si="71"/>
        <v>0</v>
      </c>
      <c r="AC191" s="211">
        <f t="shared" si="72"/>
        <v>0</v>
      </c>
      <c r="AD191" s="211">
        <f t="shared" si="73"/>
        <v>437</v>
      </c>
      <c r="AE191" s="76" t="s">
        <v>517</v>
      </c>
      <c r="AF191" s="76" t="s">
        <v>24</v>
      </c>
      <c r="AG191" s="298">
        <v>200</v>
      </c>
      <c r="AH191" s="298">
        <v>237</v>
      </c>
      <c r="AI191" s="298"/>
      <c r="AJ191" s="298"/>
      <c r="AK191" s="298"/>
      <c r="AL191" s="298"/>
      <c r="AM191" s="298"/>
      <c r="AN191" s="298"/>
      <c r="AO191" s="255"/>
      <c r="AP191" s="255"/>
      <c r="AQ191" s="255"/>
      <c r="AR191" s="255"/>
      <c r="AS191" s="76">
        <f t="shared" si="66"/>
        <v>437</v>
      </c>
      <c r="AT191" s="76" t="s">
        <v>517</v>
      </c>
      <c r="AU191" s="76" t="s">
        <v>24</v>
      </c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>
        <f t="shared" si="74"/>
        <v>0</v>
      </c>
      <c r="BI191" s="76" t="s">
        <v>517</v>
      </c>
      <c r="BJ191" s="76" t="s">
        <v>24</v>
      </c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>
        <f t="shared" si="75"/>
        <v>0</v>
      </c>
      <c r="BX191" s="76" t="s">
        <v>517</v>
      </c>
      <c r="BY191" s="76" t="s">
        <v>24</v>
      </c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>
        <f t="shared" si="76"/>
        <v>0</v>
      </c>
      <c r="CM191" s="211">
        <f t="shared" si="77"/>
        <v>0</v>
      </c>
      <c r="CN191" s="211">
        <f t="shared" si="78"/>
        <v>0</v>
      </c>
      <c r="CO191" s="211">
        <f t="shared" si="79"/>
        <v>0</v>
      </c>
      <c r="CP191" s="211">
        <f t="shared" si="80"/>
        <v>0</v>
      </c>
    </row>
    <row r="192" spans="1:94" s="6" customFormat="1" ht="37.200000000000003" customHeight="1" x14ac:dyDescent="0.3">
      <c r="A192" s="4">
        <v>190</v>
      </c>
      <c r="B192" s="76">
        <v>32095</v>
      </c>
      <c r="C192" s="76" t="s">
        <v>166</v>
      </c>
      <c r="D192" s="76">
        <v>1</v>
      </c>
      <c r="E192" s="76" t="s">
        <v>399</v>
      </c>
      <c r="F192" s="76"/>
      <c r="G192" s="76" t="s">
        <v>178</v>
      </c>
      <c r="H192" s="215">
        <v>46129</v>
      </c>
      <c r="I192" s="215">
        <v>46173</v>
      </c>
      <c r="J192" s="255">
        <v>1510</v>
      </c>
      <c r="K192" s="211">
        <v>221</v>
      </c>
      <c r="L192" s="211">
        <v>40</v>
      </c>
      <c r="M192" s="211">
        <v>28</v>
      </c>
      <c r="N192" s="211">
        <v>200</v>
      </c>
      <c r="O192" s="211">
        <f t="shared" si="61"/>
        <v>489</v>
      </c>
      <c r="P192" s="211">
        <v>50.62</v>
      </c>
      <c r="Q192" s="211">
        <v>57.5</v>
      </c>
      <c r="R192" s="211">
        <v>9</v>
      </c>
      <c r="S192" s="211"/>
      <c r="T192" s="211">
        <f t="shared" si="67"/>
        <v>117.12</v>
      </c>
      <c r="U192" s="211">
        <f t="shared" si="62"/>
        <v>170.38</v>
      </c>
      <c r="V192" s="211">
        <f t="shared" si="63"/>
        <v>-17.5</v>
      </c>
      <c r="W192" s="211">
        <f t="shared" si="64"/>
        <v>19</v>
      </c>
      <c r="X192" s="211">
        <f t="shared" si="65"/>
        <v>200</v>
      </c>
      <c r="Y192" s="211">
        <f t="shared" si="68"/>
        <v>371.88</v>
      </c>
      <c r="Z192" s="211">
        <f t="shared" si="69"/>
        <v>0</v>
      </c>
      <c r="AA192" s="211">
        <f t="shared" si="70"/>
        <v>0</v>
      </c>
      <c r="AB192" s="211">
        <f t="shared" si="71"/>
        <v>0</v>
      </c>
      <c r="AC192" s="211">
        <f t="shared" si="72"/>
        <v>0</v>
      </c>
      <c r="AD192" s="211">
        <f t="shared" si="73"/>
        <v>0</v>
      </c>
      <c r="AE192" s="76" t="s">
        <v>518</v>
      </c>
      <c r="AF192" s="76" t="s">
        <v>22</v>
      </c>
      <c r="AG192" s="298"/>
      <c r="AH192" s="298"/>
      <c r="AI192" s="298"/>
      <c r="AJ192" s="298"/>
      <c r="AK192" s="298"/>
      <c r="AL192" s="298"/>
      <c r="AM192" s="298"/>
      <c r="AN192" s="298"/>
      <c r="AO192" s="255"/>
      <c r="AP192" s="255"/>
      <c r="AQ192" s="255"/>
      <c r="AR192" s="255"/>
      <c r="AS192" s="76">
        <f t="shared" si="66"/>
        <v>0</v>
      </c>
      <c r="AT192" s="76" t="s">
        <v>518</v>
      </c>
      <c r="AU192" s="76" t="s">
        <v>22</v>
      </c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>
        <f t="shared" si="74"/>
        <v>0</v>
      </c>
      <c r="BI192" s="76" t="s">
        <v>518</v>
      </c>
      <c r="BJ192" s="76" t="s">
        <v>22</v>
      </c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>
        <f t="shared" si="75"/>
        <v>0</v>
      </c>
      <c r="BX192" s="76" t="s">
        <v>518</v>
      </c>
      <c r="BY192" s="76" t="s">
        <v>22</v>
      </c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>
        <f t="shared" si="76"/>
        <v>0</v>
      </c>
      <c r="CM192" s="211">
        <f t="shared" si="77"/>
        <v>170.38</v>
      </c>
      <c r="CN192" s="211">
        <f t="shared" si="78"/>
        <v>-17.5</v>
      </c>
      <c r="CO192" s="211">
        <f t="shared" si="79"/>
        <v>19</v>
      </c>
      <c r="CP192" s="211">
        <f t="shared" si="80"/>
        <v>200</v>
      </c>
    </row>
    <row r="193" spans="1:94" s="6" customFormat="1" ht="37.200000000000003" customHeight="1" x14ac:dyDescent="0.3">
      <c r="A193" s="78">
        <v>191</v>
      </c>
      <c r="B193" s="76">
        <v>31917</v>
      </c>
      <c r="C193" s="76" t="s">
        <v>166</v>
      </c>
      <c r="D193" s="76">
        <v>1</v>
      </c>
      <c r="E193" s="76" t="s">
        <v>400</v>
      </c>
      <c r="F193" s="76" t="s">
        <v>505</v>
      </c>
      <c r="G193" s="76" t="s">
        <v>213</v>
      </c>
      <c r="H193" s="215">
        <v>46129</v>
      </c>
      <c r="I193" s="215">
        <v>46387</v>
      </c>
      <c r="J193" s="255">
        <v>730</v>
      </c>
      <c r="K193" s="211"/>
      <c r="L193" s="211"/>
      <c r="M193" s="211"/>
      <c r="N193" s="211"/>
      <c r="O193" s="211">
        <f t="shared" si="61"/>
        <v>0</v>
      </c>
      <c r="P193" s="211"/>
      <c r="Q193" s="211"/>
      <c r="R193" s="211"/>
      <c r="S193" s="211"/>
      <c r="T193" s="211">
        <f t="shared" si="67"/>
        <v>0</v>
      </c>
      <c r="U193" s="211">
        <f t="shared" si="62"/>
        <v>0</v>
      </c>
      <c r="V193" s="211">
        <f t="shared" si="63"/>
        <v>0</v>
      </c>
      <c r="W193" s="211">
        <f t="shared" si="64"/>
        <v>0</v>
      </c>
      <c r="X193" s="211">
        <f t="shared" si="65"/>
        <v>0</v>
      </c>
      <c r="Y193" s="211">
        <f t="shared" si="68"/>
        <v>0</v>
      </c>
      <c r="Z193" s="211">
        <f t="shared" si="69"/>
        <v>0</v>
      </c>
      <c r="AA193" s="211">
        <f t="shared" si="70"/>
        <v>0</v>
      </c>
      <c r="AB193" s="211">
        <f t="shared" si="71"/>
        <v>0</v>
      </c>
      <c r="AC193" s="211">
        <f t="shared" si="72"/>
        <v>0</v>
      </c>
      <c r="AD193" s="211">
        <f t="shared" si="73"/>
        <v>0</v>
      </c>
      <c r="AE193" s="76" t="s">
        <v>518</v>
      </c>
      <c r="AF193" s="76" t="s">
        <v>23</v>
      </c>
      <c r="AG193" s="298"/>
      <c r="AH193" s="298"/>
      <c r="AI193" s="298"/>
      <c r="AJ193" s="298"/>
      <c r="AK193" s="298"/>
      <c r="AL193" s="298"/>
      <c r="AM193" s="298"/>
      <c r="AN193" s="298"/>
      <c r="AO193" s="255"/>
      <c r="AP193" s="255"/>
      <c r="AQ193" s="255"/>
      <c r="AR193" s="255"/>
      <c r="AS193" s="76">
        <f t="shared" si="66"/>
        <v>0</v>
      </c>
      <c r="AT193" s="76" t="s">
        <v>518</v>
      </c>
      <c r="AU193" s="76" t="s">
        <v>23</v>
      </c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>
        <f t="shared" si="74"/>
        <v>0</v>
      </c>
      <c r="BI193" s="76" t="s">
        <v>518</v>
      </c>
      <c r="BJ193" s="76" t="s">
        <v>23</v>
      </c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>
        <f t="shared" si="75"/>
        <v>0</v>
      </c>
      <c r="BX193" s="76" t="s">
        <v>518</v>
      </c>
      <c r="BY193" s="76" t="s">
        <v>23</v>
      </c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>
        <f t="shared" si="76"/>
        <v>0</v>
      </c>
      <c r="CM193" s="211">
        <f t="shared" si="77"/>
        <v>0</v>
      </c>
      <c r="CN193" s="211">
        <f t="shared" si="78"/>
        <v>0</v>
      </c>
      <c r="CO193" s="211">
        <f t="shared" si="79"/>
        <v>0</v>
      </c>
      <c r="CP193" s="211">
        <f t="shared" si="80"/>
        <v>0</v>
      </c>
    </row>
    <row r="194" spans="1:94" s="6" customFormat="1" ht="37.200000000000003" customHeight="1" x14ac:dyDescent="0.3">
      <c r="A194" s="4">
        <v>192</v>
      </c>
      <c r="B194" s="76">
        <v>32001</v>
      </c>
      <c r="C194" s="76" t="s">
        <v>166</v>
      </c>
      <c r="D194" s="76">
        <v>1</v>
      </c>
      <c r="E194" s="76" t="s">
        <v>401</v>
      </c>
      <c r="F194" s="76"/>
      <c r="G194" s="76" t="s">
        <v>189</v>
      </c>
      <c r="H194" s="215">
        <v>46128</v>
      </c>
      <c r="I194" s="215">
        <v>46302</v>
      </c>
      <c r="J194" s="255"/>
      <c r="K194" s="211"/>
      <c r="L194" s="211"/>
      <c r="M194" s="211"/>
      <c r="N194" s="211"/>
      <c r="O194" s="211">
        <f t="shared" si="61"/>
        <v>0</v>
      </c>
      <c r="P194" s="211"/>
      <c r="Q194" s="211"/>
      <c r="R194" s="211"/>
      <c r="S194" s="211"/>
      <c r="T194" s="211">
        <f t="shared" si="67"/>
        <v>0</v>
      </c>
      <c r="U194" s="211">
        <f t="shared" si="62"/>
        <v>0</v>
      </c>
      <c r="V194" s="211">
        <f t="shared" si="63"/>
        <v>0</v>
      </c>
      <c r="W194" s="211">
        <f t="shared" si="64"/>
        <v>0</v>
      </c>
      <c r="X194" s="211">
        <f t="shared" si="65"/>
        <v>0</v>
      </c>
      <c r="Y194" s="211">
        <f t="shared" si="68"/>
        <v>0</v>
      </c>
      <c r="Z194" s="211">
        <f t="shared" si="69"/>
        <v>0</v>
      </c>
      <c r="AA194" s="211">
        <f t="shared" si="70"/>
        <v>0</v>
      </c>
      <c r="AB194" s="211">
        <f t="shared" si="71"/>
        <v>0</v>
      </c>
      <c r="AC194" s="211">
        <f t="shared" si="72"/>
        <v>0</v>
      </c>
      <c r="AD194" s="211">
        <f t="shared" si="73"/>
        <v>0</v>
      </c>
      <c r="AE194" s="76" t="s">
        <v>518</v>
      </c>
      <c r="AF194" s="76" t="s">
        <v>22</v>
      </c>
      <c r="AG194" s="298"/>
      <c r="AH194" s="298"/>
      <c r="AI194" s="298"/>
      <c r="AJ194" s="298"/>
      <c r="AK194" s="298"/>
      <c r="AL194" s="298"/>
      <c r="AM194" s="298"/>
      <c r="AN194" s="298"/>
      <c r="AO194" s="255"/>
      <c r="AP194" s="255"/>
      <c r="AQ194" s="255"/>
      <c r="AR194" s="255"/>
      <c r="AS194" s="76">
        <f t="shared" si="66"/>
        <v>0</v>
      </c>
      <c r="AT194" s="76" t="s">
        <v>518</v>
      </c>
      <c r="AU194" s="76" t="s">
        <v>22</v>
      </c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>
        <f t="shared" si="74"/>
        <v>0</v>
      </c>
      <c r="BI194" s="76" t="s">
        <v>518</v>
      </c>
      <c r="BJ194" s="76" t="s">
        <v>22</v>
      </c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>
        <f t="shared" si="75"/>
        <v>0</v>
      </c>
      <c r="BX194" s="76" t="s">
        <v>518</v>
      </c>
      <c r="BY194" s="76" t="s">
        <v>22</v>
      </c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>
        <f t="shared" si="76"/>
        <v>0</v>
      </c>
      <c r="CM194" s="211">
        <f t="shared" si="77"/>
        <v>0</v>
      </c>
      <c r="CN194" s="211">
        <f t="shared" si="78"/>
        <v>0</v>
      </c>
      <c r="CO194" s="211">
        <f t="shared" si="79"/>
        <v>0</v>
      </c>
      <c r="CP194" s="211">
        <f t="shared" si="80"/>
        <v>0</v>
      </c>
    </row>
    <row r="195" spans="1:94" s="6" customFormat="1" ht="37.200000000000003" customHeight="1" x14ac:dyDescent="0.3">
      <c r="A195" s="78">
        <v>193</v>
      </c>
      <c r="B195" s="76" t="s">
        <v>420</v>
      </c>
      <c r="C195" s="76">
        <v>32438</v>
      </c>
      <c r="D195" s="76">
        <v>1</v>
      </c>
      <c r="E195" s="76" t="s">
        <v>402</v>
      </c>
      <c r="F195" s="76"/>
      <c r="G195" s="76" t="s">
        <v>345</v>
      </c>
      <c r="H195" s="215">
        <v>46132</v>
      </c>
      <c r="I195" s="215">
        <v>46402</v>
      </c>
      <c r="J195" s="255">
        <v>60000</v>
      </c>
      <c r="K195" s="211">
        <v>4754</v>
      </c>
      <c r="L195" s="211">
        <v>306</v>
      </c>
      <c r="M195" s="211">
        <v>355</v>
      </c>
      <c r="N195" s="211">
        <v>300</v>
      </c>
      <c r="O195" s="211">
        <f t="shared" si="61"/>
        <v>5715</v>
      </c>
      <c r="P195" s="211"/>
      <c r="Q195" s="211"/>
      <c r="R195" s="211"/>
      <c r="S195" s="211"/>
      <c r="T195" s="211">
        <f t="shared" si="67"/>
        <v>0</v>
      </c>
      <c r="U195" s="211">
        <f t="shared" si="62"/>
        <v>4754</v>
      </c>
      <c r="V195" s="211">
        <f t="shared" si="63"/>
        <v>306</v>
      </c>
      <c r="W195" s="211">
        <f t="shared" si="64"/>
        <v>355</v>
      </c>
      <c r="X195" s="211">
        <f t="shared" si="65"/>
        <v>300</v>
      </c>
      <c r="Y195" s="211">
        <f t="shared" si="68"/>
        <v>5715</v>
      </c>
      <c r="Z195" s="211">
        <f t="shared" si="69"/>
        <v>4754</v>
      </c>
      <c r="AA195" s="211">
        <f t="shared" si="70"/>
        <v>306</v>
      </c>
      <c r="AB195" s="211">
        <f t="shared" si="71"/>
        <v>355</v>
      </c>
      <c r="AC195" s="211">
        <f t="shared" si="72"/>
        <v>300</v>
      </c>
      <c r="AD195" s="211">
        <f t="shared" si="73"/>
        <v>5715</v>
      </c>
      <c r="AE195" s="76" t="s">
        <v>518</v>
      </c>
      <c r="AF195" s="76" t="s">
        <v>22</v>
      </c>
      <c r="AG195" s="298">
        <v>200</v>
      </c>
      <c r="AH195" s="298">
        <v>400</v>
      </c>
      <c r="AI195" s="298">
        <v>362</v>
      </c>
      <c r="AJ195" s="298">
        <v>792</v>
      </c>
      <c r="AK195" s="298">
        <v>1500</v>
      </c>
      <c r="AL195" s="298">
        <v>1500</v>
      </c>
      <c r="AM195" s="298"/>
      <c r="AN195" s="298"/>
      <c r="AO195" s="255"/>
      <c r="AP195" s="255"/>
      <c r="AQ195" s="255"/>
      <c r="AR195" s="255"/>
      <c r="AS195" s="76">
        <f t="shared" si="66"/>
        <v>4754</v>
      </c>
      <c r="AT195" s="76" t="s">
        <v>518</v>
      </c>
      <c r="AU195" s="76" t="s">
        <v>22</v>
      </c>
      <c r="AV195" s="76"/>
      <c r="AW195" s="76"/>
      <c r="AX195" s="76"/>
      <c r="AY195" s="76"/>
      <c r="AZ195" s="76">
        <v>150</v>
      </c>
      <c r="BA195" s="76">
        <v>156</v>
      </c>
      <c r="BB195" s="76"/>
      <c r="BC195" s="76"/>
      <c r="BD195" s="76"/>
      <c r="BE195" s="76"/>
      <c r="BF195" s="76"/>
      <c r="BG195" s="76"/>
      <c r="BH195" s="76">
        <f t="shared" si="74"/>
        <v>306</v>
      </c>
      <c r="BI195" s="76" t="s">
        <v>518</v>
      </c>
      <c r="BJ195" s="76" t="s">
        <v>22</v>
      </c>
      <c r="BK195" s="76"/>
      <c r="BL195" s="76"/>
      <c r="BM195" s="76"/>
      <c r="BN195" s="76"/>
      <c r="BO195" s="76">
        <v>178</v>
      </c>
      <c r="BP195" s="76">
        <v>177</v>
      </c>
      <c r="BQ195" s="76"/>
      <c r="BR195" s="76"/>
      <c r="BS195" s="76"/>
      <c r="BT195" s="76"/>
      <c r="BU195" s="76"/>
      <c r="BV195" s="76"/>
      <c r="BW195" s="76">
        <f t="shared" si="75"/>
        <v>355</v>
      </c>
      <c r="BX195" s="76" t="s">
        <v>518</v>
      </c>
      <c r="BY195" s="76" t="s">
        <v>22</v>
      </c>
      <c r="BZ195" s="76"/>
      <c r="CA195" s="76"/>
      <c r="CB195" s="76"/>
      <c r="CC195" s="76"/>
      <c r="CD195" s="76"/>
      <c r="CE195" s="76"/>
      <c r="CF195" s="76">
        <v>150</v>
      </c>
      <c r="CG195" s="76">
        <v>150</v>
      </c>
      <c r="CH195" s="76"/>
      <c r="CI195" s="76"/>
      <c r="CJ195" s="76"/>
      <c r="CK195" s="76"/>
      <c r="CL195" s="76">
        <f t="shared" si="76"/>
        <v>300</v>
      </c>
      <c r="CM195" s="211">
        <f t="shared" si="77"/>
        <v>0</v>
      </c>
      <c r="CN195" s="211">
        <f t="shared" si="78"/>
        <v>0</v>
      </c>
      <c r="CO195" s="211">
        <f t="shared" si="79"/>
        <v>0</v>
      </c>
      <c r="CP195" s="211">
        <f t="shared" si="80"/>
        <v>0</v>
      </c>
    </row>
    <row r="196" spans="1:94" s="6" customFormat="1" ht="37.200000000000003" customHeight="1" x14ac:dyDescent="0.3">
      <c r="A196" s="4">
        <v>206</v>
      </c>
      <c r="B196" s="76" t="s">
        <v>587</v>
      </c>
      <c r="C196" s="213">
        <v>34836</v>
      </c>
      <c r="D196" s="76"/>
      <c r="E196" s="74" t="s">
        <v>586</v>
      </c>
      <c r="F196" s="74"/>
      <c r="G196" s="76" t="s">
        <v>158</v>
      </c>
      <c r="H196" s="73">
        <v>46176</v>
      </c>
      <c r="I196" s="297">
        <v>46465</v>
      </c>
      <c r="J196" s="255">
        <v>35000</v>
      </c>
      <c r="K196" s="211"/>
      <c r="L196" s="211">
        <v>1656</v>
      </c>
      <c r="M196" s="211">
        <v>1426</v>
      </c>
      <c r="N196" s="211">
        <v>330</v>
      </c>
      <c r="O196" s="211">
        <f t="shared" si="61"/>
        <v>3412</v>
      </c>
      <c r="P196" s="211"/>
      <c r="Q196" s="211"/>
      <c r="R196" s="211"/>
      <c r="S196" s="211"/>
      <c r="T196" s="211">
        <f t="shared" si="67"/>
        <v>0</v>
      </c>
      <c r="U196" s="211">
        <f t="shared" si="62"/>
        <v>0</v>
      </c>
      <c r="V196" s="211">
        <f t="shared" ref="V196" si="81">L196-Q196</f>
        <v>1656</v>
      </c>
      <c r="W196" s="211">
        <f t="shared" ref="W196" si="82">M196-R196</f>
        <v>1426</v>
      </c>
      <c r="X196" s="211">
        <f t="shared" si="65"/>
        <v>330</v>
      </c>
      <c r="Y196" s="211">
        <f t="shared" si="68"/>
        <v>3412</v>
      </c>
      <c r="Z196" s="211">
        <f t="shared" ref="Z196" si="83">AS196</f>
        <v>0</v>
      </c>
      <c r="AA196" s="211">
        <f t="shared" ref="AA196" si="84">BH196</f>
        <v>1656</v>
      </c>
      <c r="AB196" s="211">
        <f t="shared" ref="AB196" si="85">BW196</f>
        <v>1426</v>
      </c>
      <c r="AC196" s="211">
        <f t="shared" ref="AC196" si="86">CL196</f>
        <v>330</v>
      </c>
      <c r="AD196" s="211">
        <f t="shared" ref="AD196" si="87">SUM(Z196:AC196)</f>
        <v>3412</v>
      </c>
      <c r="AE196" s="76" t="s">
        <v>517</v>
      </c>
      <c r="AF196" s="76" t="s">
        <v>22</v>
      </c>
      <c r="AG196" s="255"/>
      <c r="AH196" s="255"/>
      <c r="AI196" s="255"/>
      <c r="AJ196" s="255"/>
      <c r="AK196" s="255"/>
      <c r="AL196" s="255"/>
      <c r="AM196" s="255"/>
      <c r="AN196" s="255"/>
      <c r="AO196" s="255"/>
      <c r="AP196" s="255"/>
      <c r="AQ196" s="255"/>
      <c r="AR196" s="255"/>
      <c r="AS196" s="76">
        <f t="shared" ref="AS196:AS198" si="88">SUM(AG196:AR196)</f>
        <v>0</v>
      </c>
      <c r="AT196" s="76" t="s">
        <v>517</v>
      </c>
      <c r="AU196" s="76" t="s">
        <v>22</v>
      </c>
      <c r="AV196" s="76"/>
      <c r="AW196" s="76"/>
      <c r="AX196" s="76"/>
      <c r="AY196" s="76"/>
      <c r="AZ196" s="76"/>
      <c r="BA196" s="76">
        <v>414</v>
      </c>
      <c r="BB196" s="76">
        <v>414</v>
      </c>
      <c r="BC196" s="76">
        <v>414</v>
      </c>
      <c r="BD196" s="76">
        <v>414</v>
      </c>
      <c r="BE196" s="76"/>
      <c r="BF196" s="76"/>
      <c r="BG196" s="76"/>
      <c r="BH196" s="76">
        <f t="shared" si="74"/>
        <v>1656</v>
      </c>
      <c r="BI196" s="76" t="s">
        <v>517</v>
      </c>
      <c r="BJ196" s="76" t="s">
        <v>22</v>
      </c>
      <c r="BK196" s="76"/>
      <c r="BL196" s="76"/>
      <c r="BM196" s="76"/>
      <c r="BN196" s="76"/>
      <c r="BO196" s="76"/>
      <c r="BP196" s="76">
        <v>372</v>
      </c>
      <c r="BQ196" s="76">
        <v>372</v>
      </c>
      <c r="BR196" s="76">
        <v>371</v>
      </c>
      <c r="BS196" s="76">
        <v>311</v>
      </c>
      <c r="BT196" s="76"/>
      <c r="BU196" s="76"/>
      <c r="BV196" s="76"/>
      <c r="BW196" s="76">
        <f t="shared" si="75"/>
        <v>1426</v>
      </c>
      <c r="BX196" s="76" t="s">
        <v>517</v>
      </c>
      <c r="BY196" s="76" t="s">
        <v>22</v>
      </c>
      <c r="BZ196" s="76"/>
      <c r="CA196" s="76"/>
      <c r="CB196" s="76"/>
      <c r="CC196" s="76"/>
      <c r="CD196" s="76"/>
      <c r="CE196" s="76"/>
      <c r="CF196" s="76"/>
      <c r="CG196" s="76"/>
      <c r="CH196" s="76">
        <v>170</v>
      </c>
      <c r="CI196" s="76">
        <v>160</v>
      </c>
      <c r="CJ196" s="76"/>
      <c r="CK196" s="76"/>
      <c r="CL196" s="76">
        <f t="shared" ref="CL196:CL197" si="89">SUM(BZ196:CK196)</f>
        <v>330</v>
      </c>
      <c r="CM196" s="211">
        <f t="shared" ref="CM196" si="90">U196-Z196</f>
        <v>0</v>
      </c>
      <c r="CN196" s="211">
        <f t="shared" ref="CN196" si="91">V196-AA196</f>
        <v>0</v>
      </c>
      <c r="CO196" s="211">
        <f t="shared" ref="CO196" si="92">W196-AB196</f>
        <v>0</v>
      </c>
      <c r="CP196" s="211">
        <f t="shared" ref="CP196" si="93">X196-AC196</f>
        <v>0</v>
      </c>
    </row>
    <row r="197" spans="1:94" s="6" customFormat="1" ht="37.200000000000003" customHeight="1" x14ac:dyDescent="0.3">
      <c r="A197" s="78">
        <v>207</v>
      </c>
      <c r="B197" s="76"/>
      <c r="C197" s="213"/>
      <c r="D197" s="76"/>
      <c r="E197" s="74" t="s">
        <v>73</v>
      </c>
      <c r="F197" s="74"/>
      <c r="G197" s="76"/>
      <c r="H197" s="73"/>
      <c r="I197" s="297"/>
      <c r="J197" s="255"/>
      <c r="K197" s="211">
        <v>15000</v>
      </c>
      <c r="L197" s="211"/>
      <c r="M197" s="211">
        <v>150</v>
      </c>
      <c r="N197" s="211"/>
      <c r="O197" s="211">
        <f t="shared" si="61"/>
        <v>15150</v>
      </c>
      <c r="P197" s="211"/>
      <c r="Q197" s="211"/>
      <c r="R197" s="211"/>
      <c r="S197" s="211"/>
      <c r="T197" s="211">
        <f t="shared" si="67"/>
        <v>0</v>
      </c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76" t="s">
        <v>518</v>
      </c>
      <c r="AF197" s="76" t="s">
        <v>22</v>
      </c>
      <c r="AG197" s="255"/>
      <c r="AH197" s="255"/>
      <c r="AI197" s="255"/>
      <c r="AJ197" s="255"/>
      <c r="AK197" s="255"/>
      <c r="AL197" s="255"/>
      <c r="AM197" s="255"/>
      <c r="AN197" s="255"/>
      <c r="AO197" s="255">
        <v>3750</v>
      </c>
      <c r="AP197" s="255">
        <v>3750</v>
      </c>
      <c r="AQ197" s="255">
        <v>3750</v>
      </c>
      <c r="AR197" s="255">
        <v>3750</v>
      </c>
      <c r="AS197" s="76">
        <f t="shared" si="88"/>
        <v>15000</v>
      </c>
      <c r="AT197" s="76" t="s">
        <v>518</v>
      </c>
      <c r="AU197" s="76" t="s">
        <v>22</v>
      </c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>
        <f t="shared" si="74"/>
        <v>0</v>
      </c>
      <c r="BI197" s="76" t="s">
        <v>518</v>
      </c>
      <c r="BJ197" s="76" t="s">
        <v>22</v>
      </c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>
        <v>150</v>
      </c>
      <c r="BV197" s="76"/>
      <c r="BW197" s="76">
        <f t="shared" si="75"/>
        <v>150</v>
      </c>
      <c r="BX197" s="76" t="s">
        <v>518</v>
      </c>
      <c r="BY197" s="76" t="s">
        <v>22</v>
      </c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>
        <f t="shared" si="89"/>
        <v>0</v>
      </c>
      <c r="CM197" s="211">
        <f t="shared" ref="CM197" si="94">U197-Z197</f>
        <v>0</v>
      </c>
      <c r="CN197" s="211">
        <f t="shared" ref="CN197" si="95">V197-AA197</f>
        <v>0</v>
      </c>
      <c r="CO197" s="211">
        <f t="shared" ref="CO197" si="96">W197-AB197</f>
        <v>0</v>
      </c>
      <c r="CP197" s="211">
        <f t="shared" ref="CP197" si="97">X197-AC197</f>
        <v>0</v>
      </c>
    </row>
    <row r="198" spans="1:94" s="6" customFormat="1" ht="37.200000000000003" customHeight="1" x14ac:dyDescent="0.3">
      <c r="A198" s="4"/>
      <c r="B198" s="76"/>
      <c r="C198" s="76"/>
      <c r="D198" s="76"/>
      <c r="E198" s="76"/>
      <c r="F198" s="76"/>
      <c r="G198" s="76"/>
      <c r="H198" s="215"/>
      <c r="I198" s="215"/>
      <c r="J198" s="255"/>
      <c r="K198" s="211"/>
      <c r="L198" s="211">
        <v>10000</v>
      </c>
      <c r="M198" s="211">
        <v>20000</v>
      </c>
      <c r="N198" s="211">
        <v>1800</v>
      </c>
      <c r="O198" s="211">
        <f>SUM(K198:N198)</f>
        <v>31800</v>
      </c>
      <c r="P198" s="211"/>
      <c r="Q198" s="211"/>
      <c r="R198" s="211"/>
      <c r="S198" s="211"/>
      <c r="T198" s="211">
        <f t="shared" si="67"/>
        <v>0</v>
      </c>
      <c r="U198" s="211">
        <f t="shared" si="62"/>
        <v>0</v>
      </c>
      <c r="V198" s="211">
        <f t="shared" si="63"/>
        <v>10000</v>
      </c>
      <c r="W198" s="211">
        <f t="shared" si="64"/>
        <v>20000</v>
      </c>
      <c r="X198" s="211">
        <f t="shared" si="65"/>
        <v>1800</v>
      </c>
      <c r="Y198" s="211">
        <f t="shared" si="68"/>
        <v>31800</v>
      </c>
      <c r="Z198" s="211">
        <f t="shared" ref="Z198:Z199" si="98">AS198</f>
        <v>0</v>
      </c>
      <c r="AA198" s="211">
        <f t="shared" ref="AA198:AA199" si="99">BH198</f>
        <v>10000</v>
      </c>
      <c r="AB198" s="211">
        <f t="shared" ref="AB198:AB199" si="100">BW198</f>
        <v>20000</v>
      </c>
      <c r="AC198" s="211">
        <f t="shared" si="72"/>
        <v>1800</v>
      </c>
      <c r="AD198" s="211">
        <f t="shared" si="73"/>
        <v>31800</v>
      </c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>
        <f t="shared" si="88"/>
        <v>0</v>
      </c>
      <c r="AT198" s="76" t="s">
        <v>474</v>
      </c>
      <c r="AU198" s="76"/>
      <c r="AV198" s="76">
        <v>250</v>
      </c>
      <c r="AW198" s="76">
        <v>1000</v>
      </c>
      <c r="AX198" s="76">
        <v>1000</v>
      </c>
      <c r="AY198" s="76">
        <v>350</v>
      </c>
      <c r="AZ198" s="76">
        <v>50</v>
      </c>
      <c r="BA198" s="76">
        <v>500</v>
      </c>
      <c r="BB198" s="76">
        <v>1000</v>
      </c>
      <c r="BC198" s="76">
        <v>1000</v>
      </c>
      <c r="BD198" s="76">
        <v>1000</v>
      </c>
      <c r="BE198" s="76">
        <v>1000</v>
      </c>
      <c r="BF198" s="76">
        <v>1000</v>
      </c>
      <c r="BG198" s="76">
        <v>1850</v>
      </c>
      <c r="BH198" s="76">
        <f t="shared" si="74"/>
        <v>10000</v>
      </c>
      <c r="BI198" s="76" t="s">
        <v>474</v>
      </c>
      <c r="BJ198" s="76"/>
      <c r="BK198" s="76">
        <v>1600</v>
      </c>
      <c r="BL198" s="76">
        <v>1600</v>
      </c>
      <c r="BM198" s="76">
        <v>1600</v>
      </c>
      <c r="BN198" s="76">
        <v>1600</v>
      </c>
      <c r="BO198" s="76">
        <v>1500</v>
      </c>
      <c r="BP198" s="76">
        <v>1500</v>
      </c>
      <c r="BQ198" s="76">
        <v>1500</v>
      </c>
      <c r="BR198" s="76">
        <v>1500</v>
      </c>
      <c r="BS198" s="76">
        <v>1500</v>
      </c>
      <c r="BT198" s="76">
        <v>1236</v>
      </c>
      <c r="BU198" s="76">
        <v>2432</v>
      </c>
      <c r="BV198" s="76">
        <v>2432</v>
      </c>
      <c r="BW198" s="76">
        <f t="shared" si="75"/>
        <v>20000</v>
      </c>
      <c r="BX198" s="76" t="s">
        <v>474</v>
      </c>
      <c r="BY198" s="76"/>
      <c r="BZ198" s="281">
        <v>30</v>
      </c>
      <c r="CA198" s="281">
        <v>40</v>
      </c>
      <c r="CB198" s="281">
        <v>250</v>
      </c>
      <c r="CC198" s="281">
        <v>300</v>
      </c>
      <c r="CD198" s="281">
        <v>280</v>
      </c>
      <c r="CE198" s="281">
        <v>200</v>
      </c>
      <c r="CF198" s="281">
        <v>200</v>
      </c>
      <c r="CG198" s="281">
        <v>100</v>
      </c>
      <c r="CH198" s="281">
        <v>100</v>
      </c>
      <c r="CI198" s="281">
        <v>100</v>
      </c>
      <c r="CJ198" s="281">
        <v>100</v>
      </c>
      <c r="CK198" s="281">
        <v>100</v>
      </c>
      <c r="CL198" s="76">
        <f t="shared" ref="CL198:CL199" si="101">SUM(BZ198:CK198)</f>
        <v>1800</v>
      </c>
      <c r="CM198" s="76">
        <f t="shared" ref="CM198" si="102">U198-Z198</f>
        <v>0</v>
      </c>
      <c r="CN198" s="76">
        <f t="shared" ref="CN198" si="103">V198-AA198</f>
        <v>0</v>
      </c>
      <c r="CO198" s="76">
        <f t="shared" ref="CO198" si="104">W198-AB198</f>
        <v>0</v>
      </c>
      <c r="CP198" s="211">
        <f>X198-AC198</f>
        <v>0</v>
      </c>
    </row>
    <row r="199" spans="1:94" s="6" customFormat="1" ht="37.200000000000003" customHeight="1" x14ac:dyDescent="0.3">
      <c r="A199" s="4"/>
      <c r="B199" s="76"/>
      <c r="C199" s="76"/>
      <c r="D199" s="76"/>
      <c r="E199" s="76"/>
      <c r="F199" s="76"/>
      <c r="G199" s="76"/>
      <c r="H199" s="215"/>
      <c r="I199" s="215"/>
      <c r="J199" s="255"/>
      <c r="K199" s="211"/>
      <c r="L199" s="211"/>
      <c r="M199" s="211"/>
      <c r="N199" s="211">
        <v>13820</v>
      </c>
      <c r="O199" s="211">
        <f>SUM(K199:N199)</f>
        <v>13820</v>
      </c>
      <c r="P199" s="211"/>
      <c r="Q199" s="211"/>
      <c r="R199" s="211"/>
      <c r="S199" s="211"/>
      <c r="T199" s="211">
        <f t="shared" si="67"/>
        <v>0</v>
      </c>
      <c r="U199" s="211">
        <f t="shared" si="62"/>
        <v>0</v>
      </c>
      <c r="V199" s="211">
        <f t="shared" si="63"/>
        <v>0</v>
      </c>
      <c r="W199" s="211">
        <f t="shared" si="64"/>
        <v>0</v>
      </c>
      <c r="X199" s="211">
        <f t="shared" si="65"/>
        <v>13820</v>
      </c>
      <c r="Y199" s="211">
        <f t="shared" si="68"/>
        <v>13820</v>
      </c>
      <c r="Z199" s="211">
        <f t="shared" si="98"/>
        <v>0</v>
      </c>
      <c r="AA199" s="211">
        <f t="shared" si="99"/>
        <v>0</v>
      </c>
      <c r="AB199" s="211">
        <f t="shared" si="100"/>
        <v>0</v>
      </c>
      <c r="AC199" s="211">
        <f t="shared" si="72"/>
        <v>13820</v>
      </c>
      <c r="AD199" s="211">
        <f t="shared" si="73"/>
        <v>13820</v>
      </c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 t="s">
        <v>477</v>
      </c>
      <c r="BY199" s="76"/>
      <c r="BZ199" s="76">
        <v>900</v>
      </c>
      <c r="CA199" s="76">
        <v>2200</v>
      </c>
      <c r="CB199" s="76">
        <v>3350</v>
      </c>
      <c r="CC199" s="76">
        <v>3500</v>
      </c>
      <c r="CD199" s="76">
        <v>2200</v>
      </c>
      <c r="CE199" s="76">
        <v>500</v>
      </c>
      <c r="CF199" s="76"/>
      <c r="CG199" s="76">
        <v>670</v>
      </c>
      <c r="CH199" s="76">
        <v>500</v>
      </c>
      <c r="CI199" s="76"/>
      <c r="CJ199" s="76"/>
      <c r="CK199" s="76"/>
      <c r="CL199" s="76">
        <f t="shared" si="101"/>
        <v>13820</v>
      </c>
      <c r="CM199" s="76">
        <f t="shared" ref="CM199" si="105">U199-Z199</f>
        <v>0</v>
      </c>
      <c r="CN199" s="76">
        <f t="shared" ref="CN199" si="106">V199-AA199</f>
        <v>0</v>
      </c>
      <c r="CO199" s="76">
        <f t="shared" ref="CO199" si="107">W199-AB199</f>
        <v>0</v>
      </c>
      <c r="CP199" s="211">
        <f>X199-AC199</f>
        <v>0</v>
      </c>
    </row>
    <row r="200" spans="1:94" s="6" customFormat="1" ht="37.200000000000003" customHeight="1" x14ac:dyDescent="0.3">
      <c r="A200" s="4"/>
      <c r="B200" s="76"/>
      <c r="C200" s="76"/>
      <c r="D200" s="76"/>
      <c r="E200" s="76"/>
      <c r="F200" s="76"/>
      <c r="G200" s="76"/>
      <c r="H200" s="215"/>
      <c r="I200" s="215"/>
      <c r="J200" s="255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</row>
    <row r="201" spans="1:94" s="6" customFormat="1" ht="37.200000000000003" customHeight="1" x14ac:dyDescent="0.3">
      <c r="A201" s="4"/>
      <c r="B201" s="76"/>
      <c r="C201" s="76"/>
      <c r="D201" s="76"/>
      <c r="E201" s="76"/>
      <c r="F201" s="76"/>
      <c r="G201" s="76"/>
      <c r="H201" s="215"/>
      <c r="I201" s="215"/>
      <c r="J201" s="255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</row>
    <row r="202" spans="1:94" s="6" customFormat="1" ht="37.200000000000003" customHeight="1" x14ac:dyDescent="0.3">
      <c r="A202" s="4"/>
      <c r="B202" s="3"/>
      <c r="C202" s="3"/>
      <c r="D202" s="3"/>
      <c r="E202" s="3"/>
      <c r="F202" s="3"/>
      <c r="G202" s="4"/>
      <c r="H202" s="214"/>
      <c r="I202" s="215"/>
      <c r="J202" s="256"/>
      <c r="K202" s="228"/>
      <c r="L202" s="226"/>
      <c r="M202" s="226"/>
      <c r="N202" s="226"/>
      <c r="O202" s="221"/>
      <c r="P202" s="237"/>
      <c r="Q202" s="236"/>
      <c r="R202" s="236"/>
      <c r="S202" s="63"/>
      <c r="T202" s="238"/>
      <c r="U202" s="237"/>
      <c r="V202" s="236"/>
      <c r="W202" s="236"/>
      <c r="X202" s="236"/>
      <c r="Y202" s="238"/>
      <c r="Z202" s="239"/>
      <c r="AA202" s="240"/>
      <c r="AB202" s="240"/>
      <c r="AC202" s="240"/>
      <c r="AD202" s="241"/>
      <c r="AE202" s="3"/>
      <c r="AF202" s="3"/>
      <c r="AG202" s="100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99"/>
      <c r="AT202" s="3"/>
      <c r="AU202" s="3"/>
      <c r="AV202" s="100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99"/>
      <c r="BI202" s="3"/>
      <c r="BJ202" s="3"/>
      <c r="BK202" s="100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101"/>
      <c r="BX202" s="3"/>
      <c r="BY202" s="3"/>
      <c r="BZ202" s="100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99"/>
      <c r="CM202" s="79"/>
      <c r="CN202" s="79"/>
      <c r="CO202" s="79"/>
      <c r="CP202" s="79"/>
    </row>
    <row r="203" spans="1:94" s="6" customFormat="1" ht="37.200000000000003" customHeight="1" x14ac:dyDescent="0.3">
      <c r="A203" s="4"/>
      <c r="B203" s="3"/>
      <c r="C203" s="3"/>
      <c r="D203" s="3"/>
      <c r="E203" s="3"/>
      <c r="F203" s="3"/>
      <c r="G203" s="4"/>
      <c r="H203" s="214"/>
      <c r="I203" s="215"/>
      <c r="J203" s="256"/>
      <c r="K203" s="228"/>
      <c r="L203" s="226"/>
      <c r="M203" s="226"/>
      <c r="N203" s="226"/>
      <c r="O203" s="221"/>
      <c r="P203" s="237"/>
      <c r="Q203" s="236"/>
      <c r="R203" s="236"/>
      <c r="S203" s="63"/>
      <c r="T203" s="238"/>
      <c r="U203" s="237"/>
      <c r="V203" s="236"/>
      <c r="W203" s="236"/>
      <c r="X203" s="236"/>
      <c r="Y203" s="238"/>
      <c r="Z203" s="239"/>
      <c r="AA203" s="240"/>
      <c r="AB203" s="240"/>
      <c r="AC203" s="240"/>
      <c r="AD203" s="241"/>
      <c r="AE203" s="3"/>
      <c r="AF203" s="3"/>
      <c r="AG203" s="100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99"/>
      <c r="AT203" s="3"/>
      <c r="AU203" s="3"/>
      <c r="AV203" s="100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99"/>
      <c r="BI203" s="3"/>
      <c r="BJ203" s="3"/>
      <c r="BK203" s="100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101"/>
      <c r="BX203" s="3"/>
      <c r="BY203" s="3"/>
      <c r="BZ203" s="100"/>
      <c r="CA203" s="79"/>
      <c r="CB203" s="79"/>
      <c r="CC203" s="79"/>
      <c r="CD203" s="79"/>
      <c r="CE203" s="79"/>
      <c r="CF203" s="79"/>
      <c r="CG203" s="79"/>
      <c r="CH203" s="79"/>
      <c r="CI203" s="79"/>
      <c r="CJ203" s="79"/>
      <c r="CK203" s="79"/>
      <c r="CL203" s="99"/>
      <c r="CM203" s="79"/>
      <c r="CN203" s="79"/>
      <c r="CO203" s="79"/>
      <c r="CP203" s="79"/>
    </row>
    <row r="204" spans="1:94" s="6" customFormat="1" ht="37.200000000000003" customHeight="1" x14ac:dyDescent="0.3">
      <c r="A204" s="4"/>
      <c r="B204" s="3"/>
      <c r="C204" s="3"/>
      <c r="D204" s="3"/>
      <c r="E204" s="3"/>
      <c r="F204" s="3"/>
      <c r="G204" s="4"/>
      <c r="H204" s="214"/>
      <c r="I204" s="215"/>
      <c r="J204" s="256"/>
      <c r="K204" s="228"/>
      <c r="L204" s="226"/>
      <c r="M204" s="226"/>
      <c r="N204" s="226"/>
      <c r="O204" s="221"/>
      <c r="P204" s="237"/>
      <c r="Q204" s="236"/>
      <c r="R204" s="236"/>
      <c r="S204" s="63"/>
      <c r="T204" s="238"/>
      <c r="U204" s="237"/>
      <c r="V204" s="236"/>
      <c r="W204" s="236"/>
      <c r="X204" s="236"/>
      <c r="Y204" s="238"/>
      <c r="Z204" s="239"/>
      <c r="AA204" s="240"/>
      <c r="AB204" s="240"/>
      <c r="AC204" s="240"/>
      <c r="AD204" s="241"/>
      <c r="AE204" s="3"/>
      <c r="AF204" s="3"/>
      <c r="AG204" s="100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99"/>
      <c r="AT204" s="3"/>
      <c r="AU204" s="3"/>
      <c r="AV204" s="100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99"/>
      <c r="BI204" s="3"/>
      <c r="BJ204" s="3"/>
      <c r="BK204" s="100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101"/>
      <c r="BX204" s="3"/>
      <c r="BY204" s="3"/>
      <c r="BZ204" s="100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99"/>
      <c r="CM204" s="79"/>
      <c r="CN204" s="79"/>
      <c r="CO204" s="79"/>
      <c r="CP204" s="79"/>
    </row>
    <row r="205" spans="1:94" s="6" customFormat="1" ht="37.200000000000003" customHeight="1" x14ac:dyDescent="0.3">
      <c r="A205" s="4"/>
      <c r="B205" s="3"/>
      <c r="C205" s="3"/>
      <c r="D205" s="3"/>
      <c r="E205" s="3"/>
      <c r="F205" s="3"/>
      <c r="G205" s="4"/>
      <c r="H205" s="214"/>
      <c r="I205" s="215"/>
      <c r="J205" s="256"/>
      <c r="K205" s="228"/>
      <c r="L205" s="226"/>
      <c r="M205" s="226"/>
      <c r="N205" s="226"/>
      <c r="O205" s="221"/>
      <c r="P205" s="237"/>
      <c r="Q205" s="236"/>
      <c r="R205" s="236"/>
      <c r="S205" s="63"/>
      <c r="T205" s="238"/>
      <c r="U205" s="237"/>
      <c r="V205" s="236"/>
      <c r="W205" s="236"/>
      <c r="X205" s="236"/>
      <c r="Y205" s="238"/>
      <c r="Z205" s="239"/>
      <c r="AA205" s="240"/>
      <c r="AB205" s="240"/>
      <c r="AC205" s="240"/>
      <c r="AD205" s="241"/>
      <c r="AE205" s="3"/>
      <c r="AF205" s="3"/>
      <c r="AG205" s="100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99"/>
      <c r="AT205" s="3"/>
      <c r="AU205" s="3"/>
      <c r="AV205" s="100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99"/>
      <c r="BI205" s="3"/>
      <c r="BJ205" s="3"/>
      <c r="BK205" s="100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101"/>
      <c r="BX205" s="3"/>
      <c r="BY205" s="3"/>
      <c r="BZ205" s="100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99"/>
      <c r="CM205" s="79"/>
      <c r="CN205" s="79"/>
      <c r="CO205" s="79"/>
      <c r="CP205" s="79"/>
    </row>
    <row r="206" spans="1:94" s="6" customFormat="1" ht="37.200000000000003" customHeight="1" x14ac:dyDescent="0.3">
      <c r="A206" s="4"/>
      <c r="B206" s="3"/>
      <c r="C206" s="3"/>
      <c r="D206" s="3"/>
      <c r="E206" s="3"/>
      <c r="F206" s="3"/>
      <c r="G206" s="4"/>
      <c r="H206" s="214"/>
      <c r="I206" s="215"/>
      <c r="J206" s="256"/>
      <c r="K206" s="228"/>
      <c r="L206" s="226"/>
      <c r="M206" s="226"/>
      <c r="N206" s="226"/>
      <c r="O206" s="221"/>
      <c r="P206" s="237"/>
      <c r="Q206" s="236"/>
      <c r="R206" s="236"/>
      <c r="S206" s="63"/>
      <c r="T206" s="238"/>
      <c r="U206" s="237"/>
      <c r="V206" s="236"/>
      <c r="W206" s="236"/>
      <c r="X206" s="236"/>
      <c r="Y206" s="238"/>
      <c r="Z206" s="239"/>
      <c r="AA206" s="240"/>
      <c r="AB206" s="240"/>
      <c r="AC206" s="240"/>
      <c r="AD206" s="241"/>
      <c r="AE206" s="3"/>
      <c r="AF206" s="3"/>
      <c r="AG206" s="100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99"/>
      <c r="AT206" s="3"/>
      <c r="AU206" s="3"/>
      <c r="AV206" s="100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99"/>
      <c r="BI206" s="3"/>
      <c r="BJ206" s="3"/>
      <c r="BK206" s="100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101"/>
      <c r="BX206" s="3"/>
      <c r="BY206" s="3"/>
      <c r="BZ206" s="100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99"/>
      <c r="CM206" s="79"/>
      <c r="CN206" s="79"/>
      <c r="CO206" s="79"/>
      <c r="CP206" s="79"/>
    </row>
    <row r="207" spans="1:94" s="6" customFormat="1" ht="37.200000000000003" customHeight="1" x14ac:dyDescent="0.3">
      <c r="A207" s="4"/>
      <c r="B207" s="3"/>
      <c r="C207" s="3"/>
      <c r="D207" s="3"/>
      <c r="E207" s="3"/>
      <c r="F207" s="3"/>
      <c r="G207" s="4"/>
      <c r="H207" s="214"/>
      <c r="I207" s="215"/>
      <c r="J207" s="256"/>
      <c r="K207" s="228"/>
      <c r="L207" s="226"/>
      <c r="M207" s="226"/>
      <c r="N207" s="226"/>
      <c r="O207" s="221"/>
      <c r="P207" s="237"/>
      <c r="Q207" s="236"/>
      <c r="R207" s="236"/>
      <c r="S207" s="63"/>
      <c r="T207" s="238"/>
      <c r="U207" s="237"/>
      <c r="V207" s="236"/>
      <c r="W207" s="236"/>
      <c r="X207" s="236"/>
      <c r="Y207" s="238"/>
      <c r="Z207" s="239"/>
      <c r="AA207" s="240"/>
      <c r="AB207" s="240"/>
      <c r="AC207" s="240"/>
      <c r="AD207" s="241"/>
      <c r="AE207" s="3"/>
      <c r="AF207" s="3"/>
      <c r="AG207" s="100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99"/>
      <c r="AT207" s="3"/>
      <c r="AU207" s="3"/>
      <c r="AV207" s="100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99"/>
      <c r="BI207" s="3"/>
      <c r="BJ207" s="3"/>
      <c r="BK207" s="100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101"/>
      <c r="BX207" s="3"/>
      <c r="BY207" s="3"/>
      <c r="BZ207" s="100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99"/>
      <c r="CM207" s="79"/>
      <c r="CN207" s="79"/>
      <c r="CO207" s="79"/>
      <c r="CP207" s="79"/>
    </row>
    <row r="208" spans="1:94" s="6" customFormat="1" ht="37.200000000000003" customHeight="1" x14ac:dyDescent="0.3">
      <c r="A208" s="4"/>
      <c r="B208" s="3"/>
      <c r="C208" s="3"/>
      <c r="D208" s="3"/>
      <c r="E208" s="3"/>
      <c r="F208" s="3"/>
      <c r="G208" s="4"/>
      <c r="H208" s="214"/>
      <c r="I208" s="215"/>
      <c r="J208" s="256"/>
      <c r="K208" s="228"/>
      <c r="L208" s="226"/>
      <c r="M208" s="226"/>
      <c r="N208" s="226"/>
      <c r="O208" s="221"/>
      <c r="P208" s="237"/>
      <c r="Q208" s="236"/>
      <c r="R208" s="236"/>
      <c r="S208" s="63"/>
      <c r="T208" s="238"/>
      <c r="U208" s="237"/>
      <c r="V208" s="236"/>
      <c r="W208" s="236"/>
      <c r="X208" s="236"/>
      <c r="Y208" s="238"/>
      <c r="Z208" s="239"/>
      <c r="AA208" s="240"/>
      <c r="AB208" s="240"/>
      <c r="AC208" s="240"/>
      <c r="AD208" s="241"/>
      <c r="AE208" s="3"/>
      <c r="AF208" s="3"/>
      <c r="AG208" s="100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99"/>
      <c r="AT208" s="3"/>
      <c r="AU208" s="3"/>
      <c r="AV208" s="100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99"/>
      <c r="BI208" s="3"/>
      <c r="BJ208" s="3"/>
      <c r="BK208" s="100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101"/>
      <c r="BX208" s="3"/>
      <c r="BY208" s="3"/>
      <c r="BZ208" s="100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99"/>
      <c r="CM208" s="79"/>
      <c r="CN208" s="79"/>
      <c r="CO208" s="79"/>
      <c r="CP208" s="79"/>
    </row>
    <row r="209" spans="1:94" s="6" customFormat="1" ht="37.200000000000003" customHeight="1" x14ac:dyDescent="0.3">
      <c r="A209" s="4"/>
      <c r="B209" s="3"/>
      <c r="C209" s="3"/>
      <c r="D209" s="3"/>
      <c r="E209" s="3"/>
      <c r="F209" s="3"/>
      <c r="G209" s="4"/>
      <c r="H209" s="214"/>
      <c r="I209" s="215"/>
      <c r="J209" s="256"/>
      <c r="K209" s="228"/>
      <c r="L209" s="226"/>
      <c r="M209" s="226"/>
      <c r="N209" s="226"/>
      <c r="O209" s="221"/>
      <c r="P209" s="237"/>
      <c r="Q209" s="236"/>
      <c r="R209" s="236"/>
      <c r="S209" s="63"/>
      <c r="T209" s="238"/>
      <c r="U209" s="237"/>
      <c r="V209" s="236"/>
      <c r="W209" s="236"/>
      <c r="X209" s="236"/>
      <c r="Y209" s="238"/>
      <c r="Z209" s="239"/>
      <c r="AA209" s="240"/>
      <c r="AB209" s="240"/>
      <c r="AC209" s="240"/>
      <c r="AD209" s="241"/>
      <c r="AE209" s="3"/>
      <c r="AF209" s="3"/>
      <c r="AG209" s="100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99"/>
      <c r="AT209" s="3"/>
      <c r="AU209" s="3"/>
      <c r="AV209" s="100"/>
      <c r="AW209" s="79"/>
      <c r="AX209" s="79"/>
      <c r="AY209" s="79"/>
      <c r="AZ209" s="79"/>
      <c r="BA209" s="79"/>
      <c r="BB209" s="79"/>
      <c r="BC209" s="79"/>
      <c r="BD209" s="79"/>
      <c r="BE209" s="79"/>
      <c r="BF209" s="79"/>
      <c r="BG209" s="79"/>
      <c r="BH209" s="99"/>
      <c r="BI209" s="3"/>
      <c r="BJ209" s="3"/>
      <c r="BK209" s="100"/>
      <c r="BL209" s="79"/>
      <c r="BM209" s="79"/>
      <c r="BN209" s="79"/>
      <c r="BO209" s="79"/>
      <c r="BP209" s="79"/>
      <c r="BQ209" s="79"/>
      <c r="BR209" s="79"/>
      <c r="BS209" s="79"/>
      <c r="BT209" s="79"/>
      <c r="BU209" s="79"/>
      <c r="BV209" s="79"/>
      <c r="BW209" s="101"/>
      <c r="BX209" s="3"/>
      <c r="BY209" s="3"/>
      <c r="BZ209" s="100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99"/>
      <c r="CM209" s="79"/>
      <c r="CN209" s="79"/>
      <c r="CO209" s="79"/>
      <c r="CP209" s="79"/>
    </row>
    <row r="210" spans="1:94" s="6" customFormat="1" ht="37.200000000000003" customHeight="1" x14ac:dyDescent="0.3">
      <c r="A210" s="4"/>
      <c r="B210" s="3"/>
      <c r="C210" s="3"/>
      <c r="D210" s="3"/>
      <c r="E210" s="3"/>
      <c r="F210" s="3"/>
      <c r="G210" s="4"/>
      <c r="H210" s="214"/>
      <c r="I210" s="215"/>
      <c r="J210" s="256"/>
      <c r="K210" s="228"/>
      <c r="L210" s="226"/>
      <c r="M210" s="226"/>
      <c r="N210" s="226"/>
      <c r="O210" s="221"/>
      <c r="P210" s="237"/>
      <c r="Q210" s="236"/>
      <c r="R210" s="236"/>
      <c r="S210" s="63"/>
      <c r="T210" s="238"/>
      <c r="U210" s="237"/>
      <c r="V210" s="236"/>
      <c r="W210" s="236"/>
      <c r="X210" s="236"/>
      <c r="Y210" s="238"/>
      <c r="Z210" s="239"/>
      <c r="AA210" s="240"/>
      <c r="AB210" s="240"/>
      <c r="AC210" s="240"/>
      <c r="AD210" s="241"/>
      <c r="AE210" s="3"/>
      <c r="AF210" s="3"/>
      <c r="AG210" s="100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99"/>
      <c r="AT210" s="3"/>
      <c r="AU210" s="3"/>
      <c r="AV210" s="100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99"/>
      <c r="BI210" s="3"/>
      <c r="BJ210" s="3"/>
      <c r="BK210" s="100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101"/>
      <c r="BX210" s="3"/>
      <c r="BY210" s="3"/>
      <c r="BZ210" s="100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99"/>
      <c r="CM210" s="79"/>
      <c r="CN210" s="79"/>
      <c r="CO210" s="79"/>
      <c r="CP210" s="79"/>
    </row>
    <row r="211" spans="1:94" s="6" customFormat="1" ht="37.200000000000003" customHeight="1" x14ac:dyDescent="0.3">
      <c r="A211" s="4"/>
      <c r="B211" s="3"/>
      <c r="C211" s="3"/>
      <c r="D211" s="3"/>
      <c r="E211" s="3"/>
      <c r="F211" s="3"/>
      <c r="G211" s="4"/>
      <c r="H211" s="214"/>
      <c r="I211" s="215"/>
      <c r="J211" s="256"/>
      <c r="K211" s="228"/>
      <c r="L211" s="226"/>
      <c r="M211" s="226"/>
      <c r="N211" s="226"/>
      <c r="O211" s="221"/>
      <c r="P211" s="237"/>
      <c r="Q211" s="236"/>
      <c r="R211" s="236"/>
      <c r="S211" s="63"/>
      <c r="T211" s="238"/>
      <c r="U211" s="237"/>
      <c r="V211" s="236"/>
      <c r="W211" s="236"/>
      <c r="X211" s="236"/>
      <c r="Y211" s="238"/>
      <c r="Z211" s="239"/>
      <c r="AA211" s="240"/>
      <c r="AB211" s="240"/>
      <c r="AC211" s="240"/>
      <c r="AD211" s="241"/>
      <c r="AE211" s="3"/>
      <c r="AF211" s="3"/>
      <c r="AG211" s="100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99"/>
      <c r="AT211" s="3"/>
      <c r="AU211" s="3"/>
      <c r="AV211" s="100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99"/>
      <c r="BI211" s="3"/>
      <c r="BJ211" s="3"/>
      <c r="BK211" s="100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101"/>
      <c r="BX211" s="3"/>
      <c r="BY211" s="3"/>
      <c r="BZ211" s="100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99"/>
      <c r="CM211" s="79"/>
      <c r="CN211" s="79"/>
      <c r="CO211" s="79"/>
      <c r="CP211" s="79"/>
    </row>
    <row r="212" spans="1:94" s="6" customFormat="1" ht="12.6" x14ac:dyDescent="0.3">
      <c r="A212" s="4"/>
      <c r="B212" s="3"/>
      <c r="C212" s="3"/>
      <c r="D212" s="3"/>
      <c r="E212" s="3"/>
      <c r="F212" s="3"/>
      <c r="G212" s="4"/>
      <c r="H212" s="215"/>
      <c r="I212" s="75"/>
      <c r="J212" s="256"/>
      <c r="K212" s="228"/>
      <c r="L212" s="226"/>
      <c r="M212" s="226"/>
      <c r="N212" s="226"/>
      <c r="O212" s="221"/>
      <c r="P212" s="242"/>
      <c r="Q212" s="63"/>
      <c r="R212" s="63"/>
      <c r="S212" s="63"/>
      <c r="T212" s="243"/>
      <c r="U212" s="242"/>
      <c r="V212" s="63"/>
      <c r="W212" s="63"/>
      <c r="X212" s="63"/>
      <c r="Y212" s="243"/>
      <c r="Z212" s="244"/>
      <c r="AA212" s="245"/>
      <c r="AB212" s="245"/>
      <c r="AC212" s="245"/>
      <c r="AD212" s="246"/>
      <c r="AE212" s="3"/>
      <c r="AF212" s="3"/>
      <c r="AG212" s="100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99"/>
      <c r="AT212" s="3"/>
      <c r="AU212" s="3"/>
      <c r="AV212" s="100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99"/>
      <c r="BI212" s="3"/>
      <c r="BJ212" s="3"/>
      <c r="BK212" s="100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101"/>
      <c r="BX212" s="3"/>
      <c r="BY212" s="3"/>
      <c r="BZ212" s="100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99"/>
      <c r="CM212" s="79"/>
      <c r="CN212" s="79"/>
      <c r="CO212" s="79"/>
      <c r="CP212" s="79"/>
    </row>
    <row r="213" spans="1:94" s="6" customFormat="1" ht="12" thickBot="1" x14ac:dyDescent="0.35">
      <c r="A213" s="105"/>
      <c r="B213" s="106"/>
      <c r="C213" s="106"/>
      <c r="D213" s="106"/>
      <c r="E213" s="106"/>
      <c r="F213" s="106"/>
      <c r="G213" s="105"/>
      <c r="H213" s="216"/>
      <c r="I213" s="216"/>
      <c r="J213" s="257"/>
      <c r="K213" s="229"/>
      <c r="L213" s="227"/>
      <c r="M213" s="227"/>
      <c r="N213" s="227"/>
      <c r="O213" s="222"/>
      <c r="P213" s="247"/>
      <c r="Q213" s="218"/>
      <c r="R213" s="218"/>
      <c r="S213" s="218"/>
      <c r="T213" s="248"/>
      <c r="U213" s="247"/>
      <c r="V213" s="218"/>
      <c r="W213" s="218"/>
      <c r="X213" s="218"/>
      <c r="Y213" s="248"/>
      <c r="Z213" s="249"/>
      <c r="AA213" s="250"/>
      <c r="AB213" s="250"/>
      <c r="AC213" s="250"/>
      <c r="AD213" s="251"/>
      <c r="AE213" s="106"/>
      <c r="AF213" s="106"/>
      <c r="AG213" s="107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9"/>
      <c r="AT213" s="106"/>
      <c r="AU213" s="106"/>
      <c r="AV213" s="107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9"/>
      <c r="BI213" s="106"/>
      <c r="BJ213" s="106"/>
      <c r="BK213" s="107"/>
      <c r="BL213" s="108"/>
      <c r="BM213" s="108"/>
      <c r="BN213" s="108"/>
      <c r="BO213" s="108"/>
      <c r="BP213" s="108"/>
      <c r="BQ213" s="108"/>
      <c r="BR213" s="108"/>
      <c r="BS213" s="108"/>
      <c r="BT213" s="108"/>
      <c r="BU213" s="108"/>
      <c r="BV213" s="108"/>
      <c r="BW213" s="110"/>
      <c r="BX213" s="106"/>
      <c r="BY213" s="106"/>
      <c r="BZ213" s="107"/>
      <c r="CA213" s="108"/>
      <c r="CB213" s="108"/>
      <c r="CC213" s="108"/>
      <c r="CD213" s="108"/>
      <c r="CE213" s="108"/>
      <c r="CF213" s="108"/>
      <c r="CG213" s="108"/>
      <c r="CH213" s="108"/>
      <c r="CI213" s="108"/>
      <c r="CJ213" s="108"/>
      <c r="CK213" s="108"/>
      <c r="CL213" s="109"/>
      <c r="CM213" s="108"/>
      <c r="CN213" s="108"/>
      <c r="CO213" s="108"/>
      <c r="CP213" s="108"/>
    </row>
    <row r="214" spans="1:94" s="10" customFormat="1" ht="15.75" customHeight="1" thickBot="1" x14ac:dyDescent="0.35">
      <c r="A214" s="327" t="s">
        <v>28</v>
      </c>
      <c r="B214" s="328"/>
      <c r="C214" s="328"/>
      <c r="D214" s="328"/>
      <c r="E214" s="328"/>
      <c r="F214" s="328"/>
      <c r="G214" s="328"/>
      <c r="H214" s="329"/>
      <c r="I214" s="329"/>
      <c r="J214" s="210">
        <f t="shared" ref="J214:AD214" si="108">SUBTOTAL(9,J3:J213)</f>
        <v>4306968.0999999996</v>
      </c>
      <c r="K214" s="223">
        <f t="shared" si="108"/>
        <v>591957.14557987009</v>
      </c>
      <c r="L214" s="223">
        <f t="shared" si="108"/>
        <v>40186</v>
      </c>
      <c r="M214" s="223">
        <f t="shared" si="108"/>
        <v>38683.699999999997</v>
      </c>
      <c r="N214" s="223">
        <f t="shared" si="108"/>
        <v>56386</v>
      </c>
      <c r="O214" s="223">
        <f t="shared" si="108"/>
        <v>727212.84557987005</v>
      </c>
      <c r="P214" s="223">
        <f t="shared" si="108"/>
        <v>248182.19599999997</v>
      </c>
      <c r="Q214" s="223">
        <f t="shared" si="108"/>
        <v>13557.83</v>
      </c>
      <c r="R214" s="223">
        <f t="shared" si="108"/>
        <v>20228.510000000002</v>
      </c>
      <c r="S214" s="223">
        <f t="shared" si="108"/>
        <v>16025</v>
      </c>
      <c r="T214" s="223">
        <f t="shared" si="108"/>
        <v>298007.53600000002</v>
      </c>
      <c r="U214" s="223">
        <f t="shared" si="108"/>
        <v>328774.94957987015</v>
      </c>
      <c r="V214" s="223">
        <f t="shared" si="108"/>
        <v>26628.17</v>
      </c>
      <c r="W214" s="223">
        <f t="shared" si="108"/>
        <v>18305.190000000002</v>
      </c>
      <c r="X214" s="223">
        <f t="shared" si="108"/>
        <v>40361</v>
      </c>
      <c r="Y214" s="223">
        <f t="shared" si="108"/>
        <v>414069.30957987014</v>
      </c>
      <c r="Z214" s="223">
        <f t="shared" si="108"/>
        <v>331663.5</v>
      </c>
      <c r="AA214" s="223">
        <f t="shared" si="108"/>
        <v>31409.5</v>
      </c>
      <c r="AB214" s="223">
        <f t="shared" si="108"/>
        <v>37025</v>
      </c>
      <c r="AC214" s="223">
        <f t="shared" si="108"/>
        <v>45675</v>
      </c>
      <c r="AD214" s="223">
        <f t="shared" si="108"/>
        <v>445773</v>
      </c>
      <c r="AE214" s="210"/>
      <c r="AF214" s="210"/>
      <c r="AG214" s="210">
        <f t="shared" ref="AG214:AS214" si="109">SUBTOTAL(9,AG3:AG213)</f>
        <v>49831.25</v>
      </c>
      <c r="AH214" s="210">
        <f t="shared" si="109"/>
        <v>49026.75</v>
      </c>
      <c r="AI214" s="210">
        <f t="shared" si="109"/>
        <v>47313.75</v>
      </c>
      <c r="AJ214" s="210">
        <f t="shared" si="109"/>
        <v>44617.75</v>
      </c>
      <c r="AK214" s="210">
        <f t="shared" si="109"/>
        <v>44183.5</v>
      </c>
      <c r="AL214" s="210">
        <f t="shared" si="109"/>
        <v>41776.5</v>
      </c>
      <c r="AM214" s="210">
        <f t="shared" si="109"/>
        <v>24975</v>
      </c>
      <c r="AN214" s="210">
        <f t="shared" si="109"/>
        <v>20989</v>
      </c>
      <c r="AO214" s="210">
        <f t="shared" si="109"/>
        <v>9300</v>
      </c>
      <c r="AP214" s="210">
        <f t="shared" si="109"/>
        <v>6550</v>
      </c>
      <c r="AQ214" s="210">
        <f t="shared" si="109"/>
        <v>4050</v>
      </c>
      <c r="AR214" s="210">
        <f t="shared" si="109"/>
        <v>4050</v>
      </c>
      <c r="AS214" s="210">
        <f t="shared" si="109"/>
        <v>346663.5</v>
      </c>
      <c r="AT214" s="210"/>
      <c r="AU214" s="210"/>
      <c r="AV214" s="210">
        <f t="shared" ref="AV214:BH214" si="110">SUBTOTAL(9,AV3:AV213)</f>
        <v>3521</v>
      </c>
      <c r="AW214" s="210">
        <f t="shared" si="110"/>
        <v>3493.5</v>
      </c>
      <c r="AX214" s="210">
        <f t="shared" si="110"/>
        <v>3630</v>
      </c>
      <c r="AY214" s="210">
        <f t="shared" si="110"/>
        <v>2786</v>
      </c>
      <c r="AZ214" s="210">
        <f t="shared" si="110"/>
        <v>3036</v>
      </c>
      <c r="BA214" s="210">
        <f t="shared" si="110"/>
        <v>3106</v>
      </c>
      <c r="BB214" s="210">
        <f t="shared" si="110"/>
        <v>3177</v>
      </c>
      <c r="BC214" s="210">
        <f t="shared" si="110"/>
        <v>2639</v>
      </c>
      <c r="BD214" s="210">
        <f t="shared" si="110"/>
        <v>2171</v>
      </c>
      <c r="BE214" s="210">
        <f t="shared" si="110"/>
        <v>1000</v>
      </c>
      <c r="BF214" s="210">
        <f t="shared" si="110"/>
        <v>1000</v>
      </c>
      <c r="BG214" s="210">
        <f t="shared" si="110"/>
        <v>1850</v>
      </c>
      <c r="BH214" s="210">
        <f t="shared" si="110"/>
        <v>31409.5</v>
      </c>
      <c r="BI214" s="210"/>
      <c r="BJ214" s="210"/>
      <c r="BK214" s="210">
        <f t="shared" ref="BK214:BW214" si="111">SUBTOTAL(9,BK3:BK213)</f>
        <v>4954</v>
      </c>
      <c r="BL214" s="210">
        <f t="shared" si="111"/>
        <v>3299</v>
      </c>
      <c r="BM214" s="210">
        <f t="shared" si="111"/>
        <v>4514</v>
      </c>
      <c r="BN214" s="210">
        <f t="shared" si="111"/>
        <v>3754</v>
      </c>
      <c r="BO214" s="210">
        <f t="shared" si="111"/>
        <v>4599</v>
      </c>
      <c r="BP214" s="210">
        <f t="shared" si="111"/>
        <v>3444</v>
      </c>
      <c r="BQ214" s="210">
        <f t="shared" si="111"/>
        <v>2579</v>
      </c>
      <c r="BR214" s="210">
        <f t="shared" si="111"/>
        <v>1971</v>
      </c>
      <c r="BS214" s="210">
        <f t="shared" si="111"/>
        <v>1811</v>
      </c>
      <c r="BT214" s="210">
        <f t="shared" si="111"/>
        <v>1236</v>
      </c>
      <c r="BU214" s="210">
        <f t="shared" si="111"/>
        <v>2582</v>
      </c>
      <c r="BV214" s="210">
        <f t="shared" si="111"/>
        <v>2432</v>
      </c>
      <c r="BW214" s="259">
        <f t="shared" si="111"/>
        <v>37175</v>
      </c>
      <c r="BX214" s="210"/>
      <c r="BY214" s="210"/>
      <c r="BZ214" s="232">
        <f t="shared" ref="BZ214:CL214" si="112">SUBTOTAL(9,BZ3:BZ213)</f>
        <v>5418</v>
      </c>
      <c r="CA214" s="210">
        <f t="shared" si="112"/>
        <v>5533</v>
      </c>
      <c r="CB214" s="210">
        <f t="shared" si="112"/>
        <v>5528</v>
      </c>
      <c r="CC214" s="210">
        <f t="shared" si="112"/>
        <v>5604</v>
      </c>
      <c r="CD214" s="210">
        <f t="shared" si="112"/>
        <v>5532</v>
      </c>
      <c r="CE214" s="210">
        <f t="shared" si="112"/>
        <v>4775</v>
      </c>
      <c r="CF214" s="210">
        <f t="shared" si="112"/>
        <v>4765</v>
      </c>
      <c r="CG214" s="210">
        <f t="shared" si="112"/>
        <v>4160</v>
      </c>
      <c r="CH214" s="210">
        <f t="shared" si="112"/>
        <v>2540</v>
      </c>
      <c r="CI214" s="210">
        <f t="shared" si="112"/>
        <v>1620</v>
      </c>
      <c r="CJ214" s="210">
        <f t="shared" si="112"/>
        <v>100</v>
      </c>
      <c r="CK214" s="210">
        <f t="shared" si="112"/>
        <v>100</v>
      </c>
      <c r="CL214" s="260">
        <f t="shared" si="112"/>
        <v>45675</v>
      </c>
      <c r="CM214" s="210"/>
      <c r="CN214" s="210"/>
      <c r="CO214" s="210"/>
      <c r="CP214" s="210"/>
    </row>
    <row r="215" spans="1:94" x14ac:dyDescent="0.2"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</row>
    <row r="216" spans="1:94" ht="30.75" customHeight="1" x14ac:dyDescent="0.2"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291" t="s">
        <v>447</v>
      </c>
      <c r="AG216" s="289">
        <f>'SUMMARY-CP'!D36</f>
        <v>50107.882191780824</v>
      </c>
      <c r="AH216" s="289">
        <f>'SUMMARY-CP'!E36</f>
        <v>51778.144931506853</v>
      </c>
      <c r="AI216" s="289">
        <f>'SUMMARY-CP'!F36</f>
        <v>51778.144931506853</v>
      </c>
      <c r="AJ216" s="289">
        <f>'SUMMARY-CP'!G36</f>
        <v>50107.882191780824</v>
      </c>
      <c r="AK216" s="289">
        <f>'SUMMARY-CP'!H36</f>
        <v>51778.144931506853</v>
      </c>
      <c r="AL216" s="289">
        <f>'SUMMARY-CP'!I36</f>
        <v>50107.882191780824</v>
      </c>
      <c r="AM216" s="289">
        <f>'SUMMARY-CP'!J36</f>
        <v>51778.144931506853</v>
      </c>
      <c r="AN216" s="289">
        <f>'SUMMARY-CP'!K36</f>
        <v>51778.144931506853</v>
      </c>
      <c r="AO216" s="289">
        <f>'SUMMARY-CP'!L36</f>
        <v>46767.356712328765</v>
      </c>
      <c r="AP216" s="289">
        <f>'SUMMARY-CP'!M36</f>
        <v>51778.144931506853</v>
      </c>
      <c r="AQ216" s="289">
        <f>'SUMMARY-CP'!N36</f>
        <v>50107.882191780824</v>
      </c>
      <c r="AR216" s="289">
        <f>'SUMMARY-CP'!O36</f>
        <v>51778.144931506853</v>
      </c>
      <c r="AT216" s="291" t="s">
        <v>447</v>
      </c>
      <c r="AV216" s="289">
        <f>'SUMMARY-CP'!D38</f>
        <v>8737.4817945205486</v>
      </c>
      <c r="AW216" s="289">
        <f>'SUMMARY-CP'!E38</f>
        <v>9028.7311876712338</v>
      </c>
      <c r="AX216" s="289">
        <f>'SUMMARY-CP'!F38</f>
        <v>9028.7311876712338</v>
      </c>
      <c r="AY216" s="289">
        <f>'SUMMARY-CP'!G38</f>
        <v>8737.4817945205486</v>
      </c>
      <c r="AZ216" s="289">
        <f>'SUMMARY-CP'!H38</f>
        <v>9028.7311876712338</v>
      </c>
      <c r="BA216" s="289">
        <f>'SUMMARY-CP'!I38</f>
        <v>8737.4817945205486</v>
      </c>
      <c r="BB216" s="289">
        <f>'SUMMARY-CP'!J38</f>
        <v>9028.7311876712338</v>
      </c>
      <c r="BC216" s="289">
        <f>'SUMMARY-CP'!K38</f>
        <v>9028.7311876712338</v>
      </c>
      <c r="BD216" s="289">
        <f>'SUMMARY-CP'!L38</f>
        <v>8154.9830082191793</v>
      </c>
      <c r="BE216" s="289">
        <f>'SUMMARY-CP'!M38</f>
        <v>9028.7311876712338</v>
      </c>
      <c r="BF216" s="289">
        <f>'SUMMARY-CP'!N38</f>
        <v>8737.4817945205486</v>
      </c>
      <c r="BG216" s="289">
        <f>'SUMMARY-CP'!O38</f>
        <v>9028.7311876712338</v>
      </c>
      <c r="BI216" s="291" t="s">
        <v>447</v>
      </c>
      <c r="BK216" s="289">
        <f>'SUMMARY-CP'!D38</f>
        <v>8737.4817945205486</v>
      </c>
      <c r="BL216" s="289">
        <f>'SUMMARY-CP'!E38</f>
        <v>9028.7311876712338</v>
      </c>
      <c r="BM216" s="289">
        <f>'SUMMARY-CP'!F38</f>
        <v>9028.7311876712338</v>
      </c>
      <c r="BN216" s="289">
        <f>'SUMMARY-CP'!G38</f>
        <v>8737.4817945205486</v>
      </c>
      <c r="BO216" s="289">
        <f>'SUMMARY-CP'!H38</f>
        <v>9028.7311876712338</v>
      </c>
      <c r="BP216" s="289">
        <f>'SUMMARY-CP'!I38</f>
        <v>8737.4817945205486</v>
      </c>
      <c r="BQ216" s="289">
        <f>'SUMMARY-CP'!J38</f>
        <v>9028.7311876712338</v>
      </c>
      <c r="BR216" s="289">
        <f>'SUMMARY-CP'!K38</f>
        <v>9028.7311876712338</v>
      </c>
      <c r="BS216" s="289">
        <f>'SUMMARY-CP'!L38</f>
        <v>8154.9830082191793</v>
      </c>
      <c r="BT216" s="289">
        <f>'SUMMARY-CP'!M38</f>
        <v>9028.7311876712338</v>
      </c>
      <c r="BU216" s="289">
        <f>'SUMMARY-CP'!N38</f>
        <v>8737.4817945205486</v>
      </c>
      <c r="BV216" s="289">
        <f>'SUMMARY-CP'!O38</f>
        <v>9028.7311876712338</v>
      </c>
      <c r="BX216" s="291" t="s">
        <v>447</v>
      </c>
      <c r="BZ216" s="289">
        <f>'SUMMARY-CP'!D43</f>
        <v>5423.547945205476</v>
      </c>
      <c r="CA216" s="289">
        <f>'SUMMARY-CP'!E43</f>
        <v>5604.3328767123257</v>
      </c>
      <c r="CB216" s="289">
        <f>'SUMMARY-CP'!F43</f>
        <v>5604.3328767123257</v>
      </c>
      <c r="CC216" s="289">
        <f>'SUMMARY-CP'!G43</f>
        <v>5423.547945205476</v>
      </c>
      <c r="CD216" s="289">
        <f>'SUMMARY-CP'!H43</f>
        <v>5604.3328767123257</v>
      </c>
      <c r="CE216" s="289">
        <f>'SUMMARY-CP'!I43</f>
        <v>5423.547945205476</v>
      </c>
      <c r="CF216" s="289">
        <f>'SUMMARY-CP'!J43</f>
        <v>5604.3328767123257</v>
      </c>
      <c r="CG216" s="289">
        <f>'SUMMARY-CP'!K43</f>
        <v>5604.3328767123257</v>
      </c>
      <c r="CH216" s="289">
        <f>'SUMMARY-CP'!L43</f>
        <v>5061.9780821917775</v>
      </c>
      <c r="CI216" s="289">
        <f>'SUMMARY-CP'!M43</f>
        <v>5604.3328767123257</v>
      </c>
      <c r="CJ216" s="289">
        <f>'SUMMARY-CP'!N43</f>
        <v>5423.547945205476</v>
      </c>
      <c r="CK216" s="289">
        <f>'SUMMARY-CP'!O43</f>
        <v>5604.3328767123257</v>
      </c>
    </row>
    <row r="217" spans="1:94" x14ac:dyDescent="0.2"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1:94" ht="31.5" customHeight="1" x14ac:dyDescent="0.2"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G218" s="290">
        <f>AG214/AG216</f>
        <v>0.99447926793788544</v>
      </c>
      <c r="AH218" s="290">
        <f t="shared" ref="AH218:AR218" si="113">AH214/AH216</f>
        <v>0.94686184807998719</v>
      </c>
      <c r="AI218" s="290">
        <f t="shared" si="113"/>
        <v>0.91377839168605901</v>
      </c>
      <c r="AJ218" s="290">
        <f t="shared" si="113"/>
        <v>0.89043376108437156</v>
      </c>
      <c r="AK218" s="290">
        <f t="shared" si="113"/>
        <v>0.85332334826685663</v>
      </c>
      <c r="AL218" s="290">
        <f t="shared" si="113"/>
        <v>0.83373110522025984</v>
      </c>
      <c r="AM218" s="290">
        <f t="shared" si="113"/>
        <v>0.48234636511287571</v>
      </c>
      <c r="AN218" s="290">
        <f t="shared" si="113"/>
        <v>0.40536407837253846</v>
      </c>
      <c r="AO218" s="290">
        <f t="shared" si="113"/>
        <v>0.19885665245537265</v>
      </c>
      <c r="AP218" s="290">
        <f t="shared" si="113"/>
        <v>0.12650124890848191</v>
      </c>
      <c r="AQ218" s="290">
        <f t="shared" si="113"/>
        <v>8.0825607127022428E-2</v>
      </c>
      <c r="AR218" s="290">
        <f t="shared" si="113"/>
        <v>7.8218329477763637E-2</v>
      </c>
      <c r="AV218" s="290">
        <f>AV214/AV216</f>
        <v>0.40297651918520622</v>
      </c>
      <c r="AW218" s="290">
        <f t="shared" ref="AW218:BG218" si="114">AW214/AW216</f>
        <v>0.38693144445039934</v>
      </c>
      <c r="AX218" s="290">
        <f t="shared" si="114"/>
        <v>0.40204984781879194</v>
      </c>
      <c r="AY218" s="290">
        <f t="shared" si="114"/>
        <v>0.31885617223799617</v>
      </c>
      <c r="AZ218" s="290">
        <f t="shared" si="114"/>
        <v>0.33625987272117142</v>
      </c>
      <c r="BA218" s="290">
        <f t="shared" si="114"/>
        <v>0.35547999675923048</v>
      </c>
      <c r="BB218" s="290">
        <f t="shared" si="114"/>
        <v>0.35187668499181873</v>
      </c>
      <c r="BC218" s="290">
        <f t="shared" si="114"/>
        <v>0.29228913178892341</v>
      </c>
      <c r="BD218" s="290">
        <f t="shared" si="114"/>
        <v>0.26621759944955248</v>
      </c>
      <c r="BE218" s="290">
        <f t="shared" si="114"/>
        <v>0.11075753383437795</v>
      </c>
      <c r="BF218" s="290">
        <f t="shared" si="114"/>
        <v>0.11444945162885721</v>
      </c>
      <c r="BG218" s="290">
        <f t="shared" si="114"/>
        <v>0.20490143759359919</v>
      </c>
      <c r="BK218" s="290">
        <f>BK214/BK216</f>
        <v>0.56698258336935858</v>
      </c>
      <c r="BL218" s="290">
        <f t="shared" ref="BL218:BV218" si="115">BL214/BL216</f>
        <v>0.36538910411961284</v>
      </c>
      <c r="BM218" s="290">
        <f t="shared" si="115"/>
        <v>0.49995950772838205</v>
      </c>
      <c r="BN218" s="290">
        <f t="shared" si="115"/>
        <v>0.42964324141472998</v>
      </c>
      <c r="BO218" s="290">
        <f t="shared" si="115"/>
        <v>0.50937389810430411</v>
      </c>
      <c r="BP218" s="290">
        <f t="shared" si="115"/>
        <v>0.39416391140978424</v>
      </c>
      <c r="BQ218" s="290">
        <f t="shared" si="115"/>
        <v>0.28564367975886068</v>
      </c>
      <c r="BR218" s="290">
        <f t="shared" si="115"/>
        <v>0.21830309918755891</v>
      </c>
      <c r="BS218" s="290">
        <f t="shared" si="115"/>
        <v>0.22207281096413614</v>
      </c>
      <c r="BT218" s="290">
        <f t="shared" si="115"/>
        <v>0.13689631181929113</v>
      </c>
      <c r="BU218" s="290">
        <f t="shared" si="115"/>
        <v>0.29550848410570929</v>
      </c>
      <c r="BV218" s="290">
        <f t="shared" si="115"/>
        <v>0.26936232228520712</v>
      </c>
      <c r="BZ218" s="290">
        <f>BZ214/BZ216</f>
        <v>0.99897706349026005</v>
      </c>
      <c r="CA218" s="290">
        <f t="shared" ref="CA218:CK218" si="116">CA214/CA216</f>
        <v>0.98727183443925415</v>
      </c>
      <c r="CB218" s="290">
        <f t="shared" si="116"/>
        <v>0.98637966759085427</v>
      </c>
      <c r="CC218" s="290">
        <f t="shared" si="116"/>
        <v>1.0332719571427496</v>
      </c>
      <c r="CD218" s="290">
        <f t="shared" si="116"/>
        <v>0.98709340106957411</v>
      </c>
      <c r="CE218" s="290">
        <f t="shared" si="116"/>
        <v>0.88041998489590101</v>
      </c>
      <c r="CF218" s="290">
        <f t="shared" si="116"/>
        <v>0.85023500652503992</v>
      </c>
      <c r="CG218" s="290">
        <f t="shared" si="116"/>
        <v>0.74228281786866024</v>
      </c>
      <c r="CH218" s="290">
        <f t="shared" si="116"/>
        <v>0.50178012602144839</v>
      </c>
      <c r="CI218" s="290">
        <f t="shared" si="116"/>
        <v>0.28906205888154557</v>
      </c>
      <c r="CJ218" s="290">
        <f t="shared" si="116"/>
        <v>1.8438114866929863E-2</v>
      </c>
      <c r="CK218" s="290">
        <f t="shared" si="116"/>
        <v>1.7843336967996639E-2</v>
      </c>
    </row>
    <row r="219" spans="1:94" x14ac:dyDescent="0.2"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</row>
    <row r="220" spans="1:94" x14ac:dyDescent="0.2"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</row>
    <row r="221" spans="1:94" ht="14.4" x14ac:dyDescent="0.2">
      <c r="B221" s="212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</row>
    <row r="222" spans="1:94" ht="14.4" x14ac:dyDescent="0.2">
      <c r="B222" s="212"/>
      <c r="C222" s="261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</row>
    <row r="223" spans="1:94" ht="14.4" x14ac:dyDescent="0.2">
      <c r="B223" s="212"/>
      <c r="C223" s="261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</row>
    <row r="224" spans="1:94" ht="14.4" x14ac:dyDescent="0.2">
      <c r="B224" s="212"/>
      <c r="C224" s="261"/>
      <c r="E224" s="262"/>
      <c r="F224" s="262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</row>
    <row r="225" spans="2:30" ht="14.4" x14ac:dyDescent="0.2">
      <c r="B225" s="212"/>
      <c r="C225" s="261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</row>
    <row r="226" spans="2:30" ht="14.4" x14ac:dyDescent="0.2">
      <c r="B226" s="212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</row>
    <row r="227" spans="2:30" ht="14.4" x14ac:dyDescent="0.2">
      <c r="B227" s="212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</row>
    <row r="228" spans="2:30" ht="14.4" x14ac:dyDescent="0.2">
      <c r="B228" s="212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</row>
    <row r="229" spans="2:30" ht="14.4" x14ac:dyDescent="0.2">
      <c r="B229" s="212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</row>
    <row r="230" spans="2:30" ht="14.4" x14ac:dyDescent="0.2">
      <c r="B230" s="212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</row>
    <row r="231" spans="2:30" ht="14.4" x14ac:dyDescent="0.2">
      <c r="B231" s="212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</row>
    <row r="232" spans="2:30" ht="14.4" x14ac:dyDescent="0.2">
      <c r="B232" s="212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</row>
    <row r="233" spans="2:30" ht="14.4" x14ac:dyDescent="0.2">
      <c r="B233" s="212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</row>
    <row r="234" spans="2:30" ht="14.4" x14ac:dyDescent="0.2">
      <c r="B234" s="212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</row>
    <row r="235" spans="2:30" ht="14.4" x14ac:dyDescent="0.2">
      <c r="B235" s="212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</row>
    <row r="236" spans="2:30" ht="14.4" x14ac:dyDescent="0.2">
      <c r="B236" s="212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</row>
    <row r="237" spans="2:30" ht="14.4" x14ac:dyDescent="0.2">
      <c r="B237" s="212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</row>
    <row r="238" spans="2:30" ht="14.4" x14ac:dyDescent="0.2">
      <c r="B238" s="212"/>
    </row>
    <row r="239" spans="2:30" ht="14.4" x14ac:dyDescent="0.2">
      <c r="B239" s="212"/>
    </row>
    <row r="240" spans="2:30" ht="14.4" x14ac:dyDescent="0.2">
      <c r="B240" s="212"/>
    </row>
    <row r="241" spans="2:2" ht="14.4" x14ac:dyDescent="0.2">
      <c r="B241" s="212"/>
    </row>
    <row r="242" spans="2:2" ht="14.4" x14ac:dyDescent="0.2">
      <c r="B242" s="212"/>
    </row>
    <row r="243" spans="2:2" ht="14.4" x14ac:dyDescent="0.2">
      <c r="B243" s="212"/>
    </row>
  </sheetData>
  <mergeCells count="19">
    <mergeCell ref="A214:I214"/>
    <mergeCell ref="G1:G2"/>
    <mergeCell ref="H1:H2"/>
    <mergeCell ref="I1:I2"/>
    <mergeCell ref="A1:A2"/>
    <mergeCell ref="B1:B2"/>
    <mergeCell ref="C1:C2"/>
    <mergeCell ref="D1:D2"/>
    <mergeCell ref="E1:E2"/>
    <mergeCell ref="F1:F2"/>
    <mergeCell ref="AG1:AS1"/>
    <mergeCell ref="AV1:BH1"/>
    <mergeCell ref="BK1:BW1"/>
    <mergeCell ref="BZ1:CL1"/>
    <mergeCell ref="J1:J2"/>
    <mergeCell ref="U1:Y1"/>
    <mergeCell ref="Z1:AD1"/>
    <mergeCell ref="K1:O1"/>
    <mergeCell ref="P1:T1"/>
  </mergeCells>
  <conditionalFormatting sqref="B1 B3:B145 B147:B1048576">
    <cfRule type="duplicateValues" dxfId="504" priority="23"/>
  </conditionalFormatting>
  <conditionalFormatting sqref="B12">
    <cfRule type="duplicateValues" dxfId="503" priority="104814"/>
    <cfRule type="duplicateValues" dxfId="502" priority="104817"/>
    <cfRule type="duplicateValues" dxfId="501" priority="104818"/>
    <cfRule type="duplicateValues" dxfId="500" priority="104819"/>
    <cfRule type="duplicateValues" dxfId="499" priority="104820"/>
    <cfRule type="duplicateValues" dxfId="498" priority="104821"/>
    <cfRule type="duplicateValues" dxfId="497" priority="104822"/>
    <cfRule type="duplicateValues" dxfId="496" priority="104815"/>
    <cfRule type="duplicateValues" dxfId="495" priority="104816"/>
  </conditionalFormatting>
  <conditionalFormatting sqref="B27">
    <cfRule type="duplicateValues" dxfId="494" priority="104883"/>
    <cfRule type="duplicateValues" dxfId="493" priority="104872"/>
    <cfRule type="duplicateValues" dxfId="492" priority="104881"/>
    <cfRule type="duplicateValues" dxfId="491" priority="104880"/>
    <cfRule type="duplicateValues" dxfId="490" priority="104879"/>
    <cfRule type="duplicateValues" dxfId="489" priority="104878"/>
    <cfRule type="duplicateValues" dxfId="488" priority="104877"/>
    <cfRule type="duplicateValues" dxfId="487" priority="104876"/>
    <cfRule type="duplicateValues" dxfId="486" priority="104875"/>
    <cfRule type="duplicateValues" dxfId="485" priority="104874"/>
    <cfRule type="duplicateValues" dxfId="484" priority="104873"/>
    <cfRule type="duplicateValues" dxfId="483" priority="104882"/>
  </conditionalFormatting>
  <conditionalFormatting sqref="B35:B40 B42:B63">
    <cfRule type="duplicateValues" dxfId="482" priority="105893"/>
    <cfRule type="duplicateValues" dxfId="481" priority="105892"/>
    <cfRule type="duplicateValues" dxfId="480" priority="105891"/>
    <cfRule type="duplicateValues" dxfId="479" priority="105890"/>
    <cfRule type="duplicateValues" dxfId="478" priority="105889"/>
    <cfRule type="duplicateValues" dxfId="477" priority="105888"/>
    <cfRule type="duplicateValues" dxfId="476" priority="105887"/>
    <cfRule type="duplicateValues" dxfId="475" priority="105894"/>
    <cfRule type="duplicateValues" dxfId="474" priority="105883"/>
    <cfRule type="duplicateValues" dxfId="473" priority="105884"/>
    <cfRule type="duplicateValues" dxfId="472" priority="105885"/>
    <cfRule type="duplicateValues" dxfId="471" priority="105886"/>
  </conditionalFormatting>
  <conditionalFormatting sqref="B41">
    <cfRule type="duplicateValues" dxfId="470" priority="104916"/>
    <cfRule type="duplicateValues" dxfId="469" priority="104915"/>
    <cfRule type="duplicateValues" dxfId="468" priority="104914"/>
    <cfRule type="duplicateValues" dxfId="467" priority="104913"/>
    <cfRule type="duplicateValues" dxfId="466" priority="104912"/>
    <cfRule type="duplicateValues" dxfId="465" priority="104911"/>
    <cfRule type="duplicateValues" dxfId="464" priority="104910"/>
    <cfRule type="duplicateValues" dxfId="463" priority="104909"/>
    <cfRule type="duplicateValues" dxfId="462" priority="104908"/>
    <cfRule type="duplicateValues" dxfId="461" priority="104917"/>
    <cfRule type="duplicateValues" dxfId="460" priority="104918"/>
    <cfRule type="duplicateValues" dxfId="459" priority="104921"/>
    <cfRule type="duplicateValues" dxfId="458" priority="104920"/>
    <cfRule type="duplicateValues" dxfId="457" priority="104919"/>
  </conditionalFormatting>
  <conditionalFormatting sqref="B111:B112 B124:B138 B142:B145 B42:B109 B1 B3:B40 B147:B214">
    <cfRule type="duplicateValues" dxfId="456" priority="105913"/>
    <cfRule type="duplicateValues" dxfId="455" priority="105912"/>
    <cfRule type="duplicateValues" dxfId="454" priority="105911"/>
    <cfRule type="duplicateValues" dxfId="453" priority="105910"/>
  </conditionalFormatting>
  <conditionalFormatting sqref="B113:B123">
    <cfRule type="duplicateValues" dxfId="452" priority="104336"/>
    <cfRule type="duplicateValues" dxfId="451" priority="104340"/>
    <cfRule type="duplicateValues" dxfId="450" priority="104339"/>
    <cfRule type="duplicateValues" dxfId="449" priority="104338"/>
    <cfRule type="duplicateValues" dxfId="448" priority="104337"/>
    <cfRule type="duplicateValues" dxfId="447" priority="104330"/>
    <cfRule type="duplicateValues" dxfId="446" priority="104331"/>
    <cfRule type="duplicateValues" dxfId="445" priority="104343"/>
    <cfRule type="duplicateValues" dxfId="444" priority="104342"/>
    <cfRule type="duplicateValues" dxfId="443" priority="104332"/>
    <cfRule type="duplicateValues" dxfId="442" priority="104335"/>
    <cfRule type="duplicateValues" dxfId="441" priority="104333"/>
    <cfRule type="duplicateValues" dxfId="440" priority="104334"/>
    <cfRule type="duplicateValues" dxfId="439" priority="104341"/>
    <cfRule type="duplicateValues" dxfId="438" priority="104329"/>
    <cfRule type="duplicateValues" dxfId="437" priority="104328"/>
    <cfRule type="duplicateValues" dxfId="436" priority="104327"/>
  </conditionalFormatting>
  <conditionalFormatting sqref="B244:B1048576 B142:B145 B1 B3:B138 B147:B220">
    <cfRule type="duplicateValues" dxfId="435" priority="104780"/>
    <cfRule type="duplicateValues" dxfId="434" priority="104779"/>
  </conditionalFormatting>
  <conditionalFormatting sqref="B213:D213">
    <cfRule type="duplicateValues" dxfId="433" priority="105105"/>
    <cfRule type="duplicateValues" dxfId="432" priority="105104"/>
    <cfRule type="duplicateValues" dxfId="431" priority="105103"/>
    <cfRule type="duplicateValues" dxfId="430" priority="105102"/>
    <cfRule type="duplicateValues" dxfId="429" priority="105101"/>
    <cfRule type="duplicateValues" dxfId="428" priority="105100"/>
    <cfRule type="duplicateValues" dxfId="427" priority="105099"/>
    <cfRule type="duplicateValues" dxfId="426" priority="105097"/>
    <cfRule type="duplicateValues" dxfId="425" priority="105098"/>
    <cfRule type="duplicateValues" dxfId="424" priority="105106"/>
  </conditionalFormatting>
  <conditionalFormatting sqref="B213:D214 B3:B5 B1:D1 D3:D5">
    <cfRule type="duplicateValues" dxfId="423" priority="89151"/>
  </conditionalFormatting>
  <conditionalFormatting sqref="B214:D214 D3 B3">
    <cfRule type="duplicateValues" dxfId="422" priority="89158"/>
  </conditionalFormatting>
  <conditionalFormatting sqref="C74">
    <cfRule type="duplicateValues" dxfId="421" priority="467"/>
    <cfRule type="duplicateValues" dxfId="420" priority="466"/>
    <cfRule type="duplicateValues" dxfId="419" priority="465"/>
    <cfRule type="duplicateValues" dxfId="418" priority="468"/>
    <cfRule type="duplicateValues" dxfId="417" priority="464"/>
  </conditionalFormatting>
  <conditionalFormatting sqref="C112">
    <cfRule type="duplicateValues" dxfId="416" priority="406"/>
    <cfRule type="duplicateValues" dxfId="415" priority="407"/>
    <cfRule type="duplicateValues" dxfId="414" priority="408"/>
    <cfRule type="duplicateValues" dxfId="413" priority="409"/>
    <cfRule type="duplicateValues" dxfId="412" priority="410"/>
    <cfRule type="duplicateValues" dxfId="411" priority="398"/>
    <cfRule type="duplicateValues" dxfId="410" priority="394"/>
    <cfRule type="duplicateValues" dxfId="409" priority="395"/>
    <cfRule type="duplicateValues" dxfId="408" priority="396"/>
    <cfRule type="duplicateValues" dxfId="407" priority="397"/>
    <cfRule type="duplicateValues" dxfId="406" priority="399"/>
    <cfRule type="duplicateValues" dxfId="405" priority="400"/>
    <cfRule type="duplicateValues" dxfId="404" priority="401"/>
    <cfRule type="duplicateValues" dxfId="403" priority="402"/>
    <cfRule type="duplicateValues" dxfId="402" priority="403"/>
    <cfRule type="duplicateValues" dxfId="401" priority="404"/>
    <cfRule type="duplicateValues" dxfId="400" priority="405"/>
  </conditionalFormatting>
  <conditionalFormatting sqref="C126">
    <cfRule type="duplicateValues" dxfId="399" priority="341"/>
    <cfRule type="duplicateValues" dxfId="398" priority="340"/>
    <cfRule type="duplicateValues" dxfId="397" priority="357"/>
    <cfRule type="duplicateValues" dxfId="396" priority="356"/>
    <cfRule type="duplicateValues" dxfId="395" priority="355"/>
    <cfRule type="duplicateValues" dxfId="394" priority="354"/>
    <cfRule type="duplicateValues" dxfId="393" priority="352"/>
    <cfRule type="duplicateValues" dxfId="392" priority="351"/>
    <cfRule type="duplicateValues" dxfId="391" priority="339"/>
    <cfRule type="duplicateValues" dxfId="390" priority="350"/>
    <cfRule type="duplicateValues" dxfId="389" priority="349"/>
    <cfRule type="duplicateValues" dxfId="388" priority="348"/>
    <cfRule type="duplicateValues" dxfId="387" priority="347"/>
    <cfRule type="duplicateValues" dxfId="386" priority="346"/>
    <cfRule type="duplicateValues" dxfId="385" priority="353"/>
    <cfRule type="duplicateValues" dxfId="384" priority="345"/>
    <cfRule type="duplicateValues" dxfId="383" priority="344"/>
    <cfRule type="duplicateValues" dxfId="382" priority="343"/>
    <cfRule type="duplicateValues" dxfId="381" priority="342"/>
  </conditionalFormatting>
  <conditionalFormatting sqref="C130">
    <cfRule type="duplicateValues" dxfId="380" priority="321"/>
    <cfRule type="duplicateValues" dxfId="379" priority="336"/>
    <cfRule type="duplicateValues" dxfId="378" priority="337"/>
    <cfRule type="duplicateValues" dxfId="377" priority="320"/>
    <cfRule type="duplicateValues" dxfId="376" priority="322"/>
    <cfRule type="duplicateValues" dxfId="375" priority="323"/>
    <cfRule type="duplicateValues" dxfId="374" priority="338"/>
    <cfRule type="duplicateValues" dxfId="373" priority="324"/>
    <cfRule type="duplicateValues" dxfId="372" priority="330"/>
    <cfRule type="duplicateValues" dxfId="371" priority="325"/>
    <cfRule type="duplicateValues" dxfId="370" priority="326"/>
    <cfRule type="duplicateValues" dxfId="369" priority="327"/>
    <cfRule type="duplicateValues" dxfId="368" priority="328"/>
    <cfRule type="duplicateValues" dxfId="367" priority="329"/>
    <cfRule type="duplicateValues" dxfId="366" priority="331"/>
    <cfRule type="duplicateValues" dxfId="365" priority="332"/>
    <cfRule type="duplicateValues" dxfId="364" priority="333"/>
    <cfRule type="duplicateValues" dxfId="363" priority="334"/>
    <cfRule type="duplicateValues" dxfId="362" priority="335"/>
  </conditionalFormatting>
  <conditionalFormatting sqref="C152">
    <cfRule type="duplicateValues" dxfId="361" priority="250"/>
    <cfRule type="duplicateValues" dxfId="360" priority="259"/>
    <cfRule type="duplicateValues" dxfId="359" priority="262"/>
    <cfRule type="duplicateValues" dxfId="358" priority="261"/>
    <cfRule type="duplicateValues" dxfId="357" priority="244"/>
    <cfRule type="duplicateValues" dxfId="356" priority="245"/>
    <cfRule type="duplicateValues" dxfId="355" priority="246"/>
    <cfRule type="duplicateValues" dxfId="354" priority="247"/>
    <cfRule type="duplicateValues" dxfId="353" priority="248"/>
    <cfRule type="duplicateValues" dxfId="352" priority="249"/>
    <cfRule type="duplicateValues" dxfId="351" priority="260"/>
    <cfRule type="duplicateValues" dxfId="350" priority="251"/>
    <cfRule type="duplicateValues" dxfId="349" priority="252"/>
    <cfRule type="duplicateValues" dxfId="348" priority="253"/>
    <cfRule type="duplicateValues" dxfId="347" priority="254"/>
    <cfRule type="duplicateValues" dxfId="346" priority="255"/>
    <cfRule type="duplicateValues" dxfId="345" priority="256"/>
    <cfRule type="duplicateValues" dxfId="344" priority="257"/>
    <cfRule type="duplicateValues" dxfId="343" priority="258"/>
  </conditionalFormatting>
  <conditionalFormatting sqref="C183">
    <cfRule type="duplicateValues" dxfId="342" priority="319"/>
    <cfRule type="duplicateValues" dxfId="341" priority="309"/>
    <cfRule type="duplicateValues" dxfId="340" priority="318"/>
    <cfRule type="duplicateValues" dxfId="339" priority="307"/>
    <cfRule type="duplicateValues" dxfId="338" priority="306"/>
    <cfRule type="duplicateValues" dxfId="337" priority="305"/>
    <cfRule type="duplicateValues" dxfId="336" priority="304"/>
    <cfRule type="duplicateValues" dxfId="335" priority="303"/>
    <cfRule type="duplicateValues" dxfId="334" priority="302"/>
    <cfRule type="duplicateValues" dxfId="333" priority="301"/>
    <cfRule type="duplicateValues" dxfId="332" priority="308"/>
    <cfRule type="duplicateValues" dxfId="331" priority="314"/>
    <cfRule type="duplicateValues" dxfId="330" priority="310"/>
    <cfRule type="duplicateValues" dxfId="329" priority="317"/>
    <cfRule type="duplicateValues" dxfId="328" priority="316"/>
    <cfRule type="duplicateValues" dxfId="327" priority="315"/>
    <cfRule type="duplicateValues" dxfId="326" priority="313"/>
    <cfRule type="duplicateValues" dxfId="325" priority="312"/>
    <cfRule type="duplicateValues" dxfId="324" priority="311"/>
  </conditionalFormatting>
  <conditionalFormatting sqref="C195">
    <cfRule type="duplicateValues" dxfId="323" priority="280"/>
    <cfRule type="duplicateValues" dxfId="322" priority="279"/>
    <cfRule type="duplicateValues" dxfId="321" priority="278"/>
    <cfRule type="duplicateValues" dxfId="320" priority="277"/>
    <cfRule type="duplicateValues" dxfId="319" priority="276"/>
    <cfRule type="duplicateValues" dxfId="318" priority="275"/>
    <cfRule type="duplicateValues" dxfId="317" priority="274"/>
    <cfRule type="duplicateValues" dxfId="316" priority="281"/>
    <cfRule type="duplicateValues" dxfId="315" priority="269"/>
    <cfRule type="duplicateValues" dxfId="314" priority="266"/>
    <cfRule type="duplicateValues" dxfId="313" priority="265"/>
    <cfRule type="duplicateValues" dxfId="312" priority="264"/>
    <cfRule type="duplicateValues" dxfId="311" priority="273"/>
    <cfRule type="duplicateValues" dxfId="310" priority="272"/>
    <cfRule type="duplicateValues" dxfId="309" priority="263"/>
    <cfRule type="duplicateValues" dxfId="308" priority="271"/>
    <cfRule type="duplicateValues" dxfId="307" priority="270"/>
    <cfRule type="duplicateValues" dxfId="306" priority="268"/>
    <cfRule type="duplicateValues" dxfId="305" priority="267"/>
  </conditionalFormatting>
  <conditionalFormatting sqref="C212:C214 C1">
    <cfRule type="duplicateValues" dxfId="304" priority="103186"/>
  </conditionalFormatting>
  <conditionalFormatting sqref="C212:C221 B111:B112 C226:C1048576 B124:B138 B142:B145 B244:B1048576 B42:B109 B3:B40 B1:C1 B147:B220">
    <cfRule type="duplicateValues" dxfId="303" priority="104922"/>
  </conditionalFormatting>
  <conditionalFormatting sqref="C212:D212 D6:D11 B25:B26 B111:B112 B6:B11 B21:B23 D21:D22 B124:B138 B28:B34 B142:B145 B93:B109 B147:B195 B198:B212">
    <cfRule type="duplicateValues" dxfId="302" priority="89802"/>
    <cfRule type="duplicateValues" dxfId="301" priority="89803"/>
    <cfRule type="duplicateValues" dxfId="300" priority="89804"/>
    <cfRule type="duplicateValues" dxfId="299" priority="89809"/>
    <cfRule type="duplicateValues" dxfId="298" priority="89810"/>
    <cfRule type="duplicateValues" dxfId="297" priority="89811"/>
    <cfRule type="duplicateValues" dxfId="296" priority="89805"/>
    <cfRule type="duplicateValues" dxfId="295" priority="89806"/>
    <cfRule type="duplicateValues" dxfId="294" priority="89807"/>
    <cfRule type="duplicateValues" dxfId="293" priority="89808"/>
  </conditionalFormatting>
  <conditionalFormatting sqref="C212:D214 B25:B26 B111:B112 B21:B23 D21:D22 B124:B138 B28:B34 B142:B145 B93:B109 B3:B11 B1:D1 D3:D11 B147:B195 B198:B214">
    <cfRule type="duplicateValues" dxfId="292" priority="103161"/>
    <cfRule type="duplicateValues" dxfId="291" priority="103160"/>
  </conditionalFormatting>
  <conditionalFormatting sqref="D3 B3">
    <cfRule type="duplicateValues" dxfId="290" priority="3511"/>
    <cfRule type="duplicateValues" dxfId="289" priority="3512"/>
    <cfRule type="duplicateValues" dxfId="288" priority="3514"/>
    <cfRule type="duplicateValues" dxfId="287" priority="3515"/>
    <cfRule type="duplicateValues" dxfId="286" priority="3516"/>
    <cfRule type="duplicateValues" dxfId="285" priority="3517"/>
    <cfRule type="duplicateValues" dxfId="284" priority="3518"/>
    <cfRule type="duplicateValues" dxfId="283" priority="3510"/>
    <cfRule type="duplicateValues" dxfId="282" priority="3513"/>
  </conditionalFormatting>
  <conditionalFormatting sqref="D4 B4">
    <cfRule type="duplicateValues" dxfId="281" priority="3435"/>
    <cfRule type="duplicateValues" dxfId="280" priority="3436"/>
    <cfRule type="duplicateValues" dxfId="279" priority="3437"/>
    <cfRule type="duplicateValues" dxfId="278" priority="3438"/>
    <cfRule type="duplicateValues" dxfId="277" priority="3440"/>
    <cfRule type="duplicateValues" dxfId="276" priority="3441"/>
    <cfRule type="duplicateValues" dxfId="275" priority="3442"/>
    <cfRule type="duplicateValues" dxfId="274" priority="3443"/>
    <cfRule type="duplicateValues" dxfId="273" priority="3439"/>
  </conditionalFormatting>
  <conditionalFormatting sqref="D5 B5">
    <cfRule type="duplicateValues" dxfId="272" priority="2900"/>
    <cfRule type="duplicateValues" dxfId="271" priority="2905"/>
    <cfRule type="duplicateValues" dxfId="270" priority="2904"/>
    <cfRule type="duplicateValues" dxfId="269" priority="2903"/>
    <cfRule type="duplicateValues" dxfId="268" priority="2901"/>
    <cfRule type="duplicateValues" dxfId="267" priority="2902"/>
    <cfRule type="duplicateValues" dxfId="266" priority="2899"/>
    <cfRule type="duplicateValues" dxfId="265" priority="2907"/>
    <cfRule type="duplicateValues" dxfId="264" priority="2906"/>
  </conditionalFormatting>
  <conditionalFormatting sqref="D12:D19">
    <cfRule type="duplicateValues" dxfId="263" priority="104095"/>
  </conditionalFormatting>
  <conditionalFormatting sqref="D13 B12:B14">
    <cfRule type="duplicateValues" dxfId="262" priority="103772"/>
    <cfRule type="duplicateValues" dxfId="261" priority="103771"/>
    <cfRule type="duplicateValues" dxfId="260" priority="103770"/>
    <cfRule type="duplicateValues" dxfId="259" priority="103768"/>
    <cfRule type="duplicateValues" dxfId="258" priority="103767"/>
    <cfRule type="duplicateValues" dxfId="257" priority="103766"/>
    <cfRule type="duplicateValues" dxfId="256" priority="103765"/>
    <cfRule type="duplicateValues" dxfId="255" priority="103764"/>
    <cfRule type="duplicateValues" dxfId="254" priority="103769"/>
  </conditionalFormatting>
  <conditionalFormatting sqref="D13 B13:B14">
    <cfRule type="duplicateValues" dxfId="253" priority="678"/>
    <cfRule type="duplicateValues" dxfId="252" priority="677"/>
    <cfRule type="duplicateValues" dxfId="251" priority="676"/>
    <cfRule type="duplicateValues" dxfId="250" priority="675"/>
    <cfRule type="duplicateValues" dxfId="249" priority="674"/>
    <cfRule type="duplicateValues" dxfId="248" priority="673"/>
    <cfRule type="duplicateValues" dxfId="247" priority="672"/>
    <cfRule type="duplicateValues" dxfId="246" priority="671"/>
    <cfRule type="duplicateValues" dxfId="245" priority="670"/>
  </conditionalFormatting>
  <conditionalFormatting sqref="D13 B19 D19 D15:D17 B12:B17">
    <cfRule type="duplicateValues" dxfId="244" priority="105309"/>
  </conditionalFormatting>
  <conditionalFormatting sqref="D15 B19 B15 D19">
    <cfRule type="duplicateValues" dxfId="243" priority="105322"/>
    <cfRule type="duplicateValues" dxfId="242" priority="105323"/>
    <cfRule type="duplicateValues" dxfId="241" priority="105314"/>
    <cfRule type="duplicateValues" dxfId="240" priority="105321"/>
    <cfRule type="duplicateValues" dxfId="239" priority="105320"/>
    <cfRule type="duplicateValues" dxfId="238" priority="105319"/>
    <cfRule type="duplicateValues" dxfId="237" priority="105318"/>
    <cfRule type="duplicateValues" dxfId="236" priority="105317"/>
    <cfRule type="duplicateValues" dxfId="235" priority="105316"/>
    <cfRule type="duplicateValues" dxfId="234" priority="105315"/>
  </conditionalFormatting>
  <conditionalFormatting sqref="D15:D16 B19 B15:B16 D19">
    <cfRule type="duplicateValues" dxfId="233" priority="105354"/>
  </conditionalFormatting>
  <conditionalFormatting sqref="D19 B19 D15:D17 B15:B17">
    <cfRule type="duplicateValues" dxfId="232" priority="105358"/>
  </conditionalFormatting>
  <conditionalFormatting sqref="D20">
    <cfRule type="duplicateValues" dxfId="231" priority="514"/>
  </conditionalFormatting>
  <conditionalFormatting sqref="D33">
    <cfRule type="duplicateValues" dxfId="230" priority="611"/>
    <cfRule type="duplicateValues" dxfId="229" priority="614"/>
    <cfRule type="duplicateValues" dxfId="228" priority="613"/>
    <cfRule type="duplicateValues" dxfId="227" priority="603"/>
    <cfRule type="duplicateValues" dxfId="226" priority="612"/>
    <cfRule type="duplicateValues" dxfId="225" priority="610"/>
    <cfRule type="duplicateValues" dxfId="224" priority="609"/>
    <cfRule type="duplicateValues" dxfId="223" priority="608"/>
    <cfRule type="duplicateValues" dxfId="222" priority="607"/>
    <cfRule type="duplicateValues" dxfId="221" priority="606"/>
    <cfRule type="duplicateValues" dxfId="220" priority="605"/>
    <cfRule type="duplicateValues" dxfId="219" priority="604"/>
  </conditionalFormatting>
  <conditionalFormatting sqref="D51">
    <cfRule type="duplicateValues" dxfId="218" priority="493"/>
    <cfRule type="duplicateValues" dxfId="217" priority="488"/>
    <cfRule type="duplicateValues" dxfId="216" priority="489"/>
    <cfRule type="duplicateValues" dxfId="215" priority="491"/>
    <cfRule type="duplicateValues" dxfId="214" priority="492"/>
    <cfRule type="duplicateValues" dxfId="213" priority="499"/>
    <cfRule type="duplicateValues" dxfId="212" priority="498"/>
    <cfRule type="duplicateValues" dxfId="211" priority="497"/>
    <cfRule type="duplicateValues" dxfId="210" priority="496"/>
    <cfRule type="duplicateValues" dxfId="209" priority="495"/>
    <cfRule type="duplicateValues" dxfId="208" priority="494"/>
    <cfRule type="duplicateValues" dxfId="207" priority="490"/>
  </conditionalFormatting>
  <conditionalFormatting sqref="E19:F19">
    <cfRule type="duplicateValues" dxfId="206" priority="105914"/>
  </conditionalFormatting>
  <conditionalFormatting sqref="E212:F214 E139:F141 E31:F31 E93:F93 E1 E33:F34 E32 E94 E95:F100 E121:F136 E120 E115:F119 E114 E102:F113 E149:F181">
    <cfRule type="duplicateValues" dxfId="205" priority="105915"/>
  </conditionalFormatting>
  <conditionalFormatting sqref="F35">
    <cfRule type="duplicateValues" dxfId="204" priority="105936"/>
  </conditionalFormatting>
  <conditionalFormatting sqref="BX198">
    <cfRule type="duplicateValues" dxfId="203" priority="21"/>
  </conditionalFormatting>
  <conditionalFormatting sqref="XFA146">
    <cfRule type="duplicateValues" dxfId="202" priority="2"/>
    <cfRule type="duplicateValues" dxfId="201" priority="11"/>
    <cfRule type="duplicateValues" dxfId="200" priority="12"/>
    <cfRule type="duplicateValues" dxfId="199" priority="13"/>
    <cfRule type="duplicateValues" dxfId="198" priority="20"/>
    <cfRule type="duplicateValues" dxfId="197" priority="19"/>
    <cfRule type="duplicateValues" dxfId="196" priority="18"/>
    <cfRule type="duplicateValues" dxfId="195" priority="17"/>
    <cfRule type="duplicateValues" dxfId="194" priority="10"/>
    <cfRule type="duplicateValues" dxfId="193" priority="16"/>
    <cfRule type="duplicateValues" dxfId="192" priority="9"/>
    <cfRule type="duplicateValues" dxfId="191" priority="8"/>
    <cfRule type="duplicateValues" dxfId="190" priority="7"/>
    <cfRule type="duplicateValues" dxfId="189" priority="6"/>
    <cfRule type="duplicateValues" dxfId="188" priority="5"/>
    <cfRule type="duplicateValues" dxfId="187" priority="1"/>
    <cfRule type="duplicateValues" dxfId="186" priority="4"/>
    <cfRule type="duplicateValues" dxfId="185" priority="15"/>
    <cfRule type="duplicateValues" dxfId="184" priority="14"/>
    <cfRule type="duplicateValues" dxfId="183" priority="3"/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17DA-BF7A-469C-8161-3736C837F165}">
  <sheetPr>
    <pageSetUpPr fitToPage="1"/>
  </sheetPr>
  <dimension ref="A1:S60"/>
  <sheetViews>
    <sheetView showGridLines="0" zoomScale="89" zoomScaleNormal="89" workbookViewId="0">
      <pane ySplit="2" topLeftCell="A37" activePane="bottomLeft" state="frozen"/>
      <selection pane="bottomLeft" activeCell="L37" sqref="L37"/>
    </sheetView>
  </sheetViews>
  <sheetFormatPr defaultColWidth="9.109375" defaultRowHeight="12.6" x14ac:dyDescent="0.2"/>
  <cols>
    <col min="1" max="1" width="13" style="77" customWidth="1"/>
    <col min="2" max="2" width="52" style="77" bestFit="1" customWidth="1"/>
    <col min="3" max="3" width="17.109375" style="158" customWidth="1"/>
    <col min="4" max="15" width="10.6640625" style="136" customWidth="1"/>
    <col min="16" max="16384" width="9.109375" style="136"/>
  </cols>
  <sheetData>
    <row r="1" spans="1:18" s="135" customFormat="1" ht="20.399999999999999" thickBot="1" x14ac:dyDescent="0.35">
      <c r="A1" s="159" t="s">
        <v>469</v>
      </c>
      <c r="B1" s="160"/>
      <c r="C1" s="161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</row>
    <row r="2" spans="1:18" s="135" customFormat="1" ht="49.5" customHeight="1" thickBot="1" x14ac:dyDescent="0.35">
      <c r="A2" s="163" t="s">
        <v>451</v>
      </c>
      <c r="B2" s="164" t="s">
        <v>434</v>
      </c>
      <c r="C2" s="165" t="s">
        <v>470</v>
      </c>
      <c r="D2" s="164">
        <v>46174</v>
      </c>
      <c r="E2" s="164">
        <v>46204</v>
      </c>
      <c r="F2" s="164">
        <v>46235</v>
      </c>
      <c r="G2" s="164">
        <v>46266</v>
      </c>
      <c r="H2" s="164">
        <v>46297</v>
      </c>
      <c r="I2" s="164">
        <v>46327</v>
      </c>
      <c r="J2" s="164">
        <v>46357</v>
      </c>
      <c r="K2" s="164">
        <v>46388</v>
      </c>
      <c r="L2" s="164">
        <v>46419</v>
      </c>
      <c r="M2" s="164">
        <v>46447</v>
      </c>
      <c r="N2" s="164">
        <v>46478</v>
      </c>
      <c r="O2" s="164">
        <v>46508</v>
      </c>
      <c r="P2" s="147"/>
    </row>
    <row r="3" spans="1:18" s="154" customFormat="1" ht="21.75" customHeight="1" x14ac:dyDescent="0.3">
      <c r="A3" s="166">
        <v>1.1000000000000001</v>
      </c>
      <c r="B3" s="167" t="s">
        <v>471</v>
      </c>
      <c r="C3" s="168">
        <f>SUM(D3:O3)</f>
        <v>190236.5</v>
      </c>
      <c r="D3" s="168">
        <f>GETPIVOTDATA("Sum of Jun/26",Welding!$A$3,"Order","OTH")</f>
        <v>30360.25</v>
      </c>
      <c r="E3" s="168">
        <f>GETPIVOTDATA("Sum of Jul/26",Welding!$A$3,"Order","OTH")</f>
        <v>28711.75</v>
      </c>
      <c r="F3" s="168">
        <f>GETPIVOTDATA("Sum of Aug/26",Welding!$A$3,"Order","OTH")</f>
        <v>28053.25</v>
      </c>
      <c r="G3" s="168">
        <f>GETPIVOTDATA("Sum of Sep/26",Welding!$A$3,"Order","OTH")</f>
        <v>24906.25</v>
      </c>
      <c r="H3" s="168">
        <f>GETPIVOTDATA("Sum of oct/26",Welding!$A$3,"Order","OTH")</f>
        <v>20174</v>
      </c>
      <c r="I3" s="168">
        <f>GETPIVOTDATA("Sum of Nov/26",Welding!$A$3,"Order","OTH")</f>
        <v>17836</v>
      </c>
      <c r="J3" s="168">
        <f>GETPIVOTDATA("Sum of Dec/26",Welding!$A$3,"Order","OTH")</f>
        <v>12591</v>
      </c>
      <c r="K3" s="168">
        <f>GETPIVOTDATA("Sum of Jan/27",Welding!$A$3,"Order","OTH")</f>
        <v>9104</v>
      </c>
      <c r="L3" s="168">
        <f>GETPIVOTDATA("Sum of Feb/27",Welding!$A$3,"Order","OTH")</f>
        <v>6350</v>
      </c>
      <c r="M3" s="168">
        <f>GETPIVOTDATA("Sum of Mar/27",Welding!$A$3,"Order","OTH")</f>
        <v>4050</v>
      </c>
      <c r="N3" s="168">
        <f>GETPIVOTDATA("Sum of Apr/27",Welding!$A$3,"Order","OTH")</f>
        <v>4050</v>
      </c>
      <c r="O3" s="168">
        <f>GETPIVOTDATA("Sum of May/27",Welding!$A$3,"Order","OTH")</f>
        <v>4050</v>
      </c>
      <c r="P3" s="147"/>
      <c r="Q3" s="147"/>
      <c r="R3" s="147"/>
    </row>
    <row r="4" spans="1:18" s="154" customFormat="1" ht="21.75" customHeight="1" x14ac:dyDescent="0.3">
      <c r="A4" s="166">
        <v>1.2</v>
      </c>
      <c r="B4" s="167" t="s">
        <v>444</v>
      </c>
      <c r="C4" s="168">
        <f>SUM(D4:O4)</f>
        <v>122796</v>
      </c>
      <c r="D4" s="168">
        <f>GETPIVOTDATA("Sum of Jun/26",Welding!$A$3,"Order","Group")</f>
        <v>14938.5</v>
      </c>
      <c r="E4" s="168">
        <f>GETPIVOTDATA("Sum of Jul/26",Welding!$A$3,"Order","Group")</f>
        <v>15175.5</v>
      </c>
      <c r="F4" s="168">
        <f>GETPIVOTDATA("Sum of Aug/26",Welding!$A$3,"Order","Group")</f>
        <v>14938.5</v>
      </c>
      <c r="G4" s="168">
        <f>GETPIVOTDATA("Sum of Sep/26",Welding!$A$3,"Order","Group")</f>
        <v>16142.5</v>
      </c>
      <c r="H4" s="168">
        <f>GETPIVOTDATA("Sum of Oct/26",Welding!$A$3,"Order","Group")</f>
        <v>20441.5</v>
      </c>
      <c r="I4" s="168">
        <f>GETPIVOTDATA("Sum of Nov/26",Welding!$A$3,"Order","Group")</f>
        <v>21440.5</v>
      </c>
      <c r="J4" s="168">
        <f>GETPIVOTDATA("Sum of Dec/26",Welding!$A$3,"Order","Group")</f>
        <v>9884</v>
      </c>
      <c r="K4" s="168">
        <f>GETPIVOTDATA("Sum of Jan/27",Welding!$A$3,"Order","Group")</f>
        <v>9385</v>
      </c>
      <c r="L4" s="168">
        <f>GETPIVOTDATA("Sum of Feb/27",Welding!$A$3,"Order","Group")</f>
        <v>450</v>
      </c>
      <c r="M4" s="168">
        <f>GETPIVOTDATA("Sum of Mar/27",Welding!$A$3,"Order","Group")</f>
        <v>0</v>
      </c>
      <c r="N4" s="168">
        <f>GETPIVOTDATA("Sum of Apr/27",Welding!$A$3,"Order","Group")</f>
        <v>0</v>
      </c>
      <c r="O4" s="168">
        <f>GETPIVOTDATA("Sum of May/27",Welding!$A$3,"Order","Group")</f>
        <v>0</v>
      </c>
      <c r="P4" s="147"/>
      <c r="Q4" s="147"/>
      <c r="R4" s="147"/>
    </row>
    <row r="5" spans="1:18" s="154" customFormat="1" ht="21.75" customHeight="1" x14ac:dyDescent="0.3">
      <c r="A5" s="166">
        <v>1.3</v>
      </c>
      <c r="B5" s="167" t="s">
        <v>472</v>
      </c>
      <c r="C5" s="168">
        <f>SUM(D5:O5)</f>
        <v>33631</v>
      </c>
      <c r="D5" s="168">
        <f>GETPIVOTDATA("Sum of Jun/26",Welding!$A$3,"Order","Contract")</f>
        <v>4532.5</v>
      </c>
      <c r="E5" s="168">
        <f>GETPIVOTDATA("Sum of Jul/26",Welding!$A$3,"Order","Contract")</f>
        <v>5139.5</v>
      </c>
      <c r="F5" s="168">
        <f>GETPIVOTDATA("Sum of Aug/26",Welding!$A$3,"Order","Contract")</f>
        <v>4322</v>
      </c>
      <c r="G5" s="168">
        <f>GETPIVOTDATA("Sum of Sep/26",Welding!$A$3,"Order","Contract")</f>
        <v>3569</v>
      </c>
      <c r="H5" s="168">
        <f>GETPIVOTDATA("Sum of Oct/26",Welding!$A$3,"Order","Contract")</f>
        <v>3568</v>
      </c>
      <c r="I5" s="168">
        <f>GETPIVOTDATA("Sum of Nov/26",Welding!$A$3,"Order","Contract")</f>
        <v>2500</v>
      </c>
      <c r="J5" s="168">
        <f>GETPIVOTDATA("Sum of Dec/26",Welding!$A$3,"Order","Contract")</f>
        <v>2500</v>
      </c>
      <c r="K5" s="168">
        <f>GETPIVOTDATA("Sum of Jan/27",Welding!$A$3,"Order","Contract")</f>
        <v>2500</v>
      </c>
      <c r="L5" s="168">
        <f>GETPIVOTDATA("Sum of Feb/27",Welding!$A$3,"Order","Contract")</f>
        <v>2500</v>
      </c>
      <c r="M5" s="168">
        <f>GETPIVOTDATA("Sum of Mar/27",Welding!$A$3,"Order","Contract")</f>
        <v>2500</v>
      </c>
      <c r="N5" s="168">
        <f>GETPIVOTDATA("Sum of Apr/27",Welding!$A$3,"Order","Contract")</f>
        <v>0</v>
      </c>
      <c r="O5" s="168">
        <f>GETPIVOTDATA("Sum of May/27",Welding!$A$3,"Order","Contract")</f>
        <v>0</v>
      </c>
      <c r="P5" s="147"/>
      <c r="Q5" s="147"/>
      <c r="R5" s="147"/>
    </row>
    <row r="6" spans="1:18" s="154" customFormat="1" ht="21.75" customHeight="1" x14ac:dyDescent="0.3">
      <c r="A6" s="169">
        <v>1</v>
      </c>
      <c r="B6" s="170" t="s">
        <v>473</v>
      </c>
      <c r="C6" s="171">
        <f t="shared" ref="C6:O6" si="0">SUM(C3:C5)</f>
        <v>346663.5</v>
      </c>
      <c r="D6" s="171">
        <f t="shared" si="0"/>
        <v>49831.25</v>
      </c>
      <c r="E6" s="171">
        <f t="shared" si="0"/>
        <v>49026.75</v>
      </c>
      <c r="F6" s="171">
        <f t="shared" si="0"/>
        <v>47313.75</v>
      </c>
      <c r="G6" s="171">
        <f t="shared" si="0"/>
        <v>44617.75</v>
      </c>
      <c r="H6" s="171">
        <f t="shared" si="0"/>
        <v>44183.5</v>
      </c>
      <c r="I6" s="171">
        <f t="shared" si="0"/>
        <v>41776.5</v>
      </c>
      <c r="J6" s="171">
        <f t="shared" si="0"/>
        <v>24975</v>
      </c>
      <c r="K6" s="171">
        <f t="shared" si="0"/>
        <v>20989</v>
      </c>
      <c r="L6" s="171">
        <f t="shared" si="0"/>
        <v>9300</v>
      </c>
      <c r="M6" s="171">
        <f t="shared" si="0"/>
        <v>6550</v>
      </c>
      <c r="N6" s="171">
        <f t="shared" si="0"/>
        <v>4050</v>
      </c>
      <c r="O6" s="171">
        <f t="shared" si="0"/>
        <v>4050</v>
      </c>
      <c r="P6" s="147"/>
      <c r="Q6" s="147"/>
      <c r="R6" s="147"/>
    </row>
    <row r="7" spans="1:18" s="154" customFormat="1" ht="15" customHeight="1" x14ac:dyDescent="0.3">
      <c r="A7" s="151"/>
      <c r="B7" s="152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47"/>
      <c r="Q7" s="147"/>
      <c r="R7" s="147"/>
    </row>
    <row r="8" spans="1:18" s="135" customFormat="1" ht="21.75" customHeight="1" x14ac:dyDescent="0.3">
      <c r="A8" s="141">
        <v>2.1</v>
      </c>
      <c r="B8" s="115" t="s">
        <v>471</v>
      </c>
      <c r="C8" s="156">
        <f>SUM(D8:O8)</f>
        <v>29134.5</v>
      </c>
      <c r="D8" s="143">
        <f>Machining!B23</f>
        <v>5035</v>
      </c>
      <c r="E8" s="143">
        <f>Machining!C23</f>
        <v>2557.5</v>
      </c>
      <c r="F8" s="143">
        <f>Machining!D23</f>
        <v>4425</v>
      </c>
      <c r="G8" s="143">
        <f>Machining!E23</f>
        <v>3619</v>
      </c>
      <c r="H8" s="143">
        <f>Machining!F23</f>
        <v>5507</v>
      </c>
      <c r="I8" s="143">
        <f>Machining!G23</f>
        <v>3565</v>
      </c>
      <c r="J8" s="143">
        <f>Machining!H23</f>
        <v>2304</v>
      </c>
      <c r="K8" s="143">
        <f>Machining!I23</f>
        <v>1215</v>
      </c>
      <c r="L8" s="143">
        <f>Machining!J23</f>
        <v>757</v>
      </c>
      <c r="M8" s="143">
        <f>Machining!K23</f>
        <v>0</v>
      </c>
      <c r="N8" s="143">
        <f>Machining!L23</f>
        <v>150</v>
      </c>
      <c r="O8" s="143">
        <f>Machining!M23</f>
        <v>0</v>
      </c>
    </row>
    <row r="9" spans="1:18" s="135" customFormat="1" ht="21.75" customHeight="1" x14ac:dyDescent="0.3">
      <c r="A9" s="141">
        <v>2.2000000000000002</v>
      </c>
      <c r="B9" s="115" t="s">
        <v>474</v>
      </c>
      <c r="C9" s="156">
        <f>SUM(D9:O9)</f>
        <v>30000</v>
      </c>
      <c r="D9" s="143">
        <f>Machining!B24</f>
        <v>1850</v>
      </c>
      <c r="E9" s="143">
        <f>Machining!C24</f>
        <v>2600</v>
      </c>
      <c r="F9" s="143">
        <f>Machining!D24</f>
        <v>2600</v>
      </c>
      <c r="G9" s="143">
        <f>Machining!E24</f>
        <v>1950</v>
      </c>
      <c r="H9" s="143">
        <f>Machining!F24</f>
        <v>1550</v>
      </c>
      <c r="I9" s="143">
        <f>Machining!G24</f>
        <v>2000</v>
      </c>
      <c r="J9" s="143">
        <f>Machining!H24</f>
        <v>2500</v>
      </c>
      <c r="K9" s="143">
        <f>Machining!I24</f>
        <v>2500</v>
      </c>
      <c r="L9" s="143">
        <f>Machining!J24</f>
        <v>2500</v>
      </c>
      <c r="M9" s="143">
        <f>Machining!K24</f>
        <v>2236</v>
      </c>
      <c r="N9" s="143">
        <f>Machining!L24</f>
        <v>3432</v>
      </c>
      <c r="O9" s="143">
        <f>Machining!M24</f>
        <v>4282</v>
      </c>
    </row>
    <row r="10" spans="1:18" s="135" customFormat="1" ht="21.75" customHeight="1" x14ac:dyDescent="0.3">
      <c r="A10" s="141">
        <v>2.2999999999999998</v>
      </c>
      <c r="B10" s="115" t="s">
        <v>444</v>
      </c>
      <c r="C10" s="156">
        <f>SUM(D10:O10)</f>
        <v>5587</v>
      </c>
      <c r="D10" s="143">
        <f>Machining!B22</f>
        <v>327</v>
      </c>
      <c r="E10" s="143">
        <f>Machining!C22</f>
        <v>327</v>
      </c>
      <c r="F10" s="143">
        <f>Machining!D22</f>
        <v>652</v>
      </c>
      <c r="G10" s="143">
        <f>Machining!E22</f>
        <v>711</v>
      </c>
      <c r="H10" s="143">
        <f>Machining!F22</f>
        <v>418</v>
      </c>
      <c r="I10" s="143">
        <f>Machining!G22</f>
        <v>800</v>
      </c>
      <c r="J10" s="143">
        <f>Machining!H22</f>
        <v>842</v>
      </c>
      <c r="K10" s="143">
        <f>Machining!I22</f>
        <v>785</v>
      </c>
      <c r="L10" s="143">
        <f>Machining!J22</f>
        <v>725</v>
      </c>
      <c r="M10" s="143">
        <f>Machining!K22</f>
        <v>0</v>
      </c>
      <c r="N10" s="143">
        <f>Machining!L22</f>
        <v>0</v>
      </c>
      <c r="O10" s="143">
        <f>Machining!M22</f>
        <v>0</v>
      </c>
    </row>
    <row r="11" spans="1:18" s="135" customFormat="1" ht="21.75" customHeight="1" x14ac:dyDescent="0.3">
      <c r="A11" s="141">
        <v>2.4</v>
      </c>
      <c r="B11" s="115" t="s">
        <v>472</v>
      </c>
      <c r="C11" s="156">
        <f>SUM(D11:O11)</f>
        <v>3863</v>
      </c>
      <c r="D11" s="143">
        <f>Machining!B21</f>
        <v>1263</v>
      </c>
      <c r="E11" s="143">
        <f>Machining!C21</f>
        <v>1308</v>
      </c>
      <c r="F11" s="143">
        <f>Machining!D21</f>
        <v>467</v>
      </c>
      <c r="G11" s="143">
        <f>Machining!E21</f>
        <v>260</v>
      </c>
      <c r="H11" s="143">
        <f>Machining!F21</f>
        <v>160</v>
      </c>
      <c r="I11" s="143">
        <f>Machining!G21</f>
        <v>185</v>
      </c>
      <c r="J11" s="143">
        <f>Machining!H21</f>
        <v>110</v>
      </c>
      <c r="K11" s="143">
        <f>Machining!I21</f>
        <v>110</v>
      </c>
      <c r="L11" s="143">
        <f>Machining!J21</f>
        <v>0</v>
      </c>
      <c r="M11" s="143">
        <f>Machining!K21</f>
        <v>0</v>
      </c>
      <c r="N11" s="143">
        <f>Machining!L21</f>
        <v>0</v>
      </c>
      <c r="O11" s="143">
        <f>Machining!M21</f>
        <v>0</v>
      </c>
    </row>
    <row r="12" spans="1:18" s="154" customFormat="1" ht="21.75" customHeight="1" x14ac:dyDescent="0.3">
      <c r="A12" s="169">
        <v>2</v>
      </c>
      <c r="B12" s="170" t="s">
        <v>475</v>
      </c>
      <c r="C12" s="171">
        <f t="shared" ref="C12:O12" si="1">SUM(C8:C11)</f>
        <v>68584.5</v>
      </c>
      <c r="D12" s="171">
        <f t="shared" si="1"/>
        <v>8475</v>
      </c>
      <c r="E12" s="171">
        <f t="shared" si="1"/>
        <v>6792.5</v>
      </c>
      <c r="F12" s="171">
        <f t="shared" si="1"/>
        <v>8144</v>
      </c>
      <c r="G12" s="171">
        <f t="shared" si="1"/>
        <v>6540</v>
      </c>
      <c r="H12" s="171">
        <f t="shared" si="1"/>
        <v>7635</v>
      </c>
      <c r="I12" s="171">
        <f t="shared" si="1"/>
        <v>6550</v>
      </c>
      <c r="J12" s="171">
        <f t="shared" si="1"/>
        <v>5756</v>
      </c>
      <c r="K12" s="171">
        <f t="shared" si="1"/>
        <v>4610</v>
      </c>
      <c r="L12" s="171">
        <f t="shared" si="1"/>
        <v>3982</v>
      </c>
      <c r="M12" s="171">
        <f t="shared" si="1"/>
        <v>2236</v>
      </c>
      <c r="N12" s="171">
        <f t="shared" si="1"/>
        <v>3582</v>
      </c>
      <c r="O12" s="171">
        <f t="shared" si="1"/>
        <v>4282</v>
      </c>
      <c r="P12" s="147"/>
      <c r="Q12" s="147"/>
      <c r="R12" s="147"/>
    </row>
    <row r="13" spans="1:18" s="154" customFormat="1" ht="15" customHeight="1" x14ac:dyDescent="0.3">
      <c r="A13" s="151"/>
      <c r="B13" s="152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72"/>
      <c r="P13" s="147"/>
      <c r="Q13" s="147"/>
      <c r="R13" s="147"/>
    </row>
    <row r="14" spans="1:18" s="135" customFormat="1" ht="21" customHeight="1" x14ac:dyDescent="0.3">
      <c r="A14" s="141">
        <v>3.1</v>
      </c>
      <c r="B14" s="142" t="s">
        <v>471</v>
      </c>
      <c r="C14" s="156">
        <f t="shared" ref="C14:C19" si="2">SUM(D14:O14)</f>
        <v>25176</v>
      </c>
      <c r="D14" s="143">
        <f>GETPIVOTDATA("Sum of Jun-26",Assembly!$A$3,"Order","OTH")</f>
        <v>3308</v>
      </c>
      <c r="E14" s="143">
        <f>GETPIVOTDATA("Sum of JuL-26",Assembly!$A$3,"Order","OTH")</f>
        <v>2224</v>
      </c>
      <c r="F14" s="143">
        <f>GETPIVOTDATA("Sum of Aug-26",Assembly!$A$3,"Order","OTH")</f>
        <v>1928</v>
      </c>
      <c r="G14" s="143">
        <f>GETPIVOTDATA("Sum of Sep-26",Assembly!$A$3,"Order","OTH")</f>
        <v>1754</v>
      </c>
      <c r="H14" s="143">
        <f>GETPIVOTDATA("Sum of oct-26",Assembly!$A$3,"Order","OTH")</f>
        <v>2302</v>
      </c>
      <c r="I14" s="143">
        <f>GETPIVOTDATA("Sum of Nov-26",Assembly!$A$3,"Order","OTH")</f>
        <v>3775</v>
      </c>
      <c r="J14" s="143">
        <f>GETPIVOTDATA("Sum of Dec-26",Assembly!$A$3,"Order","OTH")</f>
        <v>4265</v>
      </c>
      <c r="K14" s="143">
        <f>GETPIVOTDATA("Sum of Jan-27",Assembly!$A$3,"Order","OTH")</f>
        <v>3090</v>
      </c>
      <c r="L14" s="143">
        <f>GETPIVOTDATA("Sum of Feb-27",Assembly!$A$3,"Order","OTH")</f>
        <v>1470</v>
      </c>
      <c r="M14" s="143">
        <f>GETPIVOTDATA("Sum of Mar-27",Assembly!$A$3,"Order","OTH")</f>
        <v>1060</v>
      </c>
      <c r="N14" s="143">
        <f>GETPIVOTDATA("Sum of Apr-27",Assembly!$A$3,"Order","OTH")</f>
        <v>0</v>
      </c>
      <c r="O14" s="143">
        <f>GETPIVOTDATA("Sum of May-27",Assembly!$A$3,"Order","OTH")</f>
        <v>0</v>
      </c>
    </row>
    <row r="15" spans="1:18" s="135" customFormat="1" ht="21" customHeight="1" x14ac:dyDescent="0.3">
      <c r="A15" s="141">
        <v>3.2</v>
      </c>
      <c r="B15" s="142" t="s">
        <v>444</v>
      </c>
      <c r="C15" s="156">
        <f t="shared" si="2"/>
        <v>780</v>
      </c>
      <c r="D15" s="143">
        <f>GETPIVOTDATA("Sum of Jun-26",Assembly!$A$3,"Order","Group")</f>
        <v>0</v>
      </c>
      <c r="E15" s="143">
        <f>GETPIVOTDATA("Sum of Jul-26",Assembly!$A$3,"Order","Group")</f>
        <v>0</v>
      </c>
      <c r="F15" s="143">
        <f>GETPIVOTDATA("Sum of Aug-26",Assembly!$A$3,"Order","Group")</f>
        <v>0</v>
      </c>
      <c r="G15" s="143">
        <f>GETPIVOTDATA("Sum of Sep-26",Assembly!$A$3,"Order","Group")</f>
        <v>0</v>
      </c>
      <c r="H15" s="143">
        <f>GETPIVOTDATA("Sum of Oct-26",Assembly!$A$3,"Order","Group")</f>
        <v>450</v>
      </c>
      <c r="I15" s="143">
        <f>GETPIVOTDATA("Sum of Nov-26",Assembly!$A$3,"Order","Group")</f>
        <v>0</v>
      </c>
      <c r="J15" s="143">
        <f>GETPIVOTDATA("Sum of Dec-26",Assembly!$A$3,"Order","Group")</f>
        <v>0</v>
      </c>
      <c r="K15" s="143">
        <f>GETPIVOTDATA("Sum of Jan-27",Assembly!$A$3,"Order","Group")</f>
        <v>0</v>
      </c>
      <c r="L15" s="143">
        <f>GETPIVOTDATA("Sum of Feb-27",Assembly!$A$3,"Order","Group")</f>
        <v>170</v>
      </c>
      <c r="M15" s="143">
        <f>GETPIVOTDATA("Sum of Mar-27",Assembly!$A$3,"Order","Group")</f>
        <v>160</v>
      </c>
      <c r="N15" s="143">
        <f>GETPIVOTDATA("Sum of Apr-27",Assembly!$A$3,"Order","Group")</f>
        <v>0</v>
      </c>
      <c r="O15" s="143">
        <f>GETPIVOTDATA("Sum of May-27",Assembly!$A$3,"Order","Group")</f>
        <v>0</v>
      </c>
    </row>
    <row r="16" spans="1:18" s="135" customFormat="1" ht="21" customHeight="1" x14ac:dyDescent="0.3">
      <c r="A16" s="141">
        <v>3.3</v>
      </c>
      <c r="B16" s="142" t="s">
        <v>472</v>
      </c>
      <c r="C16" s="156">
        <f t="shared" si="2"/>
        <v>4099</v>
      </c>
      <c r="D16" s="143">
        <f>GETPIVOTDATA("Sum of Jun-26",Assembly!$A$3,"Order","Contract")</f>
        <v>1180</v>
      </c>
      <c r="E16" s="143">
        <f>GETPIVOTDATA("Sum of Jul-26",Assembly!$A$3,"Order","Contract")</f>
        <v>1069</v>
      </c>
      <c r="F16" s="143">
        <f>GETPIVOTDATA("Sum of Aug-26",Assembly!$A$3,"Order","Contract")</f>
        <v>0</v>
      </c>
      <c r="G16" s="143">
        <f>GETPIVOTDATA("Sum of Sep-26",Assembly!$A$3,"Order","Contract")</f>
        <v>50</v>
      </c>
      <c r="H16" s="143">
        <f>GETPIVOTDATA("Sum of Oct-26",Assembly!$A$3,"Order","Contract")</f>
        <v>300</v>
      </c>
      <c r="I16" s="143">
        <f>GETPIVOTDATA("Sum of Nov-26",Assembly!$A$3,"Order","Contract")</f>
        <v>300</v>
      </c>
      <c r="J16" s="143">
        <f>GETPIVOTDATA("Sum of Dec-26",Assembly!$A$3,"Order","Contract")</f>
        <v>300</v>
      </c>
      <c r="K16" s="143">
        <f>GETPIVOTDATA("Sum of Jan-27",Assembly!$A$3,"Order","Contract")</f>
        <v>300</v>
      </c>
      <c r="L16" s="143">
        <f>GETPIVOTDATA("Sum of Feb-27",Assembly!$A$3,"Order","Contract")</f>
        <v>300</v>
      </c>
      <c r="M16" s="143">
        <f>GETPIVOTDATA("Sum of Mar-27",Assembly!$A$3,"Order","Contract")</f>
        <v>300</v>
      </c>
      <c r="N16" s="143">
        <f>GETPIVOTDATA("Sum of Apr-27",Assembly!$A$3,"Order","Contract")</f>
        <v>0</v>
      </c>
      <c r="O16" s="143">
        <f>GETPIVOTDATA("Sum of May-27",Assembly!$A$3,"Order","Contract")</f>
        <v>0</v>
      </c>
    </row>
    <row r="17" spans="1:19" s="135" customFormat="1" ht="21" customHeight="1" x14ac:dyDescent="0.3">
      <c r="A17" s="141">
        <v>3.4</v>
      </c>
      <c r="B17" s="142" t="s">
        <v>476</v>
      </c>
      <c r="C17" s="156">
        <v>60</v>
      </c>
      <c r="D17" s="143">
        <v>10</v>
      </c>
      <c r="E17" s="143">
        <v>10</v>
      </c>
      <c r="F17" s="143">
        <v>10</v>
      </c>
      <c r="G17" s="143">
        <v>10</v>
      </c>
      <c r="H17" s="143">
        <v>10</v>
      </c>
      <c r="I17" s="143">
        <v>10</v>
      </c>
      <c r="J17" s="143">
        <v>0</v>
      </c>
      <c r="K17" s="143">
        <v>0</v>
      </c>
      <c r="L17" s="143">
        <v>0</v>
      </c>
      <c r="M17" s="143">
        <v>0</v>
      </c>
      <c r="N17" s="143">
        <v>0</v>
      </c>
      <c r="O17" s="173">
        <v>0</v>
      </c>
      <c r="P17" s="147"/>
    </row>
    <row r="18" spans="1:19" s="135" customFormat="1" ht="21" customHeight="1" x14ac:dyDescent="0.3">
      <c r="A18" s="141">
        <v>3.5</v>
      </c>
      <c r="B18" s="142" t="s">
        <v>474</v>
      </c>
      <c r="C18" s="156">
        <f t="shared" si="2"/>
        <v>1800</v>
      </c>
      <c r="D18" s="143">
        <f>GETPIVOTDATA("Sum of Jun-26",Assembly!$A$3,"Order","TS")</f>
        <v>30</v>
      </c>
      <c r="E18" s="143">
        <f>GETPIVOTDATA("Sum of Jul-26",Assembly!$A$3,"Order","TS")</f>
        <v>40</v>
      </c>
      <c r="F18" s="143">
        <f>GETPIVOTDATA("Sum of Aug-26",Assembly!$A$3,"Order","TS")</f>
        <v>250</v>
      </c>
      <c r="G18" s="143">
        <f>GETPIVOTDATA("Sum of Sep-26",Assembly!$A$3,"Order","TS")</f>
        <v>300</v>
      </c>
      <c r="H18" s="143">
        <f>GETPIVOTDATA("Sum of Oct-26",Assembly!$A$3,"Order","TS")</f>
        <v>280</v>
      </c>
      <c r="I18" s="143">
        <f>GETPIVOTDATA("Sum of Nov-26",Assembly!$A$3,"Order","TS")</f>
        <v>200</v>
      </c>
      <c r="J18" s="143">
        <f>GETPIVOTDATA("Sum of Dec-26",Assembly!$A$3,"Order","TS")</f>
        <v>200</v>
      </c>
      <c r="K18" s="143">
        <f>GETPIVOTDATA("Sum of Jan-27",Assembly!$A$3,"Order","TS")</f>
        <v>100</v>
      </c>
      <c r="L18" s="143">
        <f>GETPIVOTDATA("Sum of Feb-27",Assembly!$A$3,"Order","TS")</f>
        <v>100</v>
      </c>
      <c r="M18" s="143">
        <f>GETPIVOTDATA("Sum of Mar-27",Assembly!$A$3,"Order","TS")</f>
        <v>100</v>
      </c>
      <c r="N18" s="143">
        <f>GETPIVOTDATA("Sum of Apr-27",Assembly!$A$3,"Order","TS")</f>
        <v>100</v>
      </c>
      <c r="O18" s="143">
        <f>GETPIVOTDATA("Sum of May-27",Assembly!$A$3,"Order","TS")</f>
        <v>100</v>
      </c>
      <c r="P18" s="147"/>
    </row>
    <row r="19" spans="1:19" s="135" customFormat="1" ht="21" customHeight="1" x14ac:dyDescent="0.3">
      <c r="A19" s="141">
        <v>3.6</v>
      </c>
      <c r="B19" s="142" t="s">
        <v>477</v>
      </c>
      <c r="C19" s="156">
        <f t="shared" si="2"/>
        <v>13820</v>
      </c>
      <c r="D19" s="143">
        <f>GETPIVOTDATA("Sum of Jun-26",Assembly!$A$3,"Order","IRON MAKING")</f>
        <v>900</v>
      </c>
      <c r="E19" s="143">
        <f>GETPIVOTDATA("Sum of Jul-26",Assembly!$A$3,"Order","IRON MAKING")</f>
        <v>2200</v>
      </c>
      <c r="F19" s="143">
        <f>GETPIVOTDATA("Sum of Aug-26",Assembly!$A$3,"Order","IRON MAKING")</f>
        <v>3350</v>
      </c>
      <c r="G19" s="143">
        <f>GETPIVOTDATA("Sum of Sep-26",Assembly!$A$3,"Order","IRON MAKING")</f>
        <v>3500</v>
      </c>
      <c r="H19" s="143">
        <f>GETPIVOTDATA("Sum of Oct-26",Assembly!$A$3,"Order","IRON MAKING")</f>
        <v>2200</v>
      </c>
      <c r="I19" s="143">
        <f>GETPIVOTDATA("Sum of Nov-26",Assembly!$A$3,"Order","IRON MAKING")</f>
        <v>500</v>
      </c>
      <c r="J19" s="143">
        <f>GETPIVOTDATA("Sum of Dec-26",Assembly!$A$3,"Order","IRON MAKING")</f>
        <v>0</v>
      </c>
      <c r="K19" s="143">
        <f>GETPIVOTDATA("Sum of Jan-27",Assembly!$A$3,"Order","IRON MAKING")</f>
        <v>670</v>
      </c>
      <c r="L19" s="143">
        <f>GETPIVOTDATA("Sum of Feb-27",Assembly!$A$3,"Order","IRON MAKING")</f>
        <v>500</v>
      </c>
      <c r="M19" s="143">
        <f>GETPIVOTDATA("Sum of Mar-27",Assembly!$A$3,"Order","IRON MAKING")</f>
        <v>0</v>
      </c>
      <c r="N19" s="143">
        <f>GETPIVOTDATA("Sum of Apr-27",Assembly!$A$3,"Order","IRON MAKING")</f>
        <v>0</v>
      </c>
      <c r="O19" s="143">
        <f>GETPIVOTDATA("Sum of May-27",Assembly!$A$3,"Order","IRON MAKING")</f>
        <v>0</v>
      </c>
    </row>
    <row r="20" spans="1:19" s="135" customFormat="1" ht="21" customHeight="1" x14ac:dyDescent="0.3">
      <c r="A20" s="169">
        <v>3</v>
      </c>
      <c r="B20" s="170" t="s">
        <v>478</v>
      </c>
      <c r="C20" s="171">
        <f t="shared" ref="C20:O20" si="3">SUM(C14:C16,C17:C19)</f>
        <v>45735</v>
      </c>
      <c r="D20" s="171">
        <f t="shared" si="3"/>
        <v>5428</v>
      </c>
      <c r="E20" s="171">
        <f t="shared" si="3"/>
        <v>5543</v>
      </c>
      <c r="F20" s="171">
        <f t="shared" si="3"/>
        <v>5538</v>
      </c>
      <c r="G20" s="171">
        <f t="shared" si="3"/>
        <v>5614</v>
      </c>
      <c r="H20" s="171">
        <f t="shared" si="3"/>
        <v>5542</v>
      </c>
      <c r="I20" s="171">
        <f t="shared" si="3"/>
        <v>4785</v>
      </c>
      <c r="J20" s="171">
        <f t="shared" si="3"/>
        <v>4765</v>
      </c>
      <c r="K20" s="171">
        <f t="shared" si="3"/>
        <v>4160</v>
      </c>
      <c r="L20" s="171">
        <f t="shared" si="3"/>
        <v>2540</v>
      </c>
      <c r="M20" s="171">
        <f t="shared" si="3"/>
        <v>1620</v>
      </c>
      <c r="N20" s="171">
        <f t="shared" si="3"/>
        <v>100</v>
      </c>
      <c r="O20" s="174">
        <f t="shared" si="3"/>
        <v>100</v>
      </c>
    </row>
    <row r="21" spans="1:19" s="179" customFormat="1" ht="21" customHeight="1" x14ac:dyDescent="0.3">
      <c r="A21" s="175"/>
      <c r="B21" s="176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8"/>
    </row>
    <row r="22" spans="1:19" s="135" customFormat="1" ht="21" customHeight="1" x14ac:dyDescent="0.3">
      <c r="A22" s="169">
        <v>4</v>
      </c>
      <c r="B22" s="170" t="s">
        <v>479</v>
      </c>
      <c r="C22" s="171">
        <v>15276</v>
      </c>
      <c r="D22" s="171">
        <v>1800</v>
      </c>
      <c r="E22" s="171">
        <v>1600</v>
      </c>
      <c r="F22" s="171">
        <v>1500</v>
      </c>
      <c r="G22" s="171">
        <v>1400</v>
      </c>
      <c r="H22" s="171">
        <v>1300</v>
      </c>
      <c r="I22" s="171">
        <v>1200</v>
      </c>
      <c r="J22" s="171">
        <v>1100</v>
      </c>
      <c r="K22" s="171">
        <v>1100</v>
      </c>
      <c r="L22" s="171">
        <v>1100</v>
      </c>
      <c r="M22" s="171">
        <v>1176</v>
      </c>
      <c r="N22" s="171">
        <v>1000</v>
      </c>
      <c r="O22" s="174">
        <v>1000</v>
      </c>
      <c r="Q22" s="147"/>
    </row>
    <row r="23" spans="1:19" s="135" customFormat="1" ht="21" customHeight="1" x14ac:dyDescent="0.3">
      <c r="A23" s="169">
        <v>5</v>
      </c>
      <c r="B23" s="170" t="s">
        <v>480</v>
      </c>
      <c r="C23" s="171">
        <v>10260</v>
      </c>
      <c r="D23" s="171">
        <v>1300</v>
      </c>
      <c r="E23" s="171">
        <v>1300</v>
      </c>
      <c r="F23" s="171">
        <v>1200</v>
      </c>
      <c r="G23" s="171">
        <v>1000</v>
      </c>
      <c r="H23" s="171">
        <v>1000</v>
      </c>
      <c r="I23" s="171">
        <v>890</v>
      </c>
      <c r="J23" s="171">
        <v>800</v>
      </c>
      <c r="K23" s="171">
        <v>700</v>
      </c>
      <c r="L23" s="171">
        <v>600</v>
      </c>
      <c r="M23" s="171">
        <v>500</v>
      </c>
      <c r="N23" s="174">
        <v>500</v>
      </c>
      <c r="O23" s="174">
        <v>470</v>
      </c>
      <c r="Q23" s="147"/>
    </row>
    <row r="24" spans="1:19" s="154" customFormat="1" ht="15" customHeight="1" x14ac:dyDescent="0.3">
      <c r="A24" s="151"/>
      <c r="B24" s="152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72"/>
      <c r="P24" s="147"/>
      <c r="Q24" s="147"/>
      <c r="R24" s="147"/>
    </row>
    <row r="25" spans="1:19" s="135" customFormat="1" ht="21" customHeight="1" thickBot="1" x14ac:dyDescent="0.35">
      <c r="A25" s="180"/>
      <c r="B25" s="181" t="s">
        <v>468</v>
      </c>
      <c r="C25" s="182">
        <f t="shared" ref="C25:O25" si="4">C6+C12+C20+C22+C23</f>
        <v>486519</v>
      </c>
      <c r="D25" s="183">
        <f t="shared" si="4"/>
        <v>66834.25</v>
      </c>
      <c r="E25" s="183">
        <f>E6+E12+E20+E22+E23</f>
        <v>64262.25</v>
      </c>
      <c r="F25" s="183">
        <f t="shared" si="4"/>
        <v>63695.75</v>
      </c>
      <c r="G25" s="183">
        <f t="shared" si="4"/>
        <v>59171.75</v>
      </c>
      <c r="H25" s="183">
        <f t="shared" si="4"/>
        <v>59660.5</v>
      </c>
      <c r="I25" s="183">
        <f t="shared" si="4"/>
        <v>55201.5</v>
      </c>
      <c r="J25" s="183">
        <f t="shared" si="4"/>
        <v>37396</v>
      </c>
      <c r="K25" s="183">
        <f t="shared" si="4"/>
        <v>31559</v>
      </c>
      <c r="L25" s="183">
        <f t="shared" si="4"/>
        <v>17522</v>
      </c>
      <c r="M25" s="183">
        <f t="shared" si="4"/>
        <v>12082</v>
      </c>
      <c r="N25" s="183">
        <f t="shared" si="4"/>
        <v>9232</v>
      </c>
      <c r="O25" s="184">
        <f t="shared" si="4"/>
        <v>9902</v>
      </c>
    </row>
    <row r="26" spans="1:19" s="135" customFormat="1" ht="13.2" thickBot="1" x14ac:dyDescent="0.25">
      <c r="A26" s="185"/>
      <c r="B26" s="185"/>
      <c r="C26" s="185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36"/>
      <c r="Q26" s="136"/>
      <c r="R26" s="136"/>
    </row>
    <row r="27" spans="1:19" s="135" customFormat="1" ht="21" customHeight="1" thickBot="1" x14ac:dyDescent="0.35">
      <c r="A27" s="132" t="s">
        <v>451</v>
      </c>
      <c r="B27" s="133" t="s">
        <v>481</v>
      </c>
      <c r="C27" s="134" t="s">
        <v>453</v>
      </c>
      <c r="D27" s="133">
        <v>46174</v>
      </c>
      <c r="E27" s="133">
        <v>46204</v>
      </c>
      <c r="F27" s="133">
        <v>46235</v>
      </c>
      <c r="G27" s="133">
        <v>46266</v>
      </c>
      <c r="H27" s="133">
        <v>46296</v>
      </c>
      <c r="I27" s="133">
        <v>46327</v>
      </c>
      <c r="J27" s="133">
        <v>46357</v>
      </c>
      <c r="K27" s="133">
        <v>46388</v>
      </c>
      <c r="L27" s="133">
        <v>46419</v>
      </c>
      <c r="M27" s="133">
        <v>46447</v>
      </c>
      <c r="N27" s="133">
        <v>46478</v>
      </c>
      <c r="O27" s="133">
        <v>46508</v>
      </c>
      <c r="P27" s="147"/>
    </row>
    <row r="28" spans="1:19" s="135" customFormat="1" ht="21.75" customHeight="1" x14ac:dyDescent="0.3">
      <c r="A28" s="137">
        <v>1.1000000000000001</v>
      </c>
      <c r="B28" s="138" t="s">
        <v>454</v>
      </c>
      <c r="C28" s="187">
        <f>SUM(D28:O28)</f>
        <v>19367.916923076922</v>
      </c>
      <c r="D28" s="140">
        <f>NPK!I2</f>
        <v>1591.8835827186513</v>
      </c>
      <c r="E28" s="140">
        <f>NPK!J2</f>
        <v>1644.9463688092731</v>
      </c>
      <c r="F28" s="140">
        <f>NPK!K2</f>
        <v>1644.9463688092731</v>
      </c>
      <c r="G28" s="140">
        <f>NPK!L2</f>
        <v>1591.8835827186513</v>
      </c>
      <c r="H28" s="140">
        <f>NPK!M2</f>
        <v>1644.9463688092731</v>
      </c>
      <c r="I28" s="140">
        <f>NPK!N2</f>
        <v>1591.8835827186513</v>
      </c>
      <c r="J28" s="140">
        <f>NPK!O2</f>
        <v>1644.9463688092731</v>
      </c>
      <c r="K28" s="140">
        <f>NPK!D2</f>
        <v>1644.9463688092731</v>
      </c>
      <c r="L28" s="140">
        <f>NPK!E2</f>
        <v>1485.7580105374079</v>
      </c>
      <c r="M28" s="140">
        <f>NPK!F2</f>
        <v>1644.9463688092731</v>
      </c>
      <c r="N28" s="140">
        <f>NPK!G2</f>
        <v>1591.8835827186513</v>
      </c>
      <c r="O28" s="140">
        <f>NPK!H2</f>
        <v>1644.9463688092731</v>
      </c>
    </row>
    <row r="29" spans="1:19" s="135" customFormat="1" ht="21.75" customHeight="1" x14ac:dyDescent="0.3">
      <c r="A29" s="141">
        <v>1.2</v>
      </c>
      <c r="B29" s="142" t="s">
        <v>455</v>
      </c>
      <c r="C29" s="188">
        <f>SUM(D29:O29)</f>
        <v>261466.87846153846</v>
      </c>
      <c r="D29" s="140">
        <f>NPK!I3</f>
        <v>21490.428366701792</v>
      </c>
      <c r="E29" s="140">
        <f>NPK!J3</f>
        <v>22206.775978925187</v>
      </c>
      <c r="F29" s="140">
        <f>NPK!K3</f>
        <v>22206.775978925187</v>
      </c>
      <c r="G29" s="140">
        <f>NPK!L3</f>
        <v>21490.428366701792</v>
      </c>
      <c r="H29" s="140">
        <f>NPK!M3</f>
        <v>22206.775978925187</v>
      </c>
      <c r="I29" s="140">
        <f>NPK!N3</f>
        <v>21490.428366701792</v>
      </c>
      <c r="J29" s="140">
        <f>NPK!O3</f>
        <v>22206.775978925187</v>
      </c>
      <c r="K29" s="140">
        <f>NPK!D3</f>
        <v>22206.775978925187</v>
      </c>
      <c r="L29" s="140">
        <f>NPK!E3</f>
        <v>20057.733142255005</v>
      </c>
      <c r="M29" s="140">
        <f>NPK!F3</f>
        <v>22206.775978925187</v>
      </c>
      <c r="N29" s="140">
        <f>NPK!G3</f>
        <v>21490.428366701792</v>
      </c>
      <c r="O29" s="140">
        <f>NPK!H3</f>
        <v>22206.775978925187</v>
      </c>
    </row>
    <row r="30" spans="1:19" s="135" customFormat="1" ht="21.75" customHeight="1" x14ac:dyDescent="0.3">
      <c r="A30" s="141">
        <v>1.3</v>
      </c>
      <c r="B30" s="142" t="s">
        <v>456</v>
      </c>
      <c r="C30" s="188">
        <f>SUM(D30:O30)</f>
        <v>180767.22461538465</v>
      </c>
      <c r="D30" s="140">
        <f>NPK!I4</f>
        <v>14857.58010537408</v>
      </c>
      <c r="E30" s="140">
        <f>NPK!J4</f>
        <v>15352.832775553215</v>
      </c>
      <c r="F30" s="140">
        <f>NPK!K4</f>
        <v>15352.832775553215</v>
      </c>
      <c r="G30" s="140">
        <f>NPK!L4</f>
        <v>14857.58010537408</v>
      </c>
      <c r="H30" s="140">
        <f>NPK!M4</f>
        <v>15352.832775553215</v>
      </c>
      <c r="I30" s="140">
        <f>NPK!N4</f>
        <v>14857.58010537408</v>
      </c>
      <c r="J30" s="140">
        <f>NPK!O4</f>
        <v>15352.832775553215</v>
      </c>
      <c r="K30" s="140">
        <f>NPK!D4</f>
        <v>15352.832775553215</v>
      </c>
      <c r="L30" s="140">
        <f>NPK!E4</f>
        <v>13867.074765015806</v>
      </c>
      <c r="M30" s="140">
        <f>NPK!F4</f>
        <v>15352.832775553215</v>
      </c>
      <c r="N30" s="140">
        <f>NPK!G4</f>
        <v>14857.58010537408</v>
      </c>
      <c r="O30" s="140">
        <f>NPK!H4</f>
        <v>15352.832775553215</v>
      </c>
    </row>
    <row r="31" spans="1:19" s="135" customFormat="1" ht="21.75" customHeight="1" x14ac:dyDescent="0.3">
      <c r="A31" s="144" t="s">
        <v>457</v>
      </c>
      <c r="B31" s="145" t="s">
        <v>458</v>
      </c>
      <c r="C31" s="146">
        <f t="shared" ref="C31:O31" si="5">C28+C29+C30</f>
        <v>461602.02</v>
      </c>
      <c r="D31" s="146">
        <f t="shared" si="5"/>
        <v>37939.892054794524</v>
      </c>
      <c r="E31" s="146">
        <f t="shared" si="5"/>
        <v>39204.555123287675</v>
      </c>
      <c r="F31" s="146">
        <f t="shared" si="5"/>
        <v>39204.555123287675</v>
      </c>
      <c r="G31" s="146">
        <f t="shared" si="5"/>
        <v>37939.892054794524</v>
      </c>
      <c r="H31" s="146">
        <f t="shared" si="5"/>
        <v>39204.555123287675</v>
      </c>
      <c r="I31" s="146">
        <f t="shared" si="5"/>
        <v>37939.892054794524</v>
      </c>
      <c r="J31" s="146">
        <f t="shared" si="5"/>
        <v>39204.555123287675</v>
      </c>
      <c r="K31" s="146">
        <f t="shared" si="5"/>
        <v>39204.555123287675</v>
      </c>
      <c r="L31" s="146">
        <f t="shared" si="5"/>
        <v>35410.565917808221</v>
      </c>
      <c r="M31" s="146">
        <f t="shared" si="5"/>
        <v>39204.555123287675</v>
      </c>
      <c r="N31" s="146">
        <f t="shared" si="5"/>
        <v>37939.892054794524</v>
      </c>
      <c r="O31" s="189">
        <f t="shared" si="5"/>
        <v>39204.555123287675</v>
      </c>
      <c r="P31" s="147"/>
      <c r="S31" s="147"/>
    </row>
    <row r="32" spans="1:19" s="135" customFormat="1" ht="21.75" customHeight="1" x14ac:dyDescent="0.3">
      <c r="A32" s="141">
        <v>1.4</v>
      </c>
      <c r="B32" s="142" t="s">
        <v>459</v>
      </c>
      <c r="C32" s="139">
        <f>SUM(D32:O32)</f>
        <v>140252.09684210521</v>
      </c>
      <c r="D32" s="140">
        <f>NPK!I6</f>
        <v>11527.569603460703</v>
      </c>
      <c r="E32" s="140">
        <f>NPK!J6</f>
        <v>11911.821923576059</v>
      </c>
      <c r="F32" s="140">
        <f>NPK!K6</f>
        <v>11911.821923576059</v>
      </c>
      <c r="G32" s="140">
        <f>NPK!L6</f>
        <v>11527.569603460703</v>
      </c>
      <c r="H32" s="140">
        <f>NPK!M6</f>
        <v>11911.821923576059</v>
      </c>
      <c r="I32" s="140">
        <f>NPK!N6</f>
        <v>11527.569603460703</v>
      </c>
      <c r="J32" s="140">
        <f>NPK!O6</f>
        <v>11911.821923576059</v>
      </c>
      <c r="K32" s="140">
        <f>NPK!D6</f>
        <v>11911.821923576059</v>
      </c>
      <c r="L32" s="140">
        <f>NPK!E6</f>
        <v>10759.064963229988</v>
      </c>
      <c r="M32" s="140">
        <f>NPK!F6</f>
        <v>11911.821923576059</v>
      </c>
      <c r="N32" s="140">
        <f>NPK!G6</f>
        <v>11527.569603460703</v>
      </c>
      <c r="O32" s="140">
        <f>NPK!H6</f>
        <v>11911.821923576059</v>
      </c>
      <c r="P32" s="147"/>
      <c r="S32" s="147"/>
    </row>
    <row r="33" spans="1:19" s="135" customFormat="1" ht="21.75" customHeight="1" x14ac:dyDescent="0.3">
      <c r="A33" s="141">
        <v>1.5</v>
      </c>
      <c r="B33" s="142" t="s">
        <v>460</v>
      </c>
      <c r="C33" s="139">
        <f>SUM(D33:O33)</f>
        <v>6233.4265263157895</v>
      </c>
      <c r="D33" s="140">
        <f>NPK!I7</f>
        <v>512.33642682047571</v>
      </c>
      <c r="E33" s="140">
        <f>NPK!J7</f>
        <v>529.41430771449154</v>
      </c>
      <c r="F33" s="140">
        <f>NPK!K7</f>
        <v>529.41430771449154</v>
      </c>
      <c r="G33" s="140">
        <f>NPK!L7</f>
        <v>512.33642682047571</v>
      </c>
      <c r="H33" s="140">
        <f>NPK!M7</f>
        <v>529.41430771449154</v>
      </c>
      <c r="I33" s="140">
        <f>NPK!N7</f>
        <v>512.33642682047571</v>
      </c>
      <c r="J33" s="140">
        <f>NPK!O7</f>
        <v>529.41430771449154</v>
      </c>
      <c r="K33" s="140">
        <f>NPK!D7</f>
        <v>529.41430771449154</v>
      </c>
      <c r="L33" s="140">
        <f>NPK!E7</f>
        <v>478.18066503244393</v>
      </c>
      <c r="M33" s="140">
        <f>NPK!F7</f>
        <v>529.41430771449154</v>
      </c>
      <c r="N33" s="140">
        <f>NPK!G7</f>
        <v>512.33642682047571</v>
      </c>
      <c r="O33" s="140">
        <f>NPK!H7</f>
        <v>529.41430771449154</v>
      </c>
      <c r="P33" s="147"/>
      <c r="S33" s="147"/>
    </row>
    <row r="34" spans="1:19" s="135" customFormat="1" ht="21.75" customHeight="1" x14ac:dyDescent="0.3">
      <c r="A34" s="141">
        <v>1.6</v>
      </c>
      <c r="B34" s="142" t="s">
        <v>461</v>
      </c>
      <c r="C34" s="187">
        <f>SUM(D34:O34)</f>
        <v>1558.3566315789474</v>
      </c>
      <c r="D34" s="140">
        <f>NPK!I8</f>
        <v>128.08410670511893</v>
      </c>
      <c r="E34" s="140">
        <f>NPK!J8</f>
        <v>132.35357692862289</v>
      </c>
      <c r="F34" s="140">
        <f>NPK!K8</f>
        <v>132.35357692862289</v>
      </c>
      <c r="G34" s="140">
        <f>NPK!L8</f>
        <v>128.08410670511893</v>
      </c>
      <c r="H34" s="140">
        <f>NPK!M8</f>
        <v>132.35357692862289</v>
      </c>
      <c r="I34" s="140">
        <f>NPK!N8</f>
        <v>128.08410670511893</v>
      </c>
      <c r="J34" s="140">
        <f>NPK!O8</f>
        <v>132.35357692862289</v>
      </c>
      <c r="K34" s="140">
        <f>NPK!D8</f>
        <v>132.35357692862289</v>
      </c>
      <c r="L34" s="140">
        <f>NPK!E8</f>
        <v>119.54516625811098</v>
      </c>
      <c r="M34" s="140">
        <f>NPK!F8</f>
        <v>132.35357692862289</v>
      </c>
      <c r="N34" s="140">
        <f>NPK!G8</f>
        <v>128.08410670511893</v>
      </c>
      <c r="O34" s="140">
        <f>NPK!H8</f>
        <v>132.35357692862289</v>
      </c>
      <c r="P34" s="147"/>
    </row>
    <row r="35" spans="1:19" s="135" customFormat="1" ht="21.75" customHeight="1" x14ac:dyDescent="0.3">
      <c r="A35" s="141">
        <v>1.7</v>
      </c>
      <c r="B35" s="145" t="s">
        <v>482</v>
      </c>
      <c r="C35" s="139">
        <f>SUM(C32:C34)</f>
        <v>148043.87999999995</v>
      </c>
      <c r="D35" s="139">
        <f t="shared" ref="D35:O35" si="6">SUM(D32:D34)</f>
        <v>12167.990136986296</v>
      </c>
      <c r="E35" s="139">
        <f t="shared" si="6"/>
        <v>12573.589808219172</v>
      </c>
      <c r="F35" s="139">
        <f t="shared" si="6"/>
        <v>12573.589808219172</v>
      </c>
      <c r="G35" s="139">
        <f t="shared" si="6"/>
        <v>12167.990136986296</v>
      </c>
      <c r="H35" s="139">
        <f t="shared" si="6"/>
        <v>12573.589808219172</v>
      </c>
      <c r="I35" s="139">
        <f t="shared" si="6"/>
        <v>12167.990136986296</v>
      </c>
      <c r="J35" s="139">
        <f t="shared" si="6"/>
        <v>12573.589808219172</v>
      </c>
      <c r="K35" s="139">
        <f t="shared" si="6"/>
        <v>12573.589808219172</v>
      </c>
      <c r="L35" s="139">
        <f t="shared" si="6"/>
        <v>11356.790794520542</v>
      </c>
      <c r="M35" s="139">
        <f t="shared" si="6"/>
        <v>12573.589808219172</v>
      </c>
      <c r="N35" s="139">
        <f t="shared" si="6"/>
        <v>12167.990136986296</v>
      </c>
      <c r="O35" s="139">
        <f t="shared" si="6"/>
        <v>12573.589808219172</v>
      </c>
      <c r="P35" s="147"/>
    </row>
    <row r="36" spans="1:19" s="154" customFormat="1" ht="15" customHeight="1" x14ac:dyDescent="0.3">
      <c r="A36" s="148">
        <v>1</v>
      </c>
      <c r="B36" s="149" t="s">
        <v>462</v>
      </c>
      <c r="C36" s="150">
        <f t="shared" ref="C36:O36" si="7">C31+C32+C34+C33</f>
        <v>609645.9</v>
      </c>
      <c r="D36" s="155">
        <f>D31+D32+D34+D33</f>
        <v>50107.882191780824</v>
      </c>
      <c r="E36" s="155">
        <f t="shared" si="7"/>
        <v>51778.144931506853</v>
      </c>
      <c r="F36" s="155">
        <f t="shared" si="7"/>
        <v>51778.144931506853</v>
      </c>
      <c r="G36" s="155">
        <f t="shared" si="7"/>
        <v>50107.882191780824</v>
      </c>
      <c r="H36" s="155">
        <f t="shared" si="7"/>
        <v>51778.144931506853</v>
      </c>
      <c r="I36" s="155">
        <f t="shared" si="7"/>
        <v>50107.882191780824</v>
      </c>
      <c r="J36" s="155">
        <f t="shared" si="7"/>
        <v>51778.144931506853</v>
      </c>
      <c r="K36" s="155">
        <f t="shared" si="7"/>
        <v>51778.144931506853</v>
      </c>
      <c r="L36" s="155">
        <f t="shared" si="7"/>
        <v>46767.356712328765</v>
      </c>
      <c r="M36" s="155">
        <f t="shared" si="7"/>
        <v>51778.144931506853</v>
      </c>
      <c r="N36" s="155">
        <f t="shared" si="7"/>
        <v>50107.882191780824</v>
      </c>
      <c r="O36" s="190">
        <f t="shared" si="7"/>
        <v>51778.144931506853</v>
      </c>
      <c r="P36" s="147"/>
      <c r="Q36" s="147"/>
      <c r="R36" s="147"/>
    </row>
    <row r="37" spans="1:19" s="135" customFormat="1" ht="21.75" customHeight="1" x14ac:dyDescent="0.3">
      <c r="A37" s="151"/>
      <c r="B37" s="152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72"/>
      <c r="P37" s="147"/>
    </row>
    <row r="38" spans="1:19" s="154" customFormat="1" ht="15" customHeight="1" x14ac:dyDescent="0.3">
      <c r="A38" s="148">
        <v>2</v>
      </c>
      <c r="B38" s="149" t="s">
        <v>463</v>
      </c>
      <c r="C38" s="150">
        <f>SUM(D38:O38)</f>
        <v>106306.0285</v>
      </c>
      <c r="D38" s="155">
        <f>NPK!I11</f>
        <v>8737.4817945205486</v>
      </c>
      <c r="E38" s="155">
        <f>NPK!J11</f>
        <v>9028.7311876712338</v>
      </c>
      <c r="F38" s="155">
        <f>NPK!K11</f>
        <v>9028.7311876712338</v>
      </c>
      <c r="G38" s="155">
        <f>NPK!L11</f>
        <v>8737.4817945205486</v>
      </c>
      <c r="H38" s="155">
        <f>NPK!M11</f>
        <v>9028.7311876712338</v>
      </c>
      <c r="I38" s="155">
        <f>NPK!N11</f>
        <v>8737.4817945205486</v>
      </c>
      <c r="J38" s="155">
        <f>NPK!O11</f>
        <v>9028.7311876712338</v>
      </c>
      <c r="K38" s="155">
        <f>NPK!D11</f>
        <v>9028.7311876712338</v>
      </c>
      <c r="L38" s="155">
        <f>NPK!E11</f>
        <v>8154.9830082191793</v>
      </c>
      <c r="M38" s="155">
        <f>NPK!F11</f>
        <v>9028.7311876712338</v>
      </c>
      <c r="N38" s="155">
        <f>NPK!G11</f>
        <v>8737.4817945205486</v>
      </c>
      <c r="O38" s="155">
        <f>NPK!H11</f>
        <v>9028.7311876712338</v>
      </c>
      <c r="P38" s="147"/>
      <c r="Q38" s="147"/>
      <c r="R38" s="147"/>
    </row>
    <row r="39" spans="1:19" s="135" customFormat="1" ht="21.75" customHeight="1" x14ac:dyDescent="0.3">
      <c r="A39" s="151"/>
      <c r="B39" s="152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72"/>
    </row>
    <row r="40" spans="1:19" s="135" customFormat="1" ht="21.75" customHeight="1" x14ac:dyDescent="0.3">
      <c r="A40" s="141">
        <v>3.1</v>
      </c>
      <c r="B40" s="142" t="s">
        <v>464</v>
      </c>
      <c r="C40" s="156">
        <f>SUM(D40:O40)</f>
        <v>16496.624999999993</v>
      </c>
      <c r="D40" s="143">
        <f>NPK!I13</f>
        <v>1355.886986301369</v>
      </c>
      <c r="E40" s="143">
        <f>NPK!J13</f>
        <v>1401.0832191780814</v>
      </c>
      <c r="F40" s="143">
        <f>NPK!K13</f>
        <v>1401.0832191780814</v>
      </c>
      <c r="G40" s="143">
        <f>NPK!L13</f>
        <v>1355.886986301369</v>
      </c>
      <c r="H40" s="143">
        <f>NPK!M13</f>
        <v>1401.0832191780814</v>
      </c>
      <c r="I40" s="143">
        <f>NPK!N13</f>
        <v>1355.886986301369</v>
      </c>
      <c r="J40" s="143">
        <f>NPK!O13</f>
        <v>1401.0832191780814</v>
      </c>
      <c r="K40" s="143">
        <f>NPK!D13</f>
        <v>1401.0832191780814</v>
      </c>
      <c r="L40" s="143">
        <f>NPK!E13</f>
        <v>1265.4945205479444</v>
      </c>
      <c r="M40" s="143">
        <f>NPK!F13</f>
        <v>1401.0832191780814</v>
      </c>
      <c r="N40" s="143">
        <f>NPK!G13</f>
        <v>1355.886986301369</v>
      </c>
      <c r="O40" s="143">
        <f>NPK!H13</f>
        <v>1401.0832191780814</v>
      </c>
    </row>
    <row r="41" spans="1:19" s="135" customFormat="1" ht="21.75" customHeight="1" x14ac:dyDescent="0.3">
      <c r="A41" s="141">
        <v>3.2</v>
      </c>
      <c r="B41" s="142" t="s">
        <v>465</v>
      </c>
      <c r="C41" s="156">
        <f>SUM(D41:O41)</f>
        <v>32993.249999999985</v>
      </c>
      <c r="D41" s="143">
        <f>NPK!I14</f>
        <v>2711.773972602738</v>
      </c>
      <c r="E41" s="143">
        <f>NPK!J14</f>
        <v>2802.1664383561629</v>
      </c>
      <c r="F41" s="143">
        <f>NPK!K14</f>
        <v>2802.1664383561629</v>
      </c>
      <c r="G41" s="143">
        <f>NPK!L14</f>
        <v>2711.773972602738</v>
      </c>
      <c r="H41" s="143">
        <f>NPK!M14</f>
        <v>2802.1664383561629</v>
      </c>
      <c r="I41" s="143">
        <f>NPK!N14</f>
        <v>2711.773972602738</v>
      </c>
      <c r="J41" s="143">
        <f>NPK!O14</f>
        <v>2802.1664383561629</v>
      </c>
      <c r="K41" s="143">
        <f>NPK!D14</f>
        <v>2802.1664383561629</v>
      </c>
      <c r="L41" s="143">
        <f>NPK!E14</f>
        <v>2530.9890410958888</v>
      </c>
      <c r="M41" s="143">
        <f>NPK!F14</f>
        <v>2802.1664383561629</v>
      </c>
      <c r="N41" s="143">
        <f>NPK!G14</f>
        <v>2711.773972602738</v>
      </c>
      <c r="O41" s="143">
        <f>NPK!H14</f>
        <v>2802.1664383561629</v>
      </c>
    </row>
    <row r="42" spans="1:19" s="135" customFormat="1" ht="21.75" customHeight="1" x14ac:dyDescent="0.3">
      <c r="A42" s="141">
        <v>3.3</v>
      </c>
      <c r="B42" s="142" t="s">
        <v>466</v>
      </c>
      <c r="C42" s="156">
        <f>SUM(D42:O42)</f>
        <v>16496.624999999993</v>
      </c>
      <c r="D42" s="143">
        <f>NPK!I15</f>
        <v>1355.886986301369</v>
      </c>
      <c r="E42" s="143">
        <f>NPK!J15</f>
        <v>1401.0832191780814</v>
      </c>
      <c r="F42" s="143">
        <f>NPK!K15</f>
        <v>1401.0832191780814</v>
      </c>
      <c r="G42" s="143">
        <f>NPK!L15</f>
        <v>1355.886986301369</v>
      </c>
      <c r="H42" s="143">
        <f>NPK!M15</f>
        <v>1401.0832191780814</v>
      </c>
      <c r="I42" s="143">
        <f>NPK!N15</f>
        <v>1355.886986301369</v>
      </c>
      <c r="J42" s="143">
        <f>NPK!O15</f>
        <v>1401.0832191780814</v>
      </c>
      <c r="K42" s="143">
        <f>NPK!D15</f>
        <v>1401.0832191780814</v>
      </c>
      <c r="L42" s="143">
        <f>NPK!E15</f>
        <v>1265.4945205479444</v>
      </c>
      <c r="M42" s="143">
        <f>NPK!F15</f>
        <v>1401.0832191780814</v>
      </c>
      <c r="N42" s="143">
        <f>NPK!G15</f>
        <v>1355.886986301369</v>
      </c>
      <c r="O42" s="143">
        <f>NPK!H15</f>
        <v>1401.0832191780814</v>
      </c>
      <c r="P42" s="147"/>
    </row>
    <row r="43" spans="1:19" s="154" customFormat="1" ht="15" customHeight="1" x14ac:dyDescent="0.3">
      <c r="A43" s="148">
        <v>3</v>
      </c>
      <c r="B43" s="149" t="s">
        <v>467</v>
      </c>
      <c r="C43" s="150">
        <f>C40+C41+C42</f>
        <v>65986.499999999971</v>
      </c>
      <c r="D43" s="155">
        <f t="shared" ref="D43:O43" si="8">D40+D41+D42</f>
        <v>5423.547945205476</v>
      </c>
      <c r="E43" s="155">
        <f t="shared" si="8"/>
        <v>5604.3328767123257</v>
      </c>
      <c r="F43" s="155">
        <f t="shared" si="8"/>
        <v>5604.3328767123257</v>
      </c>
      <c r="G43" s="155">
        <f t="shared" si="8"/>
        <v>5423.547945205476</v>
      </c>
      <c r="H43" s="155">
        <f t="shared" si="8"/>
        <v>5604.3328767123257</v>
      </c>
      <c r="I43" s="155">
        <f t="shared" si="8"/>
        <v>5423.547945205476</v>
      </c>
      <c r="J43" s="155">
        <f t="shared" si="8"/>
        <v>5604.3328767123257</v>
      </c>
      <c r="K43" s="155">
        <f t="shared" si="8"/>
        <v>5604.3328767123257</v>
      </c>
      <c r="L43" s="155">
        <f t="shared" si="8"/>
        <v>5061.9780821917775</v>
      </c>
      <c r="M43" s="155">
        <f t="shared" si="8"/>
        <v>5604.3328767123257</v>
      </c>
      <c r="N43" s="155">
        <f t="shared" si="8"/>
        <v>5423.547945205476</v>
      </c>
      <c r="O43" s="190">
        <f t="shared" si="8"/>
        <v>5604.3328767123257</v>
      </c>
      <c r="P43" s="147"/>
      <c r="Q43" s="147"/>
      <c r="R43" s="147"/>
    </row>
    <row r="44" spans="1:19" s="135" customFormat="1" ht="21.75" customHeight="1" x14ac:dyDescent="0.3">
      <c r="A44" s="151"/>
      <c r="B44" s="152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72"/>
      <c r="P44" s="147"/>
    </row>
    <row r="45" spans="1:19" s="135" customFormat="1" ht="21.75" customHeight="1" x14ac:dyDescent="0.3">
      <c r="A45" s="141">
        <v>4</v>
      </c>
      <c r="B45" s="142" t="s">
        <v>438</v>
      </c>
      <c r="C45" s="156">
        <f>SUM(D45:O45)</f>
        <v>27553.4748</v>
      </c>
      <c r="D45" s="156">
        <f>NPK!I18</f>
        <v>2264.6691616438352</v>
      </c>
      <c r="E45" s="156">
        <f>NPK!J18</f>
        <v>2340.1581336986296</v>
      </c>
      <c r="F45" s="156">
        <f>NPK!K18</f>
        <v>2340.1581336986296</v>
      </c>
      <c r="G45" s="156">
        <f>NPK!L18</f>
        <v>2264.6691616438352</v>
      </c>
      <c r="H45" s="156">
        <f>NPK!M18</f>
        <v>2340.1581336986296</v>
      </c>
      <c r="I45" s="156">
        <f>NPK!N18</f>
        <v>2264.6691616438352</v>
      </c>
      <c r="J45" s="156">
        <f>NPK!O18</f>
        <v>2340.1581336986296</v>
      </c>
      <c r="K45" s="156">
        <f>NPK!D18</f>
        <v>2340.1581336986296</v>
      </c>
      <c r="L45" s="156">
        <f>NPK!E18</f>
        <v>2113.6912175342463</v>
      </c>
      <c r="M45" s="156">
        <f>NPK!F18</f>
        <v>2340.1581336986296</v>
      </c>
      <c r="N45" s="156">
        <f>NPK!G18</f>
        <v>2264.6691616438352</v>
      </c>
      <c r="O45" s="156">
        <f>NPK!H18</f>
        <v>2340.1581336986296</v>
      </c>
      <c r="P45" s="147"/>
    </row>
    <row r="46" spans="1:19" s="154" customFormat="1" ht="15" customHeight="1" x14ac:dyDescent="0.3">
      <c r="A46" s="141">
        <v>5</v>
      </c>
      <c r="B46" s="142" t="s">
        <v>439</v>
      </c>
      <c r="C46" s="156">
        <f>SUM(D46:O46)</f>
        <v>29700.059999999994</v>
      </c>
      <c r="D46" s="156">
        <f>NPK!I19</f>
        <v>2441.1008219178079</v>
      </c>
      <c r="E46" s="156">
        <f>NPK!J19</f>
        <v>2522.4708493150683</v>
      </c>
      <c r="F46" s="156">
        <f>NPK!K19</f>
        <v>2522.4708493150683</v>
      </c>
      <c r="G46" s="156">
        <f>NPK!L19</f>
        <v>2441.1008219178079</v>
      </c>
      <c r="H46" s="156">
        <f>NPK!M19</f>
        <v>2522.4708493150683</v>
      </c>
      <c r="I46" s="156">
        <f>NPK!N19</f>
        <v>2441.1008219178079</v>
      </c>
      <c r="J46" s="156">
        <f>NPK!O19</f>
        <v>2522.4708493150683</v>
      </c>
      <c r="K46" s="156">
        <f>NPK!D19</f>
        <v>2522.4708493150683</v>
      </c>
      <c r="L46" s="156">
        <f>NPK!E19</f>
        <v>2278.3607671232876</v>
      </c>
      <c r="M46" s="156">
        <f>NPK!F19</f>
        <v>2522.4708493150683</v>
      </c>
      <c r="N46" s="156">
        <f>NPK!G19</f>
        <v>2441.1008219178079</v>
      </c>
      <c r="O46" s="156">
        <f>NPK!H19</f>
        <v>2522.4708493150683</v>
      </c>
      <c r="P46" s="147"/>
      <c r="Q46" s="147"/>
      <c r="R46" s="147"/>
    </row>
    <row r="47" spans="1:19" s="135" customFormat="1" ht="21" customHeight="1" thickBot="1" x14ac:dyDescent="0.35">
      <c r="A47" s="144"/>
      <c r="B47" s="145" t="s">
        <v>468</v>
      </c>
      <c r="C47" s="191">
        <f>C36+C38+C43+C45+C46</f>
        <v>839191.96329999994</v>
      </c>
      <c r="D47" s="146">
        <f>D36+D38+D43+D45+D46</f>
        <v>68974.68191506849</v>
      </c>
      <c r="E47" s="146">
        <f t="shared" ref="E47:O47" si="9">E36+E38+E43+E45+E46</f>
        <v>71273.837978904106</v>
      </c>
      <c r="F47" s="146">
        <f t="shared" si="9"/>
        <v>71273.837978904106</v>
      </c>
      <c r="G47" s="146">
        <f t="shared" si="9"/>
        <v>68974.68191506849</v>
      </c>
      <c r="H47" s="146">
        <f t="shared" si="9"/>
        <v>71273.837978904106</v>
      </c>
      <c r="I47" s="146">
        <f t="shared" si="9"/>
        <v>68974.68191506849</v>
      </c>
      <c r="J47" s="146">
        <f t="shared" si="9"/>
        <v>71273.837978904106</v>
      </c>
      <c r="K47" s="146">
        <f t="shared" si="9"/>
        <v>71273.837978904106</v>
      </c>
      <c r="L47" s="146">
        <f t="shared" si="9"/>
        <v>64376.369787397256</v>
      </c>
      <c r="M47" s="146">
        <f t="shared" si="9"/>
        <v>71273.837978904106</v>
      </c>
      <c r="N47" s="146">
        <f t="shared" si="9"/>
        <v>68974.68191506849</v>
      </c>
      <c r="O47" s="189">
        <f t="shared" si="9"/>
        <v>71273.837978904106</v>
      </c>
      <c r="P47" s="147"/>
    </row>
    <row r="48" spans="1:19" ht="13.2" thickBot="1" x14ac:dyDescent="0.25">
      <c r="A48" s="192"/>
      <c r="B48" s="193"/>
      <c r="C48" s="194"/>
      <c r="D48" s="195">
        <f t="shared" ref="D48:O48" si="10">D25/D47</f>
        <v>0.96896786102320709</v>
      </c>
      <c r="E48" s="195">
        <f t="shared" si="10"/>
        <v>0.90162466091724391</v>
      </c>
      <c r="F48" s="195">
        <f t="shared" si="10"/>
        <v>0.89367644294464543</v>
      </c>
      <c r="G48" s="195">
        <f t="shared" si="10"/>
        <v>0.85787637372305303</v>
      </c>
      <c r="H48" s="195">
        <f t="shared" si="10"/>
        <v>0.83706029718307773</v>
      </c>
      <c r="I48" s="195">
        <f t="shared" si="10"/>
        <v>0.80031539787268602</v>
      </c>
      <c r="J48" s="195">
        <f t="shared" si="10"/>
        <v>0.52468059894667951</v>
      </c>
      <c r="K48" s="195">
        <f t="shared" si="10"/>
        <v>0.44278519152204138</v>
      </c>
      <c r="L48" s="195">
        <f t="shared" si="10"/>
        <v>0.27218061623956658</v>
      </c>
      <c r="M48" s="195">
        <f t="shared" si="10"/>
        <v>0.16951521543677886</v>
      </c>
      <c r="N48" s="195">
        <f t="shared" si="10"/>
        <v>0.13384621347537001</v>
      </c>
      <c r="O48" s="196">
        <f t="shared" si="10"/>
        <v>0.13892895739571132</v>
      </c>
    </row>
    <row r="50" spans="1:15" x14ac:dyDescent="0.2">
      <c r="A50" s="197" t="s">
        <v>483</v>
      </c>
      <c r="C50" s="156">
        <f>SUM(D50:O50)</f>
        <v>129163</v>
      </c>
      <c r="D50" s="198">
        <f t="shared" ref="D50:O50" si="11">D4+D10+D15</f>
        <v>15265.5</v>
      </c>
      <c r="E50" s="198">
        <f t="shared" si="11"/>
        <v>15502.5</v>
      </c>
      <c r="F50" s="198">
        <f t="shared" si="11"/>
        <v>15590.5</v>
      </c>
      <c r="G50" s="198">
        <f t="shared" si="11"/>
        <v>16853.5</v>
      </c>
      <c r="H50" s="198">
        <f t="shared" si="11"/>
        <v>21309.5</v>
      </c>
      <c r="I50" s="198">
        <f t="shared" si="11"/>
        <v>22240.5</v>
      </c>
      <c r="J50" s="198">
        <f t="shared" si="11"/>
        <v>10726</v>
      </c>
      <c r="K50" s="198">
        <f t="shared" si="11"/>
        <v>10170</v>
      </c>
      <c r="L50" s="198">
        <f t="shared" si="11"/>
        <v>1345</v>
      </c>
      <c r="M50" s="198">
        <f t="shared" si="11"/>
        <v>160</v>
      </c>
      <c r="N50" s="198">
        <f t="shared" si="11"/>
        <v>0</v>
      </c>
      <c r="O50" s="198">
        <f t="shared" si="11"/>
        <v>0</v>
      </c>
    </row>
    <row r="51" spans="1:15" x14ac:dyDescent="0.2">
      <c r="C51" s="157"/>
      <c r="D51" s="199">
        <f>D50/1000</f>
        <v>15.265499999999999</v>
      </c>
      <c r="E51" s="199">
        <f t="shared" ref="E51:O51" si="12">E50/1000</f>
        <v>15.5025</v>
      </c>
      <c r="F51" s="199">
        <f t="shared" si="12"/>
        <v>15.5905</v>
      </c>
      <c r="G51" s="199">
        <f t="shared" si="12"/>
        <v>16.8535</v>
      </c>
      <c r="H51" s="199">
        <f t="shared" si="12"/>
        <v>21.3095</v>
      </c>
      <c r="I51" s="199">
        <f t="shared" si="12"/>
        <v>22.240500000000001</v>
      </c>
      <c r="J51" s="199">
        <f t="shared" si="12"/>
        <v>10.726000000000001</v>
      </c>
      <c r="K51" s="199">
        <f t="shared" si="12"/>
        <v>10.17</v>
      </c>
      <c r="L51" s="199">
        <f t="shared" si="12"/>
        <v>1.345</v>
      </c>
      <c r="M51" s="199">
        <f t="shared" si="12"/>
        <v>0.16</v>
      </c>
      <c r="N51" s="199">
        <f t="shared" si="12"/>
        <v>0</v>
      </c>
      <c r="O51" s="199">
        <f t="shared" si="12"/>
        <v>0</v>
      </c>
    </row>
    <row r="52" spans="1:15" x14ac:dyDescent="0.2">
      <c r="A52" s="197" t="s">
        <v>484</v>
      </c>
      <c r="C52" s="156">
        <f>SUM(D52:O52)</f>
        <v>41593</v>
      </c>
      <c r="D52" s="198">
        <f t="shared" ref="D52:O52" si="13">D5+D11+D16</f>
        <v>6975.5</v>
      </c>
      <c r="E52" s="198">
        <f t="shared" si="13"/>
        <v>7516.5</v>
      </c>
      <c r="F52" s="198">
        <f t="shared" si="13"/>
        <v>4789</v>
      </c>
      <c r="G52" s="198">
        <f t="shared" si="13"/>
        <v>3879</v>
      </c>
      <c r="H52" s="198">
        <f t="shared" si="13"/>
        <v>4028</v>
      </c>
      <c r="I52" s="198">
        <f t="shared" si="13"/>
        <v>2985</v>
      </c>
      <c r="J52" s="198">
        <f t="shared" si="13"/>
        <v>2910</v>
      </c>
      <c r="K52" s="198">
        <f t="shared" si="13"/>
        <v>2910</v>
      </c>
      <c r="L52" s="198">
        <f t="shared" si="13"/>
        <v>2800</v>
      </c>
      <c r="M52" s="198">
        <f t="shared" si="13"/>
        <v>2800</v>
      </c>
      <c r="N52" s="198">
        <f t="shared" si="13"/>
        <v>0</v>
      </c>
      <c r="O52" s="198">
        <f t="shared" si="13"/>
        <v>0</v>
      </c>
    </row>
    <row r="53" spans="1:15" x14ac:dyDescent="0.2">
      <c r="C53" s="157"/>
      <c r="D53" s="199">
        <f>D52/1000</f>
        <v>6.9755000000000003</v>
      </c>
      <c r="E53" s="199">
        <f t="shared" ref="E53:O53" si="14">E52/1000</f>
        <v>7.5164999999999997</v>
      </c>
      <c r="F53" s="199">
        <f t="shared" si="14"/>
        <v>4.7889999999999997</v>
      </c>
      <c r="G53" s="199">
        <f t="shared" si="14"/>
        <v>3.879</v>
      </c>
      <c r="H53" s="199">
        <f t="shared" si="14"/>
        <v>4.0279999999999996</v>
      </c>
      <c r="I53" s="199">
        <f t="shared" si="14"/>
        <v>2.9849999999999999</v>
      </c>
      <c r="J53" s="199">
        <f t="shared" si="14"/>
        <v>2.91</v>
      </c>
      <c r="K53" s="199">
        <f t="shared" si="14"/>
        <v>2.91</v>
      </c>
      <c r="L53" s="199">
        <f t="shared" si="14"/>
        <v>2.8</v>
      </c>
      <c r="M53" s="199">
        <f t="shared" si="14"/>
        <v>2.8</v>
      </c>
      <c r="N53" s="199">
        <f t="shared" si="14"/>
        <v>0</v>
      </c>
      <c r="O53" s="199">
        <f t="shared" si="14"/>
        <v>0</v>
      </c>
    </row>
    <row r="54" spans="1:15" x14ac:dyDescent="0.2">
      <c r="C54" s="158" t="s">
        <v>12</v>
      </c>
      <c r="D54" s="199">
        <f>D51+D53</f>
        <v>22.241</v>
      </c>
      <c r="E54" s="199">
        <f t="shared" ref="E54:O54" si="15">E51+E53</f>
        <v>23.018999999999998</v>
      </c>
      <c r="F54" s="199">
        <f t="shared" si="15"/>
        <v>20.3795</v>
      </c>
      <c r="G54" s="199">
        <f t="shared" si="15"/>
        <v>20.732500000000002</v>
      </c>
      <c r="H54" s="199">
        <f t="shared" si="15"/>
        <v>25.337499999999999</v>
      </c>
      <c r="I54" s="199">
        <f t="shared" si="15"/>
        <v>25.2255</v>
      </c>
      <c r="J54" s="199">
        <f t="shared" si="15"/>
        <v>13.636000000000001</v>
      </c>
      <c r="K54" s="199">
        <f t="shared" si="15"/>
        <v>13.08</v>
      </c>
      <c r="L54" s="199">
        <f t="shared" si="15"/>
        <v>4.1449999999999996</v>
      </c>
      <c r="M54" s="199">
        <f t="shared" si="15"/>
        <v>2.96</v>
      </c>
      <c r="N54" s="199">
        <f t="shared" si="15"/>
        <v>0</v>
      </c>
      <c r="O54" s="199">
        <f t="shared" si="15"/>
        <v>0</v>
      </c>
    </row>
    <row r="55" spans="1:15" x14ac:dyDescent="0.2"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</row>
    <row r="56" spans="1:15" x14ac:dyDescent="0.2">
      <c r="C56" s="157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</row>
    <row r="57" spans="1:15" x14ac:dyDescent="0.2">
      <c r="C57" s="157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</row>
    <row r="58" spans="1:15" x14ac:dyDescent="0.2"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</row>
    <row r="59" spans="1:15" x14ac:dyDescent="0.2">
      <c r="C59" s="157"/>
    </row>
    <row r="60" spans="1:15" x14ac:dyDescent="0.2">
      <c r="C60" s="157"/>
    </row>
  </sheetData>
  <printOptions horizontalCentered="1"/>
  <pageMargins left="0" right="0" top="0" bottom="0" header="0.31496062992125984" footer="0.31496062992125984"/>
  <pageSetup paperSize="9" scale="45" orientation="landscape" r:id="rId1"/>
  <headerFooter>
    <oddFooter>&amp;C&amp;"Verdana,Regular"&amp;9Page &amp;P of &amp;N&amp;R&amp;"Verdana,Regular"&amp;9Prepared By - BBSR_PPC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7DCF-4D17-4423-93BD-2CB6009585A4}">
  <dimension ref="A1:P55"/>
  <sheetViews>
    <sheetView showGridLines="0" tabSelected="1" topLeftCell="E3" zoomScale="79" zoomScaleNormal="79" workbookViewId="0">
      <selection activeCell="Q33" sqref="Q33"/>
    </sheetView>
  </sheetViews>
  <sheetFormatPr defaultColWidth="9.109375" defaultRowHeight="13.8" x14ac:dyDescent="0.3"/>
  <cols>
    <col min="1" max="1" width="25.5546875" style="119" bestFit="1" customWidth="1"/>
    <col min="2" max="9" width="10.88671875" style="119" customWidth="1"/>
    <col min="10" max="12" width="10.88671875" style="119" bestFit="1" customWidth="1"/>
    <col min="13" max="13" width="10.88671875" style="119" customWidth="1"/>
    <col min="14" max="14" width="20.44140625" style="119" customWidth="1"/>
    <col min="15" max="16384" width="9.109375" style="119"/>
  </cols>
  <sheetData>
    <row r="1" spans="1:16" s="114" customFormat="1" ht="22.8" x14ac:dyDescent="0.25">
      <c r="A1" s="111" t="s">
        <v>434</v>
      </c>
      <c r="B1" s="112">
        <v>46028</v>
      </c>
      <c r="C1" s="112">
        <v>46060</v>
      </c>
      <c r="D1" s="112">
        <v>46092</v>
      </c>
      <c r="E1" s="112">
        <v>46124</v>
      </c>
      <c r="F1" s="112">
        <v>46156</v>
      </c>
      <c r="G1" s="112">
        <v>46188</v>
      </c>
      <c r="H1" s="112">
        <v>46220</v>
      </c>
      <c r="I1" s="112">
        <v>46252</v>
      </c>
      <c r="J1" s="112">
        <v>46284</v>
      </c>
      <c r="K1" s="112">
        <v>46316</v>
      </c>
      <c r="L1" s="112">
        <v>46348</v>
      </c>
      <c r="M1" s="112">
        <v>46380</v>
      </c>
      <c r="N1" s="113" t="s">
        <v>450</v>
      </c>
    </row>
    <row r="2" spans="1:16" s="114" customFormat="1" ht="17.25" customHeight="1" x14ac:dyDescent="0.25">
      <c r="A2" s="115" t="s">
        <v>435</v>
      </c>
      <c r="B2" s="63">
        <v>51351.294999999998</v>
      </c>
      <c r="C2" s="63">
        <v>47293</v>
      </c>
      <c r="D2" s="63">
        <v>51849</v>
      </c>
      <c r="E2" s="63">
        <f>'[62]SUMMARY-MFG'!D6</f>
        <v>52535</v>
      </c>
      <c r="F2" s="63">
        <f>'[62]SUMMARY-MFG'!E6</f>
        <v>52485</v>
      </c>
      <c r="G2" s="63">
        <f>'SUMMARY-CP'!D6</f>
        <v>49831.25</v>
      </c>
      <c r="H2" s="63">
        <f>'SUMMARY-CP'!E6</f>
        <v>49026.75</v>
      </c>
      <c r="I2" s="63">
        <f>'SUMMARY-CP'!F6</f>
        <v>47313.75</v>
      </c>
      <c r="J2" s="63">
        <f>'SUMMARY-CP'!G6</f>
        <v>44617.75</v>
      </c>
      <c r="K2" s="63">
        <f>'SUMMARY-CP'!H6</f>
        <v>44183.5</v>
      </c>
      <c r="L2" s="63">
        <f>'SUMMARY-CP'!I6</f>
        <v>41776.5</v>
      </c>
      <c r="M2" s="63">
        <f>'SUMMARY-CP'!J6</f>
        <v>24975</v>
      </c>
      <c r="N2" s="116">
        <f>SUM(G2:M2)</f>
        <v>301724.5</v>
      </c>
      <c r="O2" s="117"/>
    </row>
    <row r="3" spans="1:16" s="114" customFormat="1" ht="17.25" customHeight="1" x14ac:dyDescent="0.25">
      <c r="A3" s="115" t="s">
        <v>436</v>
      </c>
      <c r="B3" s="63">
        <v>7519.2200000000021</v>
      </c>
      <c r="C3" s="63">
        <v>8153</v>
      </c>
      <c r="D3" s="63">
        <v>9028</v>
      </c>
      <c r="E3" s="63">
        <f>'[62]SUMMARY-MFG'!D12</f>
        <v>8947</v>
      </c>
      <c r="F3" s="63">
        <f>'[62]SUMMARY-MFG'!E12</f>
        <v>9129</v>
      </c>
      <c r="G3" s="63">
        <f>'SUMMARY-CP'!D12</f>
        <v>8475</v>
      </c>
      <c r="H3" s="63">
        <f>'SUMMARY-CP'!E12</f>
        <v>6792.5</v>
      </c>
      <c r="I3" s="63">
        <f>'SUMMARY-CP'!F12</f>
        <v>8144</v>
      </c>
      <c r="J3" s="63">
        <f>'SUMMARY-CP'!G12</f>
        <v>6540</v>
      </c>
      <c r="K3" s="63">
        <f>'SUMMARY-CP'!H12</f>
        <v>7635</v>
      </c>
      <c r="L3" s="63">
        <f>'SUMMARY-CP'!I12</f>
        <v>6550</v>
      </c>
      <c r="M3" s="63">
        <f>'SUMMARY-CP'!J12</f>
        <v>5756</v>
      </c>
      <c r="N3" s="116">
        <f t="shared" ref="N3:N6" si="0">SUM(G3:M3)</f>
        <v>49892.5</v>
      </c>
    </row>
    <row r="4" spans="1:16" s="114" customFormat="1" ht="17.25" customHeight="1" x14ac:dyDescent="0.25">
      <c r="A4" s="115" t="s">
        <v>437</v>
      </c>
      <c r="B4" s="63">
        <v>4945.01</v>
      </c>
      <c r="C4" s="63">
        <v>5159</v>
      </c>
      <c r="D4" s="63">
        <v>5700</v>
      </c>
      <c r="E4" s="63">
        <f>'[62]SUMMARY-MFG'!D20</f>
        <v>5686</v>
      </c>
      <c r="F4" s="63">
        <f>'[62]SUMMARY-MFG'!E20</f>
        <v>5630</v>
      </c>
      <c r="G4" s="63">
        <f>'SUMMARY-CP'!D20</f>
        <v>5428</v>
      </c>
      <c r="H4" s="63">
        <f>'SUMMARY-CP'!E20</f>
        <v>5543</v>
      </c>
      <c r="I4" s="63">
        <f>'SUMMARY-CP'!F20</f>
        <v>5538</v>
      </c>
      <c r="J4" s="63">
        <f>'SUMMARY-CP'!G20</f>
        <v>5614</v>
      </c>
      <c r="K4" s="63">
        <f>'SUMMARY-CP'!H20</f>
        <v>5542</v>
      </c>
      <c r="L4" s="63">
        <f>'SUMMARY-CP'!I20</f>
        <v>4785</v>
      </c>
      <c r="M4" s="63">
        <f>'SUMMARY-CP'!J20</f>
        <v>4765</v>
      </c>
      <c r="N4" s="116">
        <f t="shared" si="0"/>
        <v>37215</v>
      </c>
    </row>
    <row r="5" spans="1:16" s="114" customFormat="1" ht="17.25" customHeight="1" x14ac:dyDescent="0.25">
      <c r="A5" s="115" t="s">
        <v>438</v>
      </c>
      <c r="B5" s="63">
        <v>2765.02</v>
      </c>
      <c r="C5" s="63">
        <v>2200</v>
      </c>
      <c r="D5" s="63">
        <v>1600</v>
      </c>
      <c r="E5" s="63">
        <f>'[62]SUMMARY-MFG'!D22</f>
        <v>1600</v>
      </c>
      <c r="F5" s="63">
        <f>'[62]SUMMARY-MFG'!E22</f>
        <v>1500</v>
      </c>
      <c r="G5" s="63">
        <f>'SUMMARY-CP'!D22</f>
        <v>1800</v>
      </c>
      <c r="H5" s="63">
        <f>'SUMMARY-CP'!E22</f>
        <v>1600</v>
      </c>
      <c r="I5" s="63">
        <f>'SUMMARY-CP'!F22</f>
        <v>1500</v>
      </c>
      <c r="J5" s="63">
        <f>'SUMMARY-CP'!G22</f>
        <v>1400</v>
      </c>
      <c r="K5" s="63">
        <f>'SUMMARY-CP'!H22</f>
        <v>1300</v>
      </c>
      <c r="L5" s="63">
        <f>'SUMMARY-CP'!I22</f>
        <v>1200</v>
      </c>
      <c r="M5" s="63">
        <f>'SUMMARY-CP'!J22</f>
        <v>1100</v>
      </c>
      <c r="N5" s="116">
        <f t="shared" si="0"/>
        <v>9900</v>
      </c>
    </row>
    <row r="6" spans="1:16" s="114" customFormat="1" ht="17.25" customHeight="1" x14ac:dyDescent="0.25">
      <c r="A6" s="115" t="s">
        <v>439</v>
      </c>
      <c r="B6" s="63">
        <v>4021</v>
      </c>
      <c r="C6" s="63">
        <v>2522</v>
      </c>
      <c r="D6" s="63">
        <v>2200</v>
      </c>
      <c r="E6" s="63">
        <f>'[62]SUMMARY-MFG'!D23</f>
        <v>1300</v>
      </c>
      <c r="F6" s="63">
        <f>'[62]SUMMARY-MFG'!E23</f>
        <v>1300</v>
      </c>
      <c r="G6" s="63">
        <f>'SUMMARY-CP'!D23</f>
        <v>1300</v>
      </c>
      <c r="H6" s="63">
        <f>'SUMMARY-CP'!E23</f>
        <v>1300</v>
      </c>
      <c r="I6" s="63">
        <f>'SUMMARY-CP'!F23</f>
        <v>1200</v>
      </c>
      <c r="J6" s="63">
        <f>'SUMMARY-CP'!G23</f>
        <v>1000</v>
      </c>
      <c r="K6" s="63">
        <f>'SUMMARY-CP'!H23</f>
        <v>1000</v>
      </c>
      <c r="L6" s="63">
        <f>'SUMMARY-CP'!I23</f>
        <v>890</v>
      </c>
      <c r="M6" s="63">
        <f>'SUMMARY-CP'!J23</f>
        <v>800</v>
      </c>
      <c r="N6" s="116">
        <f t="shared" si="0"/>
        <v>7490</v>
      </c>
    </row>
    <row r="7" spans="1:16" ht="15.75" customHeight="1" x14ac:dyDescent="0.3">
      <c r="A7" s="80" t="s">
        <v>440</v>
      </c>
      <c r="B7" s="118">
        <f>SUM(B2:B6)</f>
        <v>70601.544999999998</v>
      </c>
      <c r="C7" s="118">
        <f t="shared" ref="C7:M7" si="1">SUM(C2:C6)</f>
        <v>65327</v>
      </c>
      <c r="D7" s="118">
        <f t="shared" si="1"/>
        <v>70377</v>
      </c>
      <c r="E7" s="118">
        <f t="shared" si="1"/>
        <v>70068</v>
      </c>
      <c r="F7" s="118">
        <f t="shared" si="1"/>
        <v>70044</v>
      </c>
      <c r="G7" s="118">
        <f t="shared" si="1"/>
        <v>66834.25</v>
      </c>
      <c r="H7" s="118">
        <f t="shared" si="1"/>
        <v>64262.25</v>
      </c>
      <c r="I7" s="118">
        <f t="shared" si="1"/>
        <v>63695.75</v>
      </c>
      <c r="J7" s="118">
        <f t="shared" si="1"/>
        <v>59171.75</v>
      </c>
      <c r="K7" s="118">
        <f t="shared" si="1"/>
        <v>59660.5</v>
      </c>
      <c r="L7" s="118">
        <f t="shared" si="1"/>
        <v>55201.5</v>
      </c>
      <c r="M7" s="118">
        <f t="shared" si="1"/>
        <v>37396</v>
      </c>
      <c r="N7" s="118">
        <f>SUM(G7:M7)</f>
        <v>406222</v>
      </c>
    </row>
    <row r="9" spans="1:16" s="114" customFormat="1" ht="22.8" x14ac:dyDescent="0.25">
      <c r="A9" s="111" t="s">
        <v>441</v>
      </c>
      <c r="B9" s="112">
        <v>46028</v>
      </c>
      <c r="C9" s="112">
        <v>46060</v>
      </c>
      <c r="D9" s="112">
        <v>46092</v>
      </c>
      <c r="E9" s="112">
        <v>46124</v>
      </c>
      <c r="F9" s="112">
        <v>46156</v>
      </c>
      <c r="G9" s="112">
        <v>46188</v>
      </c>
      <c r="H9" s="112">
        <v>46220</v>
      </c>
      <c r="I9" s="112">
        <v>46252</v>
      </c>
      <c r="J9" s="112">
        <v>46284</v>
      </c>
      <c r="K9" s="112">
        <v>46316</v>
      </c>
      <c r="L9" s="112">
        <v>46348</v>
      </c>
      <c r="M9" s="112">
        <v>46380</v>
      </c>
      <c r="N9" s="113" t="s">
        <v>450</v>
      </c>
    </row>
    <row r="10" spans="1:16" s="114" customFormat="1" ht="17.25" customHeight="1" x14ac:dyDescent="0.25">
      <c r="A10" s="115" t="s">
        <v>435</v>
      </c>
      <c r="B10" s="63">
        <f>[62]NPK!D9</f>
        <v>51778.144931506853</v>
      </c>
      <c r="C10" s="63">
        <v>46767</v>
      </c>
      <c r="D10" s="63">
        <v>51778.144931506853</v>
      </c>
      <c r="E10" s="63">
        <f>'[62]SUMMARY-MFG'!D36</f>
        <v>50107.882191780824</v>
      </c>
      <c r="F10" s="63">
        <f>'[62]SUMMARY-MFG'!E36</f>
        <v>51778.144931506853</v>
      </c>
      <c r="G10" s="63">
        <f>'SUMMARY-CP'!D36</f>
        <v>50107.882191780824</v>
      </c>
      <c r="H10" s="63">
        <f>'SUMMARY-CP'!E36</f>
        <v>51778.144931506853</v>
      </c>
      <c r="I10" s="63">
        <f>'SUMMARY-CP'!F36</f>
        <v>51778.144931506853</v>
      </c>
      <c r="J10" s="63">
        <f>'SUMMARY-CP'!G36</f>
        <v>50107.882191780824</v>
      </c>
      <c r="K10" s="63">
        <f>'SUMMARY-CP'!H36</f>
        <v>51778.144931506853</v>
      </c>
      <c r="L10" s="63">
        <f>'SUMMARY-CP'!I36</f>
        <v>50107.882191780824</v>
      </c>
      <c r="M10" s="63">
        <f>'SUMMARY-CP'!J36</f>
        <v>51778.144931506853</v>
      </c>
      <c r="N10" s="116">
        <f>SUM(G10:M10)</f>
        <v>357436.22630136984</v>
      </c>
      <c r="P10" s="117"/>
    </row>
    <row r="11" spans="1:16" s="114" customFormat="1" ht="17.25" customHeight="1" x14ac:dyDescent="0.25">
      <c r="A11" s="115" t="s">
        <v>436</v>
      </c>
      <c r="B11" s="63">
        <f>[62]NPK!D11</f>
        <v>9028.7311876712338</v>
      </c>
      <c r="C11" s="63">
        <v>8155</v>
      </c>
      <c r="D11" s="63">
        <v>9028.7311876712338</v>
      </c>
      <c r="E11" s="63">
        <f>'[62]SUMMARY-MFG'!D38</f>
        <v>8737.4817945205486</v>
      </c>
      <c r="F11" s="63">
        <f>'[62]SUMMARY-MFG'!E38</f>
        <v>9028.7311876712338</v>
      </c>
      <c r="G11" s="63">
        <f>'SUMMARY-CP'!D38</f>
        <v>8737.4817945205486</v>
      </c>
      <c r="H11" s="63">
        <f>'SUMMARY-CP'!E38</f>
        <v>9028.7311876712338</v>
      </c>
      <c r="I11" s="63">
        <f>'SUMMARY-CP'!F38</f>
        <v>9028.7311876712338</v>
      </c>
      <c r="J11" s="63">
        <f>'SUMMARY-CP'!G38</f>
        <v>8737.4817945205486</v>
      </c>
      <c r="K11" s="63">
        <f>'SUMMARY-CP'!H38</f>
        <v>9028.7311876712338</v>
      </c>
      <c r="L11" s="63">
        <f>'SUMMARY-CP'!I38</f>
        <v>8737.4817945205486</v>
      </c>
      <c r="M11" s="63">
        <f>'SUMMARY-CP'!J38</f>
        <v>9028.7311876712338</v>
      </c>
      <c r="N11" s="116">
        <f t="shared" ref="N11:N14" si="2">SUM(G11:M11)</f>
        <v>62327.370134246587</v>
      </c>
      <c r="P11" s="117"/>
    </row>
    <row r="12" spans="1:16" s="114" customFormat="1" ht="17.25" customHeight="1" x14ac:dyDescent="0.25">
      <c r="A12" s="115" t="s">
        <v>437</v>
      </c>
      <c r="B12" s="63">
        <f>[62]NPK!D16</f>
        <v>5604.3328767123257</v>
      </c>
      <c r="C12" s="63">
        <v>5062</v>
      </c>
      <c r="D12" s="63">
        <v>5604.3328767123257</v>
      </c>
      <c r="E12" s="63">
        <f>'[62]SUMMARY-MFG'!D43</f>
        <v>5423.547945205476</v>
      </c>
      <c r="F12" s="63">
        <f>'[62]SUMMARY-MFG'!E43</f>
        <v>5604.3328767123257</v>
      </c>
      <c r="G12" s="63">
        <f>'SUMMARY-CP'!D43</f>
        <v>5423.547945205476</v>
      </c>
      <c r="H12" s="63">
        <f>'SUMMARY-CP'!E43</f>
        <v>5604.3328767123257</v>
      </c>
      <c r="I12" s="63">
        <f>'SUMMARY-CP'!F43</f>
        <v>5604.3328767123257</v>
      </c>
      <c r="J12" s="63">
        <f>'SUMMARY-CP'!G43</f>
        <v>5423.547945205476</v>
      </c>
      <c r="K12" s="63">
        <f>'SUMMARY-CP'!H43</f>
        <v>5604.3328767123257</v>
      </c>
      <c r="L12" s="63">
        <f>'SUMMARY-CP'!I43</f>
        <v>5423.547945205476</v>
      </c>
      <c r="M12" s="63">
        <f>'SUMMARY-CP'!J43</f>
        <v>5604.3328767123257</v>
      </c>
      <c r="N12" s="116">
        <f t="shared" si="2"/>
        <v>38687.975342465732</v>
      </c>
      <c r="P12" s="117"/>
    </row>
    <row r="13" spans="1:16" s="114" customFormat="1" ht="17.25" customHeight="1" x14ac:dyDescent="0.25">
      <c r="A13" s="115" t="s">
        <v>438</v>
      </c>
      <c r="B13" s="63">
        <f>[62]NPK!D18</f>
        <v>2340.1581336986296</v>
      </c>
      <c r="C13" s="63">
        <v>2340</v>
      </c>
      <c r="D13" s="63">
        <v>2340.1581336986296</v>
      </c>
      <c r="E13" s="63">
        <f>'[62]SUMMARY-MFG'!D45</f>
        <v>2340.1581336986296</v>
      </c>
      <c r="F13" s="63">
        <f>'[62]SUMMARY-MFG'!E45</f>
        <v>2264.6691616438352</v>
      </c>
      <c r="G13" s="63">
        <f>'SUMMARY-CP'!D45</f>
        <v>2264.6691616438352</v>
      </c>
      <c r="H13" s="63">
        <f>'SUMMARY-CP'!E45</f>
        <v>2340.1581336986296</v>
      </c>
      <c r="I13" s="63">
        <f>'SUMMARY-CP'!F45</f>
        <v>2340.1581336986296</v>
      </c>
      <c r="J13" s="63">
        <f>'SUMMARY-CP'!G45</f>
        <v>2264.6691616438352</v>
      </c>
      <c r="K13" s="63">
        <f>'SUMMARY-CP'!H45</f>
        <v>2340.1581336986296</v>
      </c>
      <c r="L13" s="63">
        <f>'SUMMARY-CP'!I45</f>
        <v>2264.6691616438352</v>
      </c>
      <c r="M13" s="63">
        <f>'SUMMARY-CP'!J45</f>
        <v>2340.1581336986296</v>
      </c>
      <c r="N13" s="116">
        <f t="shared" si="2"/>
        <v>16154.640019726023</v>
      </c>
      <c r="P13" s="117"/>
    </row>
    <row r="14" spans="1:16" s="114" customFormat="1" ht="17.25" customHeight="1" x14ac:dyDescent="0.25">
      <c r="A14" s="115" t="s">
        <v>439</v>
      </c>
      <c r="B14" s="63">
        <f>[62]NPK!D19</f>
        <v>2522.4708493150683</v>
      </c>
      <c r="C14" s="63">
        <v>2522</v>
      </c>
      <c r="D14" s="63">
        <v>2522.4708493150683</v>
      </c>
      <c r="E14" s="63">
        <f>'[62]SUMMARY-MFG'!D46</f>
        <v>2522.4708493150683</v>
      </c>
      <c r="F14" s="63">
        <f>'[62]SUMMARY-MFG'!E46</f>
        <v>2441.1008219178079</v>
      </c>
      <c r="G14" s="63">
        <f>'SUMMARY-CP'!D46</f>
        <v>2441.1008219178079</v>
      </c>
      <c r="H14" s="63">
        <f>'SUMMARY-CP'!E46</f>
        <v>2522.4708493150683</v>
      </c>
      <c r="I14" s="63">
        <f>'SUMMARY-CP'!F46</f>
        <v>2522.4708493150683</v>
      </c>
      <c r="J14" s="63">
        <f>'SUMMARY-CP'!G46</f>
        <v>2441.1008219178079</v>
      </c>
      <c r="K14" s="63">
        <f>'SUMMARY-CP'!H46</f>
        <v>2522.4708493150683</v>
      </c>
      <c r="L14" s="63">
        <f>'SUMMARY-CP'!I46</f>
        <v>2441.1008219178079</v>
      </c>
      <c r="M14" s="63">
        <f>'SUMMARY-CP'!J46</f>
        <v>2522.4708493150683</v>
      </c>
      <c r="N14" s="116">
        <f t="shared" si="2"/>
        <v>17413.185863013696</v>
      </c>
      <c r="P14" s="117"/>
    </row>
    <row r="15" spans="1:16" ht="15.75" customHeight="1" x14ac:dyDescent="0.3">
      <c r="A15" s="80" t="s">
        <v>440</v>
      </c>
      <c r="B15" s="118">
        <f t="shared" ref="B15:M15" si="3">SUM(B10:B14)</f>
        <v>71273.837978904106</v>
      </c>
      <c r="C15" s="118">
        <f t="shared" si="3"/>
        <v>64846</v>
      </c>
      <c r="D15" s="118">
        <f t="shared" si="3"/>
        <v>71273.837978904106</v>
      </c>
      <c r="E15" s="118">
        <f t="shared" si="3"/>
        <v>69131.540914520549</v>
      </c>
      <c r="F15" s="118">
        <f t="shared" si="3"/>
        <v>71116.978979452047</v>
      </c>
      <c r="G15" s="118">
        <f t="shared" si="3"/>
        <v>68974.68191506849</v>
      </c>
      <c r="H15" s="118">
        <f t="shared" si="3"/>
        <v>71273.837978904106</v>
      </c>
      <c r="I15" s="118">
        <f t="shared" si="3"/>
        <v>71273.837978904106</v>
      </c>
      <c r="J15" s="118">
        <f t="shared" si="3"/>
        <v>68974.68191506849</v>
      </c>
      <c r="K15" s="118">
        <f t="shared" si="3"/>
        <v>71273.837978904106</v>
      </c>
      <c r="L15" s="118">
        <f t="shared" si="3"/>
        <v>68974.68191506849</v>
      </c>
      <c r="M15" s="118">
        <f t="shared" si="3"/>
        <v>71273.837978904106</v>
      </c>
      <c r="N15" s="118">
        <f>SUM(G15:M15)</f>
        <v>492019.39766082191</v>
      </c>
    </row>
    <row r="17" spans="1:14" s="114" customFormat="1" ht="22.8" x14ac:dyDescent="0.25">
      <c r="A17" s="111" t="s">
        <v>442</v>
      </c>
      <c r="B17" s="112">
        <v>46028</v>
      </c>
      <c r="C17" s="112">
        <v>46060</v>
      </c>
      <c r="D17" s="112">
        <v>46092</v>
      </c>
      <c r="E17" s="112">
        <v>46124</v>
      </c>
      <c r="F17" s="112">
        <v>46156</v>
      </c>
      <c r="G17" s="112">
        <v>46188</v>
      </c>
      <c r="H17" s="112">
        <v>46220</v>
      </c>
      <c r="I17" s="112">
        <v>46252</v>
      </c>
      <c r="J17" s="112">
        <v>46284</v>
      </c>
      <c r="K17" s="112">
        <v>46316</v>
      </c>
      <c r="L17" s="112">
        <v>46348</v>
      </c>
      <c r="M17" s="112">
        <v>46380</v>
      </c>
      <c r="N17" s="113" t="s">
        <v>450</v>
      </c>
    </row>
    <row r="18" spans="1:14" s="114" customFormat="1" ht="17.25" customHeight="1" x14ac:dyDescent="0.25">
      <c r="A18" s="115" t="s">
        <v>435</v>
      </c>
      <c r="B18" s="120">
        <f t="shared" ref="B18:M22" si="4">B2/1000</f>
        <v>51.351295</v>
      </c>
      <c r="C18" s="120">
        <f t="shared" si="4"/>
        <v>47.292999999999999</v>
      </c>
      <c r="D18" s="120">
        <f t="shared" si="4"/>
        <v>51.848999999999997</v>
      </c>
      <c r="E18" s="120">
        <f t="shared" si="4"/>
        <v>52.534999999999997</v>
      </c>
      <c r="F18" s="120">
        <f t="shared" si="4"/>
        <v>52.484999999999999</v>
      </c>
      <c r="G18" s="120">
        <f t="shared" si="4"/>
        <v>49.831249999999997</v>
      </c>
      <c r="H18" s="120">
        <f t="shared" si="4"/>
        <v>49.02675</v>
      </c>
      <c r="I18" s="120">
        <f t="shared" si="4"/>
        <v>47.313749999999999</v>
      </c>
      <c r="J18" s="120">
        <f t="shared" si="4"/>
        <v>44.617750000000001</v>
      </c>
      <c r="K18" s="120">
        <f t="shared" si="4"/>
        <v>44.183500000000002</v>
      </c>
      <c r="L18" s="120">
        <f t="shared" si="4"/>
        <v>41.776499999999999</v>
      </c>
      <c r="M18" s="120">
        <f t="shared" si="4"/>
        <v>24.975000000000001</v>
      </c>
      <c r="N18" s="116">
        <f>SUM(G18:M18)</f>
        <v>301.72450000000003</v>
      </c>
    </row>
    <row r="19" spans="1:14" s="114" customFormat="1" ht="17.25" customHeight="1" x14ac:dyDescent="0.25">
      <c r="A19" s="115" t="s">
        <v>436</v>
      </c>
      <c r="B19" s="120">
        <f t="shared" si="4"/>
        <v>7.5192200000000025</v>
      </c>
      <c r="C19" s="120">
        <f t="shared" si="4"/>
        <v>8.1530000000000005</v>
      </c>
      <c r="D19" s="120">
        <f t="shared" si="4"/>
        <v>9.0280000000000005</v>
      </c>
      <c r="E19" s="120">
        <f t="shared" si="4"/>
        <v>8.9469999999999992</v>
      </c>
      <c r="F19" s="120">
        <f t="shared" si="4"/>
        <v>9.1289999999999996</v>
      </c>
      <c r="G19" s="120">
        <f t="shared" si="4"/>
        <v>8.4749999999999996</v>
      </c>
      <c r="H19" s="120">
        <f t="shared" si="4"/>
        <v>6.7925000000000004</v>
      </c>
      <c r="I19" s="120">
        <f t="shared" si="4"/>
        <v>8.1440000000000001</v>
      </c>
      <c r="J19" s="120">
        <f t="shared" si="4"/>
        <v>6.54</v>
      </c>
      <c r="K19" s="120">
        <f t="shared" si="4"/>
        <v>7.6349999999999998</v>
      </c>
      <c r="L19" s="120">
        <f t="shared" si="4"/>
        <v>6.55</v>
      </c>
      <c r="M19" s="120">
        <f t="shared" si="4"/>
        <v>5.7560000000000002</v>
      </c>
      <c r="N19" s="116">
        <f t="shared" ref="N19:N25" si="5">SUM(G19:M19)</f>
        <v>49.892499999999998</v>
      </c>
    </row>
    <row r="20" spans="1:14" s="114" customFormat="1" ht="17.25" customHeight="1" x14ac:dyDescent="0.25">
      <c r="A20" s="115" t="s">
        <v>437</v>
      </c>
      <c r="B20" s="120">
        <f t="shared" si="4"/>
        <v>4.9450099999999999</v>
      </c>
      <c r="C20" s="120">
        <f t="shared" si="4"/>
        <v>5.1589999999999998</v>
      </c>
      <c r="D20" s="120">
        <f t="shared" si="4"/>
        <v>5.7</v>
      </c>
      <c r="E20" s="120">
        <f t="shared" si="4"/>
        <v>5.6859999999999999</v>
      </c>
      <c r="F20" s="120">
        <f t="shared" si="4"/>
        <v>5.63</v>
      </c>
      <c r="G20" s="120">
        <f t="shared" si="4"/>
        <v>5.4279999999999999</v>
      </c>
      <c r="H20" s="120">
        <f t="shared" si="4"/>
        <v>5.5430000000000001</v>
      </c>
      <c r="I20" s="120">
        <f t="shared" si="4"/>
        <v>5.5380000000000003</v>
      </c>
      <c r="J20" s="120">
        <f t="shared" si="4"/>
        <v>5.6139999999999999</v>
      </c>
      <c r="K20" s="120">
        <f t="shared" si="4"/>
        <v>5.5419999999999998</v>
      </c>
      <c r="L20" s="120">
        <f t="shared" si="4"/>
        <v>4.7850000000000001</v>
      </c>
      <c r="M20" s="120">
        <f t="shared" si="4"/>
        <v>4.7649999999999997</v>
      </c>
      <c r="N20" s="116">
        <f t="shared" si="5"/>
        <v>37.215000000000003</v>
      </c>
    </row>
    <row r="21" spans="1:14" s="114" customFormat="1" ht="17.25" customHeight="1" x14ac:dyDescent="0.25">
      <c r="A21" s="115" t="s">
        <v>438</v>
      </c>
      <c r="B21" s="120">
        <f t="shared" si="4"/>
        <v>2.7650199999999998</v>
      </c>
      <c r="C21" s="120">
        <f t="shared" si="4"/>
        <v>2.2000000000000002</v>
      </c>
      <c r="D21" s="120">
        <f t="shared" si="4"/>
        <v>1.6</v>
      </c>
      <c r="E21" s="120">
        <f t="shared" si="4"/>
        <v>1.6</v>
      </c>
      <c r="F21" s="120">
        <f t="shared" si="4"/>
        <v>1.5</v>
      </c>
      <c r="G21" s="120">
        <f t="shared" si="4"/>
        <v>1.8</v>
      </c>
      <c r="H21" s="120">
        <f t="shared" si="4"/>
        <v>1.6</v>
      </c>
      <c r="I21" s="120">
        <f t="shared" si="4"/>
        <v>1.5</v>
      </c>
      <c r="J21" s="120">
        <f t="shared" si="4"/>
        <v>1.4</v>
      </c>
      <c r="K21" s="120">
        <f t="shared" si="4"/>
        <v>1.3</v>
      </c>
      <c r="L21" s="120">
        <f t="shared" si="4"/>
        <v>1.2</v>
      </c>
      <c r="M21" s="120">
        <f t="shared" si="4"/>
        <v>1.1000000000000001</v>
      </c>
      <c r="N21" s="116">
        <f t="shared" si="5"/>
        <v>9.9</v>
      </c>
    </row>
    <row r="22" spans="1:14" s="114" customFormat="1" ht="16.95" customHeight="1" x14ac:dyDescent="0.25">
      <c r="A22" s="115" t="s">
        <v>439</v>
      </c>
      <c r="B22" s="120">
        <f t="shared" si="4"/>
        <v>4.0209999999999999</v>
      </c>
      <c r="C22" s="120">
        <f t="shared" si="4"/>
        <v>2.5219999999999998</v>
      </c>
      <c r="D22" s="120">
        <f t="shared" si="4"/>
        <v>2.2000000000000002</v>
      </c>
      <c r="E22" s="120">
        <f t="shared" si="4"/>
        <v>1.3</v>
      </c>
      <c r="F22" s="120">
        <f t="shared" si="4"/>
        <v>1.3</v>
      </c>
      <c r="G22" s="120">
        <f t="shared" si="4"/>
        <v>1.3</v>
      </c>
      <c r="H22" s="120">
        <f t="shared" si="4"/>
        <v>1.3</v>
      </c>
      <c r="I22" s="120">
        <f t="shared" si="4"/>
        <v>1.2</v>
      </c>
      <c r="J22" s="120">
        <f t="shared" si="4"/>
        <v>1</v>
      </c>
      <c r="K22" s="120">
        <f t="shared" si="4"/>
        <v>1</v>
      </c>
      <c r="L22" s="120">
        <f t="shared" si="4"/>
        <v>0.89</v>
      </c>
      <c r="M22" s="120">
        <f t="shared" si="4"/>
        <v>0.8</v>
      </c>
      <c r="N22" s="116">
        <f t="shared" si="5"/>
        <v>7.4899999999999993</v>
      </c>
    </row>
    <row r="23" spans="1:14" s="114" customFormat="1" ht="16.95" customHeight="1" x14ac:dyDescent="0.25">
      <c r="A23" s="115" t="s">
        <v>443</v>
      </c>
      <c r="B23" s="120">
        <v>0</v>
      </c>
      <c r="C23" s="120">
        <v>0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>
        <v>6</v>
      </c>
      <c r="L23" s="120">
        <v>11</v>
      </c>
      <c r="M23" s="120">
        <v>27</v>
      </c>
      <c r="N23" s="116">
        <f t="shared" si="5"/>
        <v>44</v>
      </c>
    </row>
    <row r="24" spans="1:14" s="114" customFormat="1" ht="17.25" customHeight="1" x14ac:dyDescent="0.25">
      <c r="A24" s="115" t="s">
        <v>444</v>
      </c>
      <c r="B24" s="120">
        <v>10.9</v>
      </c>
      <c r="C24" s="120">
        <v>4.0999999999999996</v>
      </c>
      <c r="D24" s="120">
        <v>5.4</v>
      </c>
      <c r="E24" s="120">
        <f>'[62]SUMMARY-MFG'!D51</f>
        <v>10.646000000000001</v>
      </c>
      <c r="F24" s="120">
        <f>'[62]SUMMARY-MFG'!E51</f>
        <v>8.49</v>
      </c>
      <c r="G24" s="120">
        <f>'SUMMARY-CP'!D51</f>
        <v>15.265499999999999</v>
      </c>
      <c r="H24" s="120">
        <f>'SUMMARY-CP'!E51</f>
        <v>15.5025</v>
      </c>
      <c r="I24" s="120">
        <f>'SUMMARY-CP'!F51</f>
        <v>15.5905</v>
      </c>
      <c r="J24" s="120">
        <f>'SUMMARY-CP'!G51</f>
        <v>16.8535</v>
      </c>
      <c r="K24" s="120">
        <f>'SUMMARY-CP'!H51</f>
        <v>21.3095</v>
      </c>
      <c r="L24" s="120">
        <f>'SUMMARY-CP'!I51</f>
        <v>22.240500000000001</v>
      </c>
      <c r="M24" s="120">
        <f>'SUMMARY-CP'!J51</f>
        <v>10.726000000000001</v>
      </c>
      <c r="N24" s="116">
        <f>SUM(G24:M24)</f>
        <v>117.488</v>
      </c>
    </row>
    <row r="25" spans="1:14" s="114" customFormat="1" ht="17.25" customHeight="1" x14ac:dyDescent="0.25">
      <c r="A25" s="115" t="s">
        <v>445</v>
      </c>
      <c r="B25" s="120">
        <v>7.1395800000000005</v>
      </c>
      <c r="C25" s="120">
        <v>13.3</v>
      </c>
      <c r="D25" s="120">
        <f>'[62]SUMMARY-MFG'!D53</f>
        <v>11.57</v>
      </c>
      <c r="E25" s="120">
        <f>'[62]SUMMARY-MFG'!D53</f>
        <v>11.57</v>
      </c>
      <c r="F25" s="120">
        <f>'[62]SUMMARY-MFG'!E53</f>
        <v>11.779</v>
      </c>
      <c r="G25" s="120">
        <f>'SUMMARY-CP'!D53</f>
        <v>6.9755000000000003</v>
      </c>
      <c r="H25" s="120">
        <f>'SUMMARY-CP'!E53</f>
        <v>7.5164999999999997</v>
      </c>
      <c r="I25" s="120">
        <f>'SUMMARY-CP'!F53</f>
        <v>4.7889999999999997</v>
      </c>
      <c r="J25" s="120">
        <f>'SUMMARY-CP'!G53</f>
        <v>3.879</v>
      </c>
      <c r="K25" s="120">
        <f>'SUMMARY-CP'!H53</f>
        <v>4.0279999999999996</v>
      </c>
      <c r="L25" s="120">
        <f>'SUMMARY-CP'!I53</f>
        <v>2.9849999999999999</v>
      </c>
      <c r="M25" s="120">
        <f>'SUMMARY-CP'!J53</f>
        <v>2.91</v>
      </c>
      <c r="N25" s="116">
        <f t="shared" si="5"/>
        <v>33.082999999999998</v>
      </c>
    </row>
    <row r="26" spans="1:14" ht="15.75" customHeight="1" x14ac:dyDescent="0.3">
      <c r="A26" s="115" t="s">
        <v>446</v>
      </c>
      <c r="B26" s="121">
        <f>SUM(B18:B22)</f>
        <v>70.601545000000002</v>
      </c>
      <c r="C26" s="121">
        <f t="shared" ref="C26:M26" si="6">SUM(C18:C22)</f>
        <v>65.326999999999998</v>
      </c>
      <c r="D26" s="121">
        <f t="shared" si="6"/>
        <v>70.376999999999995</v>
      </c>
      <c r="E26" s="121">
        <f t="shared" si="6"/>
        <v>70.067999999999998</v>
      </c>
      <c r="F26" s="121">
        <f t="shared" si="6"/>
        <v>70.043999999999997</v>
      </c>
      <c r="G26" s="121">
        <f t="shared" si="6"/>
        <v>66.834249999999997</v>
      </c>
      <c r="H26" s="121">
        <f t="shared" si="6"/>
        <v>64.262249999999995</v>
      </c>
      <c r="I26" s="121">
        <f t="shared" si="6"/>
        <v>63.695750000000004</v>
      </c>
      <c r="J26" s="121">
        <f t="shared" si="6"/>
        <v>59.171749999999996</v>
      </c>
      <c r="K26" s="121">
        <f t="shared" si="6"/>
        <v>59.660499999999999</v>
      </c>
      <c r="L26" s="121">
        <f t="shared" si="6"/>
        <v>55.201499999999996</v>
      </c>
      <c r="M26" s="121">
        <f t="shared" si="6"/>
        <v>37.396000000000001</v>
      </c>
      <c r="N26" s="118">
        <f>SUM(G26:M26)</f>
        <v>406.22200000000004</v>
      </c>
    </row>
    <row r="27" spans="1:14" ht="15.75" customHeight="1" x14ac:dyDescent="0.3">
      <c r="A27" s="115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4"/>
    </row>
    <row r="29" spans="1:14" s="114" customFormat="1" ht="22.8" x14ac:dyDescent="0.25">
      <c r="A29" s="111" t="s">
        <v>447</v>
      </c>
      <c r="B29" s="112">
        <v>46028</v>
      </c>
      <c r="C29" s="112">
        <v>46060</v>
      </c>
      <c r="D29" s="112">
        <v>46092</v>
      </c>
      <c r="E29" s="112">
        <v>46124</v>
      </c>
      <c r="F29" s="112">
        <v>46156</v>
      </c>
      <c r="G29" s="112">
        <v>46188</v>
      </c>
      <c r="H29" s="112">
        <v>46220</v>
      </c>
      <c r="I29" s="112">
        <v>46252</v>
      </c>
      <c r="J29" s="112">
        <v>46284</v>
      </c>
      <c r="K29" s="112">
        <v>46316</v>
      </c>
      <c r="L29" s="112">
        <v>46348</v>
      </c>
      <c r="M29" s="112">
        <v>46380</v>
      </c>
      <c r="N29" s="113" t="s">
        <v>450</v>
      </c>
    </row>
    <row r="30" spans="1:14" s="114" customFormat="1" ht="17.25" customHeight="1" x14ac:dyDescent="0.25">
      <c r="A30" s="125" t="s">
        <v>435</v>
      </c>
      <c r="B30" s="120">
        <f t="shared" ref="B30:M34" si="7">B10/1000</f>
        <v>51.778144931506851</v>
      </c>
      <c r="C30" s="120">
        <f t="shared" si="7"/>
        <v>46.767000000000003</v>
      </c>
      <c r="D30" s="120">
        <f t="shared" si="7"/>
        <v>51.778144931506851</v>
      </c>
      <c r="E30" s="120">
        <f t="shared" si="7"/>
        <v>50.107882191780824</v>
      </c>
      <c r="F30" s="120">
        <f t="shared" si="7"/>
        <v>51.778144931506851</v>
      </c>
      <c r="G30" s="120">
        <f t="shared" si="7"/>
        <v>50.107882191780824</v>
      </c>
      <c r="H30" s="120">
        <f t="shared" si="7"/>
        <v>51.778144931506851</v>
      </c>
      <c r="I30" s="120">
        <f t="shared" si="7"/>
        <v>51.778144931506851</v>
      </c>
      <c r="J30" s="120">
        <f t="shared" si="7"/>
        <v>50.107882191780824</v>
      </c>
      <c r="K30" s="120">
        <f t="shared" si="7"/>
        <v>51.778144931506851</v>
      </c>
      <c r="L30" s="120">
        <f t="shared" si="7"/>
        <v>50.107882191780824</v>
      </c>
      <c r="M30" s="120">
        <f t="shared" si="7"/>
        <v>51.778144931506851</v>
      </c>
      <c r="N30" s="116">
        <f>SUM(G30:M30)</f>
        <v>357.43622630136991</v>
      </c>
    </row>
    <row r="31" spans="1:14" s="114" customFormat="1" ht="17.25" customHeight="1" x14ac:dyDescent="0.25">
      <c r="A31" s="125" t="s">
        <v>436</v>
      </c>
      <c r="B31" s="120">
        <f t="shared" si="7"/>
        <v>9.0287311876712337</v>
      </c>
      <c r="C31" s="120">
        <f t="shared" si="7"/>
        <v>8.1549999999999994</v>
      </c>
      <c r="D31" s="120">
        <f t="shared" si="7"/>
        <v>9.0287311876712337</v>
      </c>
      <c r="E31" s="120">
        <f t="shared" si="7"/>
        <v>8.7374817945205479</v>
      </c>
      <c r="F31" s="120">
        <f t="shared" si="7"/>
        <v>9.0287311876712337</v>
      </c>
      <c r="G31" s="120">
        <f t="shared" si="7"/>
        <v>8.7374817945205479</v>
      </c>
      <c r="H31" s="120">
        <f t="shared" si="7"/>
        <v>9.0287311876712337</v>
      </c>
      <c r="I31" s="120">
        <f t="shared" si="7"/>
        <v>9.0287311876712337</v>
      </c>
      <c r="J31" s="120">
        <f t="shared" si="7"/>
        <v>8.7374817945205479</v>
      </c>
      <c r="K31" s="120">
        <f t="shared" si="7"/>
        <v>9.0287311876712337</v>
      </c>
      <c r="L31" s="120">
        <f t="shared" si="7"/>
        <v>8.7374817945205479</v>
      </c>
      <c r="M31" s="120">
        <f t="shared" si="7"/>
        <v>9.0287311876712337</v>
      </c>
      <c r="N31" s="116">
        <f t="shared" ref="N31:N35" si="8">SUM(G31:M31)</f>
        <v>62.327370134246578</v>
      </c>
    </row>
    <row r="32" spans="1:14" s="114" customFormat="1" ht="17.25" customHeight="1" x14ac:dyDescent="0.25">
      <c r="A32" s="125" t="s">
        <v>437</v>
      </c>
      <c r="B32" s="120">
        <f t="shared" si="7"/>
        <v>5.6043328767123262</v>
      </c>
      <c r="C32" s="120">
        <f t="shared" si="7"/>
        <v>5.0620000000000003</v>
      </c>
      <c r="D32" s="120">
        <f t="shared" si="7"/>
        <v>5.6043328767123262</v>
      </c>
      <c r="E32" s="120">
        <f t="shared" si="7"/>
        <v>5.4235479452054758</v>
      </c>
      <c r="F32" s="120">
        <f t="shared" si="7"/>
        <v>5.6043328767123262</v>
      </c>
      <c r="G32" s="120">
        <f t="shared" si="7"/>
        <v>5.4235479452054758</v>
      </c>
      <c r="H32" s="120">
        <f t="shared" si="7"/>
        <v>5.6043328767123262</v>
      </c>
      <c r="I32" s="120">
        <f t="shared" si="7"/>
        <v>5.6043328767123262</v>
      </c>
      <c r="J32" s="120">
        <f t="shared" si="7"/>
        <v>5.4235479452054758</v>
      </c>
      <c r="K32" s="120">
        <f t="shared" si="7"/>
        <v>5.6043328767123262</v>
      </c>
      <c r="L32" s="120">
        <f t="shared" si="7"/>
        <v>5.4235479452054758</v>
      </c>
      <c r="M32" s="120">
        <f t="shared" si="7"/>
        <v>5.6043328767123262</v>
      </c>
      <c r="N32" s="116">
        <f t="shared" si="8"/>
        <v>38.687975342465734</v>
      </c>
    </row>
    <row r="33" spans="1:14" s="114" customFormat="1" ht="17.25" customHeight="1" x14ac:dyDescent="0.25">
      <c r="A33" s="125" t="s">
        <v>438</v>
      </c>
      <c r="B33" s="120">
        <f t="shared" si="7"/>
        <v>2.3401581336986297</v>
      </c>
      <c r="C33" s="120">
        <f t="shared" si="7"/>
        <v>2.34</v>
      </c>
      <c r="D33" s="120">
        <f t="shared" si="7"/>
        <v>2.3401581336986297</v>
      </c>
      <c r="E33" s="120">
        <f t="shared" si="7"/>
        <v>2.3401581336986297</v>
      </c>
      <c r="F33" s="120">
        <f t="shared" si="7"/>
        <v>2.2646691616438352</v>
      </c>
      <c r="G33" s="120">
        <f t="shared" si="7"/>
        <v>2.2646691616438352</v>
      </c>
      <c r="H33" s="120">
        <f t="shared" si="7"/>
        <v>2.3401581336986297</v>
      </c>
      <c r="I33" s="120">
        <f t="shared" si="7"/>
        <v>2.3401581336986297</v>
      </c>
      <c r="J33" s="120">
        <f t="shared" si="7"/>
        <v>2.2646691616438352</v>
      </c>
      <c r="K33" s="120">
        <f t="shared" si="7"/>
        <v>2.3401581336986297</v>
      </c>
      <c r="L33" s="120">
        <f t="shared" si="7"/>
        <v>2.2646691616438352</v>
      </c>
      <c r="M33" s="120">
        <f t="shared" si="7"/>
        <v>2.3401581336986297</v>
      </c>
      <c r="N33" s="116">
        <f t="shared" si="8"/>
        <v>16.154640019726024</v>
      </c>
    </row>
    <row r="34" spans="1:14" s="114" customFormat="1" ht="17.25" customHeight="1" x14ac:dyDescent="0.25">
      <c r="A34" s="125" t="s">
        <v>439</v>
      </c>
      <c r="B34" s="120">
        <f t="shared" si="7"/>
        <v>2.5224708493150683</v>
      </c>
      <c r="C34" s="120">
        <f t="shared" si="7"/>
        <v>2.5219999999999998</v>
      </c>
      <c r="D34" s="120">
        <f t="shared" si="7"/>
        <v>2.5224708493150683</v>
      </c>
      <c r="E34" s="120">
        <f t="shared" si="7"/>
        <v>2.5224708493150683</v>
      </c>
      <c r="F34" s="120">
        <f t="shared" si="7"/>
        <v>2.4411008219178081</v>
      </c>
      <c r="G34" s="120">
        <f t="shared" si="7"/>
        <v>2.4411008219178081</v>
      </c>
      <c r="H34" s="120">
        <f t="shared" si="7"/>
        <v>2.5224708493150683</v>
      </c>
      <c r="I34" s="120">
        <f t="shared" si="7"/>
        <v>2.5224708493150683</v>
      </c>
      <c r="J34" s="120">
        <f t="shared" si="7"/>
        <v>2.4411008219178081</v>
      </c>
      <c r="K34" s="120">
        <f t="shared" si="7"/>
        <v>2.5224708493150683</v>
      </c>
      <c r="L34" s="120">
        <f t="shared" si="7"/>
        <v>2.4411008219178081</v>
      </c>
      <c r="M34" s="120">
        <f t="shared" si="7"/>
        <v>2.5224708493150683</v>
      </c>
      <c r="N34" s="116">
        <f t="shared" si="8"/>
        <v>17.413185863013695</v>
      </c>
    </row>
    <row r="35" spans="1:14" ht="15.75" customHeight="1" x14ac:dyDescent="0.3">
      <c r="A35" s="125" t="s">
        <v>446</v>
      </c>
      <c r="B35" s="118">
        <f t="shared" ref="B35:M35" si="9">SUM(B30:B34)</f>
        <v>71.273837978904098</v>
      </c>
      <c r="C35" s="118">
        <f t="shared" si="9"/>
        <v>64.846000000000004</v>
      </c>
      <c r="D35" s="118">
        <f t="shared" si="9"/>
        <v>71.273837978904098</v>
      </c>
      <c r="E35" s="118">
        <f t="shared" si="9"/>
        <v>69.131540914520556</v>
      </c>
      <c r="F35" s="118">
        <f t="shared" si="9"/>
        <v>71.116978979452057</v>
      </c>
      <c r="G35" s="118">
        <f t="shared" si="9"/>
        <v>68.974681915068501</v>
      </c>
      <c r="H35" s="118">
        <f t="shared" si="9"/>
        <v>71.273837978904098</v>
      </c>
      <c r="I35" s="118">
        <f t="shared" si="9"/>
        <v>71.273837978904098</v>
      </c>
      <c r="J35" s="118">
        <f t="shared" si="9"/>
        <v>68.974681915068501</v>
      </c>
      <c r="K35" s="118">
        <f t="shared" si="9"/>
        <v>71.273837978904098</v>
      </c>
      <c r="L35" s="118">
        <f t="shared" si="9"/>
        <v>68.974681915068501</v>
      </c>
      <c r="M35" s="118">
        <f t="shared" si="9"/>
        <v>71.273837978904098</v>
      </c>
      <c r="N35" s="118">
        <f t="shared" si="8"/>
        <v>492.01939766082194</v>
      </c>
    </row>
    <row r="36" spans="1:14" ht="18" customHeight="1" x14ac:dyDescent="0.3">
      <c r="A36" s="126" t="s">
        <v>448</v>
      </c>
      <c r="B36" s="127">
        <f t="shared" ref="B36:N36" si="10">B26/B35</f>
        <v>0.99056746489359693</v>
      </c>
      <c r="C36" s="127">
        <f t="shared" si="10"/>
        <v>1.007417573944422</v>
      </c>
      <c r="D36" s="127">
        <f t="shared" si="10"/>
        <v>0.98741701016339889</v>
      </c>
      <c r="E36" s="127">
        <f t="shared" si="10"/>
        <v>1.013546046755089</v>
      </c>
      <c r="F36" s="127">
        <f t="shared" si="10"/>
        <v>0.98491247807697124</v>
      </c>
      <c r="G36" s="127">
        <f t="shared" si="10"/>
        <v>0.96896786102320687</v>
      </c>
      <c r="H36" s="127">
        <f t="shared" si="10"/>
        <v>0.90162466091724403</v>
      </c>
      <c r="I36" s="127">
        <f t="shared" si="10"/>
        <v>0.89367644294464565</v>
      </c>
      <c r="J36" s="127">
        <f t="shared" si="10"/>
        <v>0.85787637372305281</v>
      </c>
      <c r="K36" s="127">
        <f t="shared" si="10"/>
        <v>0.83706029718307773</v>
      </c>
      <c r="L36" s="127">
        <f t="shared" si="10"/>
        <v>0.8003153978726858</v>
      </c>
      <c r="M36" s="127">
        <f t="shared" si="10"/>
        <v>0.52468059894667962</v>
      </c>
      <c r="N36" s="127">
        <f t="shared" si="10"/>
        <v>0.82562192045938987</v>
      </c>
    </row>
    <row r="37" spans="1:14" x14ac:dyDescent="0.3"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</row>
    <row r="38" spans="1:14" x14ac:dyDescent="0.3">
      <c r="B38" s="131"/>
      <c r="C38" s="131"/>
      <c r="D38" s="128"/>
      <c r="E38" s="128"/>
      <c r="F38" s="128"/>
      <c r="G38" s="128"/>
      <c r="H38" s="128"/>
      <c r="I38" s="128"/>
      <c r="J38" s="128"/>
      <c r="K38" s="128"/>
      <c r="L38" s="128"/>
      <c r="M38" s="128"/>
    </row>
    <row r="39" spans="1:14" ht="21" customHeight="1" x14ac:dyDescent="0.3"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</row>
    <row r="54" spans="1:4" x14ac:dyDescent="0.3">
      <c r="A54" s="119" t="s">
        <v>447</v>
      </c>
      <c r="B54" s="119">
        <f>N15/1000</f>
        <v>492.01939766082194</v>
      </c>
      <c r="C54" s="119" t="s">
        <v>449</v>
      </c>
      <c r="D54" s="119" t="s">
        <v>447</v>
      </c>
    </row>
    <row r="55" spans="1:4" x14ac:dyDescent="0.3">
      <c r="A55" s="119" t="s">
        <v>442</v>
      </c>
      <c r="B55" s="129">
        <f>N7/1000</f>
        <v>406.22199999999998</v>
      </c>
      <c r="C55" s="129">
        <v>0.89</v>
      </c>
      <c r="D55" s="130">
        <v>0.11</v>
      </c>
    </row>
  </sheetData>
  <conditionalFormatting sqref="B36:N36">
    <cfRule type="cellIs" dxfId="182" priority="1" operator="lessThan">
      <formula>0.5</formula>
    </cfRule>
    <cfRule type="cellIs" dxfId="181" priority="2" operator="between">
      <formula>0.5</formula>
      <formula>0.75</formula>
    </cfRule>
    <cfRule type="cellIs" dxfId="180" priority="3" operator="greaterThan">
      <formula>0.75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8346-4B67-49A8-AF15-9D052371571E}">
  <dimension ref="A1:P58"/>
  <sheetViews>
    <sheetView showGridLines="0" zoomScale="85" zoomScaleNormal="85" workbookViewId="0">
      <selection activeCell="F23" sqref="F23:H23"/>
    </sheetView>
  </sheetViews>
  <sheetFormatPr defaultColWidth="9.109375" defaultRowHeight="13.8" x14ac:dyDescent="0.3"/>
  <cols>
    <col min="1" max="1" width="25.5546875" style="119" bestFit="1" customWidth="1"/>
    <col min="2" max="2" width="10.88671875" style="119" customWidth="1"/>
    <col min="3" max="11" width="10.88671875" style="119" bestFit="1" customWidth="1"/>
    <col min="12" max="13" width="10.88671875" style="119" customWidth="1"/>
    <col min="14" max="14" width="20.44140625" style="119" customWidth="1"/>
    <col min="15" max="16384" width="9.109375" style="119"/>
  </cols>
  <sheetData>
    <row r="1" spans="1:16" s="114" customFormat="1" ht="22.8" x14ac:dyDescent="0.25">
      <c r="A1" s="111" t="s">
        <v>434</v>
      </c>
      <c r="B1" s="112">
        <v>46174</v>
      </c>
      <c r="C1" s="112">
        <v>46204</v>
      </c>
      <c r="D1" s="112">
        <v>46235</v>
      </c>
      <c r="E1" s="112">
        <v>46266</v>
      </c>
      <c r="F1" s="112">
        <v>46296</v>
      </c>
      <c r="G1" s="112">
        <v>46327</v>
      </c>
      <c r="H1" s="112">
        <v>46357</v>
      </c>
      <c r="I1" s="112">
        <v>46388</v>
      </c>
      <c r="J1" s="112">
        <v>46419</v>
      </c>
      <c r="K1" s="112">
        <v>46447</v>
      </c>
      <c r="L1" s="112">
        <v>46478</v>
      </c>
      <c r="M1" s="112">
        <v>46508</v>
      </c>
      <c r="N1" s="113" t="s">
        <v>532</v>
      </c>
    </row>
    <row r="2" spans="1:16" s="114" customFormat="1" ht="17.25" customHeight="1" x14ac:dyDescent="0.25">
      <c r="A2" s="115" t="s">
        <v>435</v>
      </c>
      <c r="B2" s="63">
        <f>'SUMMARY-CP'!D6</f>
        <v>49831.25</v>
      </c>
      <c r="C2" s="63">
        <f>'SUMMARY-CP'!E6</f>
        <v>49026.75</v>
      </c>
      <c r="D2" s="63">
        <f>'SUMMARY-CP'!F6</f>
        <v>47313.75</v>
      </c>
      <c r="E2" s="63">
        <f>'SUMMARY-CP'!G6</f>
        <v>44617.75</v>
      </c>
      <c r="F2" s="63">
        <f>'SUMMARY-CP'!H6</f>
        <v>44183.5</v>
      </c>
      <c r="G2" s="63">
        <f>'SUMMARY-CP'!I6</f>
        <v>41776.5</v>
      </c>
      <c r="H2" s="63">
        <f>'SUMMARY-CP'!J6</f>
        <v>24975</v>
      </c>
      <c r="I2" s="63">
        <f>'SUMMARY-CP'!K6</f>
        <v>20989</v>
      </c>
      <c r="J2" s="63">
        <f>'SUMMARY-CP'!L6</f>
        <v>9300</v>
      </c>
      <c r="K2" s="63">
        <f>'SUMMARY-CP'!M6</f>
        <v>6550</v>
      </c>
      <c r="L2" s="63">
        <f>'SUMMARY-CP'!N6</f>
        <v>4050</v>
      </c>
      <c r="M2" s="63">
        <f>'SUMMARY-CP'!O6</f>
        <v>4050</v>
      </c>
      <c r="N2" s="116">
        <f>SUM(B2:M2)</f>
        <v>346663.5</v>
      </c>
      <c r="O2" s="117"/>
    </row>
    <row r="3" spans="1:16" s="114" customFormat="1" ht="17.25" customHeight="1" x14ac:dyDescent="0.25">
      <c r="A3" s="115" t="s">
        <v>436</v>
      </c>
      <c r="B3" s="63">
        <f>'SUMMARY-CP'!D12</f>
        <v>8475</v>
      </c>
      <c r="C3" s="63">
        <f>'SUMMARY-CP'!E12</f>
        <v>6792.5</v>
      </c>
      <c r="D3" s="63">
        <f>'SUMMARY-CP'!F12</f>
        <v>8144</v>
      </c>
      <c r="E3" s="63">
        <f>'SUMMARY-CP'!G12</f>
        <v>6540</v>
      </c>
      <c r="F3" s="63">
        <f>'SUMMARY-CP'!H12</f>
        <v>7635</v>
      </c>
      <c r="G3" s="63">
        <f>'SUMMARY-CP'!I12</f>
        <v>6550</v>
      </c>
      <c r="H3" s="63">
        <f>'SUMMARY-CP'!J12</f>
        <v>5756</v>
      </c>
      <c r="I3" s="63">
        <f>'SUMMARY-CP'!K12</f>
        <v>4610</v>
      </c>
      <c r="J3" s="63">
        <f>'SUMMARY-CP'!L12</f>
        <v>3982</v>
      </c>
      <c r="K3" s="63">
        <f>'SUMMARY-CP'!M12</f>
        <v>2236</v>
      </c>
      <c r="L3" s="63">
        <f>'SUMMARY-CP'!N12</f>
        <v>3582</v>
      </c>
      <c r="M3" s="63">
        <f>'SUMMARY-CP'!O12</f>
        <v>4282</v>
      </c>
      <c r="N3" s="116">
        <f>SUM(B3:M3)</f>
        <v>68584.5</v>
      </c>
    </row>
    <row r="4" spans="1:16" s="114" customFormat="1" ht="17.25" customHeight="1" x14ac:dyDescent="0.25">
      <c r="A4" s="115" t="s">
        <v>437</v>
      </c>
      <c r="B4" s="63">
        <f>'SUMMARY-CP'!D20</f>
        <v>5428</v>
      </c>
      <c r="C4" s="63">
        <f>'SUMMARY-CP'!E20</f>
        <v>5543</v>
      </c>
      <c r="D4" s="63">
        <f>'SUMMARY-CP'!F20</f>
        <v>5538</v>
      </c>
      <c r="E4" s="63">
        <f>'SUMMARY-CP'!G20</f>
        <v>5614</v>
      </c>
      <c r="F4" s="63">
        <f>'SUMMARY-CP'!H20</f>
        <v>5542</v>
      </c>
      <c r="G4" s="63">
        <f>'SUMMARY-CP'!I20</f>
        <v>4785</v>
      </c>
      <c r="H4" s="63">
        <f>'SUMMARY-CP'!J20</f>
        <v>4765</v>
      </c>
      <c r="I4" s="63">
        <f>'SUMMARY-CP'!K20</f>
        <v>4160</v>
      </c>
      <c r="J4" s="63">
        <f>'SUMMARY-CP'!L20</f>
        <v>2540</v>
      </c>
      <c r="K4" s="63">
        <f>'SUMMARY-CP'!M20</f>
        <v>1620</v>
      </c>
      <c r="L4" s="63">
        <f>'SUMMARY-CP'!N20</f>
        <v>100</v>
      </c>
      <c r="M4" s="63">
        <f>'SUMMARY-CP'!O20</f>
        <v>100</v>
      </c>
      <c r="N4" s="116">
        <f t="shared" ref="N4:N6" si="0">SUM(B4:M4)</f>
        <v>45735</v>
      </c>
    </row>
    <row r="5" spans="1:16" s="114" customFormat="1" ht="17.25" customHeight="1" x14ac:dyDescent="0.25">
      <c r="A5" s="115" t="s">
        <v>438</v>
      </c>
      <c r="B5" s="63">
        <f>'SUMMARY-CP'!D22</f>
        <v>1800</v>
      </c>
      <c r="C5" s="63">
        <f>'SUMMARY-CP'!E22</f>
        <v>1600</v>
      </c>
      <c r="D5" s="63">
        <f>'SUMMARY-CP'!F22</f>
        <v>1500</v>
      </c>
      <c r="E5" s="63">
        <f>'SUMMARY-CP'!G22</f>
        <v>1400</v>
      </c>
      <c r="F5" s="63">
        <f>'SUMMARY-CP'!H22</f>
        <v>1300</v>
      </c>
      <c r="G5" s="63">
        <f>'SUMMARY-CP'!I22</f>
        <v>1200</v>
      </c>
      <c r="H5" s="63">
        <f>'SUMMARY-CP'!J22</f>
        <v>1100</v>
      </c>
      <c r="I5" s="63">
        <f>'SUMMARY-CP'!K22</f>
        <v>1100</v>
      </c>
      <c r="J5" s="63">
        <f>'SUMMARY-CP'!L22</f>
        <v>1100</v>
      </c>
      <c r="K5" s="63">
        <f>'SUMMARY-CP'!M22</f>
        <v>1176</v>
      </c>
      <c r="L5" s="63">
        <f>'SUMMARY-CP'!N22</f>
        <v>1000</v>
      </c>
      <c r="M5" s="63">
        <f>'SUMMARY-CP'!O22</f>
        <v>1000</v>
      </c>
      <c r="N5" s="116">
        <f t="shared" si="0"/>
        <v>15276</v>
      </c>
    </row>
    <row r="6" spans="1:16" s="114" customFormat="1" ht="17.25" customHeight="1" x14ac:dyDescent="0.25">
      <c r="A6" s="115" t="s">
        <v>439</v>
      </c>
      <c r="B6" s="63">
        <f>'SUMMARY-CP'!D23</f>
        <v>1300</v>
      </c>
      <c r="C6" s="63">
        <f>'SUMMARY-CP'!E23</f>
        <v>1300</v>
      </c>
      <c r="D6" s="63">
        <f>'SUMMARY-CP'!F23</f>
        <v>1200</v>
      </c>
      <c r="E6" s="63">
        <f>'SUMMARY-CP'!G23</f>
        <v>1000</v>
      </c>
      <c r="F6" s="63">
        <f>'SUMMARY-CP'!H23</f>
        <v>1000</v>
      </c>
      <c r="G6" s="63">
        <f>'SUMMARY-CP'!I23</f>
        <v>890</v>
      </c>
      <c r="H6" s="63">
        <f>'SUMMARY-CP'!J23</f>
        <v>800</v>
      </c>
      <c r="I6" s="63">
        <f>'SUMMARY-CP'!K23</f>
        <v>700</v>
      </c>
      <c r="J6" s="63">
        <f>'SUMMARY-CP'!L23</f>
        <v>600</v>
      </c>
      <c r="K6" s="63">
        <f>'SUMMARY-CP'!M23</f>
        <v>500</v>
      </c>
      <c r="L6" s="63">
        <f>'SUMMARY-CP'!N23</f>
        <v>500</v>
      </c>
      <c r="M6" s="63">
        <f>'SUMMARY-CP'!O23</f>
        <v>470</v>
      </c>
      <c r="N6" s="116">
        <f t="shared" si="0"/>
        <v>10260</v>
      </c>
    </row>
    <row r="7" spans="1:16" ht="15.75" customHeight="1" x14ac:dyDescent="0.3">
      <c r="A7" s="80" t="s">
        <v>440</v>
      </c>
      <c r="B7" s="118">
        <f t="shared" ref="B7:M7" si="1">SUM(B2:B6)</f>
        <v>66834.25</v>
      </c>
      <c r="C7" s="118">
        <f t="shared" si="1"/>
        <v>64262.25</v>
      </c>
      <c r="D7" s="118">
        <f t="shared" si="1"/>
        <v>63695.75</v>
      </c>
      <c r="E7" s="118">
        <f t="shared" si="1"/>
        <v>59171.75</v>
      </c>
      <c r="F7" s="118">
        <f t="shared" si="1"/>
        <v>59660.5</v>
      </c>
      <c r="G7" s="118">
        <f t="shared" si="1"/>
        <v>55201.5</v>
      </c>
      <c r="H7" s="118">
        <f t="shared" si="1"/>
        <v>37396</v>
      </c>
      <c r="I7" s="118">
        <f t="shared" si="1"/>
        <v>31559</v>
      </c>
      <c r="J7" s="118">
        <f t="shared" si="1"/>
        <v>17522</v>
      </c>
      <c r="K7" s="118">
        <f t="shared" si="1"/>
        <v>12082</v>
      </c>
      <c r="L7" s="118">
        <f t="shared" si="1"/>
        <v>9232</v>
      </c>
      <c r="M7" s="118">
        <f t="shared" si="1"/>
        <v>9902</v>
      </c>
      <c r="N7" s="118">
        <f>SUM(B7:M7)</f>
        <v>486519</v>
      </c>
    </row>
    <row r="9" spans="1:16" s="114" customFormat="1" ht="22.8" x14ac:dyDescent="0.25">
      <c r="A9" s="111" t="s">
        <v>441</v>
      </c>
      <c r="B9" s="112">
        <v>46174</v>
      </c>
      <c r="C9" s="112">
        <v>46204</v>
      </c>
      <c r="D9" s="112">
        <v>46235</v>
      </c>
      <c r="E9" s="112">
        <v>46266</v>
      </c>
      <c r="F9" s="112">
        <v>46296</v>
      </c>
      <c r="G9" s="112">
        <v>46327</v>
      </c>
      <c r="H9" s="112">
        <v>46357</v>
      </c>
      <c r="I9" s="112">
        <v>46388</v>
      </c>
      <c r="J9" s="112">
        <v>46419</v>
      </c>
      <c r="K9" s="112">
        <v>46447</v>
      </c>
      <c r="L9" s="112">
        <v>46478</v>
      </c>
      <c r="M9" s="112">
        <v>46508</v>
      </c>
      <c r="N9" s="113" t="s">
        <v>532</v>
      </c>
    </row>
    <row r="10" spans="1:16" s="114" customFormat="1" ht="17.25" customHeight="1" x14ac:dyDescent="0.25">
      <c r="A10" s="115" t="s">
        <v>435</v>
      </c>
      <c r="B10" s="63">
        <f>'SUMMARY-CP'!D36</f>
        <v>50107.882191780824</v>
      </c>
      <c r="C10" s="63">
        <f>'SUMMARY-CP'!E36</f>
        <v>51778.144931506853</v>
      </c>
      <c r="D10" s="63">
        <f>'SUMMARY-CP'!F36</f>
        <v>51778.144931506853</v>
      </c>
      <c r="E10" s="63">
        <f>'SUMMARY-CP'!G36</f>
        <v>50107.882191780824</v>
      </c>
      <c r="F10" s="63">
        <f>'SUMMARY-CP'!H36</f>
        <v>51778.144931506853</v>
      </c>
      <c r="G10" s="63">
        <f>'SUMMARY-CP'!I36</f>
        <v>50107.882191780824</v>
      </c>
      <c r="H10" s="63">
        <f>'SUMMARY-CP'!J36</f>
        <v>51778.144931506853</v>
      </c>
      <c r="I10" s="63">
        <f>'SUMMARY-CP'!K36</f>
        <v>51778.144931506853</v>
      </c>
      <c r="J10" s="63">
        <f>'SUMMARY-CP'!L36</f>
        <v>46767.356712328765</v>
      </c>
      <c r="K10" s="63">
        <f>'SUMMARY-CP'!M36</f>
        <v>51778.144931506853</v>
      </c>
      <c r="L10" s="63">
        <f>'SUMMARY-CP'!N36</f>
        <v>50107.882191780824</v>
      </c>
      <c r="M10" s="63">
        <f>'SUMMARY-CP'!O36</f>
        <v>51778.144931506853</v>
      </c>
      <c r="N10" s="116">
        <f t="shared" ref="N10:N15" si="2">SUM(B10:M10)</f>
        <v>609645.89999999991</v>
      </c>
      <c r="P10" s="117"/>
    </row>
    <row r="11" spans="1:16" s="114" customFormat="1" ht="17.25" customHeight="1" x14ac:dyDescent="0.25">
      <c r="A11" s="115" t="s">
        <v>436</v>
      </c>
      <c r="B11" s="63">
        <f>NPK!D11</f>
        <v>9028.7311876712338</v>
      </c>
      <c r="C11" s="63">
        <f>NPK!E11</f>
        <v>8154.9830082191793</v>
      </c>
      <c r="D11" s="63">
        <f>NPK!F11</f>
        <v>9028.7311876712338</v>
      </c>
      <c r="E11" s="63">
        <f>NPK!G11</f>
        <v>8737.4817945205486</v>
      </c>
      <c r="F11" s="63">
        <f>NPK!H11</f>
        <v>9028.7311876712338</v>
      </c>
      <c r="G11" s="63">
        <f>NPK!I11</f>
        <v>8737.4817945205486</v>
      </c>
      <c r="H11" s="63">
        <f>NPK!J11</f>
        <v>9028.7311876712338</v>
      </c>
      <c r="I11" s="63">
        <f>NPK!K11</f>
        <v>9028.7311876712338</v>
      </c>
      <c r="J11" s="63">
        <f>NPK!L11</f>
        <v>8737.4817945205486</v>
      </c>
      <c r="K11" s="63">
        <f>NPK!M11</f>
        <v>9028.7311876712338</v>
      </c>
      <c r="L11" s="63">
        <f>NPK!N11</f>
        <v>8737.4817945205486</v>
      </c>
      <c r="M11" s="63">
        <f>NPK!O11</f>
        <v>9028.7311876712338</v>
      </c>
      <c r="N11" s="116">
        <f t="shared" si="2"/>
        <v>106306.0285</v>
      </c>
      <c r="P11" s="117"/>
    </row>
    <row r="12" spans="1:16" s="114" customFormat="1" ht="17.25" customHeight="1" x14ac:dyDescent="0.25">
      <c r="A12" s="115" t="s">
        <v>437</v>
      </c>
      <c r="B12" s="63">
        <f>'SUMMARY-CP'!D43</f>
        <v>5423.547945205476</v>
      </c>
      <c r="C12" s="63">
        <f>'SUMMARY-CP'!E43</f>
        <v>5604.3328767123257</v>
      </c>
      <c r="D12" s="63">
        <f>'SUMMARY-CP'!F43</f>
        <v>5604.3328767123257</v>
      </c>
      <c r="E12" s="63">
        <f>'SUMMARY-CP'!G43</f>
        <v>5423.547945205476</v>
      </c>
      <c r="F12" s="63">
        <f>'SUMMARY-CP'!H43</f>
        <v>5604.3328767123257</v>
      </c>
      <c r="G12" s="63">
        <f>'SUMMARY-CP'!I43</f>
        <v>5423.547945205476</v>
      </c>
      <c r="H12" s="63">
        <f>'SUMMARY-CP'!J43</f>
        <v>5604.3328767123257</v>
      </c>
      <c r="I12" s="63">
        <f>'SUMMARY-CP'!K43</f>
        <v>5604.3328767123257</v>
      </c>
      <c r="J12" s="63">
        <f>'SUMMARY-CP'!L43</f>
        <v>5061.9780821917775</v>
      </c>
      <c r="K12" s="63">
        <f>'SUMMARY-CP'!M43</f>
        <v>5604.3328767123257</v>
      </c>
      <c r="L12" s="63">
        <f>'SUMMARY-CP'!N43</f>
        <v>5423.547945205476</v>
      </c>
      <c r="M12" s="63">
        <f>'SUMMARY-CP'!O43</f>
        <v>5604.3328767123257</v>
      </c>
      <c r="N12" s="116">
        <f t="shared" si="2"/>
        <v>65986.499999999971</v>
      </c>
      <c r="P12" s="117"/>
    </row>
    <row r="13" spans="1:16" s="114" customFormat="1" ht="17.25" customHeight="1" x14ac:dyDescent="0.25">
      <c r="A13" s="115" t="s">
        <v>438</v>
      </c>
      <c r="B13" s="63">
        <f>'SUMMARY-CP'!D45</f>
        <v>2264.6691616438352</v>
      </c>
      <c r="C13" s="63">
        <f>'SUMMARY-CP'!E45</f>
        <v>2340.1581336986296</v>
      </c>
      <c r="D13" s="63">
        <f>'SUMMARY-CP'!F45</f>
        <v>2340.1581336986296</v>
      </c>
      <c r="E13" s="63">
        <f>'SUMMARY-CP'!G45</f>
        <v>2264.6691616438352</v>
      </c>
      <c r="F13" s="63">
        <f>'SUMMARY-CP'!H45</f>
        <v>2340.1581336986296</v>
      </c>
      <c r="G13" s="63">
        <f>'SUMMARY-CP'!I45</f>
        <v>2264.6691616438352</v>
      </c>
      <c r="H13" s="63">
        <f>'SUMMARY-CP'!J45</f>
        <v>2340.1581336986296</v>
      </c>
      <c r="I13" s="63">
        <f>'SUMMARY-CP'!K45</f>
        <v>2340.1581336986296</v>
      </c>
      <c r="J13" s="63">
        <f>'SUMMARY-CP'!L45</f>
        <v>2113.6912175342463</v>
      </c>
      <c r="K13" s="63">
        <f>'SUMMARY-CP'!M45</f>
        <v>2340.1581336986296</v>
      </c>
      <c r="L13" s="63">
        <f>'SUMMARY-CP'!N45</f>
        <v>2264.6691616438352</v>
      </c>
      <c r="M13" s="63">
        <f>'SUMMARY-CP'!O45</f>
        <v>2340.1581336986296</v>
      </c>
      <c r="N13" s="116">
        <f t="shared" si="2"/>
        <v>27553.4748</v>
      </c>
      <c r="P13" s="117"/>
    </row>
    <row r="14" spans="1:16" s="114" customFormat="1" ht="17.25" customHeight="1" x14ac:dyDescent="0.25">
      <c r="A14" s="115" t="s">
        <v>439</v>
      </c>
      <c r="B14" s="63">
        <f>'SUMMARY-CP'!D46</f>
        <v>2441.1008219178079</v>
      </c>
      <c r="C14" s="63">
        <f>'SUMMARY-CP'!E46</f>
        <v>2522.4708493150683</v>
      </c>
      <c r="D14" s="63">
        <f>'SUMMARY-CP'!F46</f>
        <v>2522.4708493150683</v>
      </c>
      <c r="E14" s="63">
        <f>'SUMMARY-CP'!G46</f>
        <v>2441.1008219178079</v>
      </c>
      <c r="F14" s="63">
        <f>'SUMMARY-CP'!H46</f>
        <v>2522.4708493150683</v>
      </c>
      <c r="G14" s="63">
        <f>'SUMMARY-CP'!I46</f>
        <v>2441.1008219178079</v>
      </c>
      <c r="H14" s="63">
        <f>'SUMMARY-CP'!J46</f>
        <v>2522.4708493150683</v>
      </c>
      <c r="I14" s="63">
        <f>'SUMMARY-CP'!K46</f>
        <v>2522.4708493150683</v>
      </c>
      <c r="J14" s="63">
        <f>'SUMMARY-CP'!L46</f>
        <v>2278.3607671232876</v>
      </c>
      <c r="K14" s="63">
        <f>'SUMMARY-CP'!M46</f>
        <v>2522.4708493150683</v>
      </c>
      <c r="L14" s="63">
        <f>'SUMMARY-CP'!N46</f>
        <v>2441.1008219178079</v>
      </c>
      <c r="M14" s="63">
        <f>'SUMMARY-CP'!O46</f>
        <v>2522.4708493150683</v>
      </c>
      <c r="N14" s="116">
        <f t="shared" si="2"/>
        <v>29700.059999999994</v>
      </c>
      <c r="P14" s="117"/>
    </row>
    <row r="15" spans="1:16" ht="15.75" customHeight="1" x14ac:dyDescent="0.3">
      <c r="A15" s="80" t="s">
        <v>440</v>
      </c>
      <c r="B15" s="118">
        <f t="shared" ref="B15:M15" si="3">SUM(B10:B14)</f>
        <v>69265.93130821918</v>
      </c>
      <c r="C15" s="118">
        <f t="shared" si="3"/>
        <v>70400.089799452049</v>
      </c>
      <c r="D15" s="118">
        <f t="shared" si="3"/>
        <v>71273.837978904106</v>
      </c>
      <c r="E15" s="118">
        <f t="shared" si="3"/>
        <v>68974.68191506849</v>
      </c>
      <c r="F15" s="118">
        <f t="shared" si="3"/>
        <v>71273.837978904106</v>
      </c>
      <c r="G15" s="118">
        <f t="shared" si="3"/>
        <v>68974.68191506849</v>
      </c>
      <c r="H15" s="118">
        <f t="shared" si="3"/>
        <v>71273.837978904106</v>
      </c>
      <c r="I15" s="118">
        <f t="shared" si="3"/>
        <v>71273.837978904106</v>
      </c>
      <c r="J15" s="118">
        <f t="shared" si="3"/>
        <v>64958.868573698623</v>
      </c>
      <c r="K15" s="118">
        <f t="shared" si="3"/>
        <v>71273.837978904106</v>
      </c>
      <c r="L15" s="118">
        <f t="shared" si="3"/>
        <v>68974.68191506849</v>
      </c>
      <c r="M15" s="118">
        <f t="shared" si="3"/>
        <v>71273.837978904106</v>
      </c>
      <c r="N15" s="118">
        <f t="shared" si="2"/>
        <v>839191.96329999994</v>
      </c>
    </row>
    <row r="17" spans="1:15" s="114" customFormat="1" ht="22.8" x14ac:dyDescent="0.25">
      <c r="A17" s="111" t="s">
        <v>442</v>
      </c>
      <c r="B17" s="112">
        <v>46174</v>
      </c>
      <c r="C17" s="112">
        <v>46204</v>
      </c>
      <c r="D17" s="112">
        <v>46235</v>
      </c>
      <c r="E17" s="112">
        <v>46266</v>
      </c>
      <c r="F17" s="112">
        <v>46296</v>
      </c>
      <c r="G17" s="112">
        <v>46327</v>
      </c>
      <c r="H17" s="112">
        <v>46357</v>
      </c>
      <c r="I17" s="112">
        <v>46388</v>
      </c>
      <c r="J17" s="112">
        <v>46419</v>
      </c>
      <c r="K17" s="112">
        <v>46447</v>
      </c>
      <c r="L17" s="112">
        <v>46478</v>
      </c>
      <c r="M17" s="112">
        <v>46508</v>
      </c>
      <c r="N17" s="113" t="s">
        <v>532</v>
      </c>
    </row>
    <row r="18" spans="1:15" s="114" customFormat="1" ht="17.25" customHeight="1" x14ac:dyDescent="0.25">
      <c r="A18" s="115" t="s">
        <v>435</v>
      </c>
      <c r="B18" s="120">
        <f t="shared" ref="B18:M22" si="4">B2/1000</f>
        <v>49.831249999999997</v>
      </c>
      <c r="C18" s="120">
        <f t="shared" si="4"/>
        <v>49.02675</v>
      </c>
      <c r="D18" s="120">
        <f t="shared" si="4"/>
        <v>47.313749999999999</v>
      </c>
      <c r="E18" s="120">
        <f t="shared" si="4"/>
        <v>44.617750000000001</v>
      </c>
      <c r="F18" s="120">
        <f t="shared" si="4"/>
        <v>44.183500000000002</v>
      </c>
      <c r="G18" s="120">
        <f t="shared" si="4"/>
        <v>41.776499999999999</v>
      </c>
      <c r="H18" s="120">
        <f t="shared" si="4"/>
        <v>24.975000000000001</v>
      </c>
      <c r="I18" s="120">
        <f t="shared" si="4"/>
        <v>20.989000000000001</v>
      </c>
      <c r="J18" s="120">
        <f t="shared" si="4"/>
        <v>9.3000000000000007</v>
      </c>
      <c r="K18" s="120">
        <f t="shared" si="4"/>
        <v>6.55</v>
      </c>
      <c r="L18" s="120">
        <f t="shared" si="4"/>
        <v>4.05</v>
      </c>
      <c r="M18" s="120">
        <f t="shared" si="4"/>
        <v>4.05</v>
      </c>
      <c r="N18" s="116">
        <f>SUM(B18:M18)</f>
        <v>346.66350000000006</v>
      </c>
    </row>
    <row r="19" spans="1:15" s="114" customFormat="1" ht="17.25" customHeight="1" x14ac:dyDescent="0.25">
      <c r="A19" s="115" t="s">
        <v>436</v>
      </c>
      <c r="B19" s="120">
        <f t="shared" si="4"/>
        <v>8.4749999999999996</v>
      </c>
      <c r="C19" s="120">
        <f t="shared" si="4"/>
        <v>6.7925000000000004</v>
      </c>
      <c r="D19" s="120">
        <f t="shared" si="4"/>
        <v>8.1440000000000001</v>
      </c>
      <c r="E19" s="120">
        <f t="shared" si="4"/>
        <v>6.54</v>
      </c>
      <c r="F19" s="120">
        <f t="shared" si="4"/>
        <v>7.6349999999999998</v>
      </c>
      <c r="G19" s="120">
        <f t="shared" si="4"/>
        <v>6.55</v>
      </c>
      <c r="H19" s="120">
        <f t="shared" si="4"/>
        <v>5.7560000000000002</v>
      </c>
      <c r="I19" s="120">
        <f t="shared" si="4"/>
        <v>4.6100000000000003</v>
      </c>
      <c r="J19" s="120">
        <f t="shared" si="4"/>
        <v>3.9820000000000002</v>
      </c>
      <c r="K19" s="120">
        <f t="shared" si="4"/>
        <v>2.2360000000000002</v>
      </c>
      <c r="L19" s="120">
        <f t="shared" si="4"/>
        <v>3.5819999999999999</v>
      </c>
      <c r="M19" s="120">
        <f t="shared" si="4"/>
        <v>4.282</v>
      </c>
      <c r="N19" s="116">
        <f t="shared" ref="N19:N25" si="5">SUM(B19:M19)</f>
        <v>68.584499999999991</v>
      </c>
    </row>
    <row r="20" spans="1:15" s="114" customFormat="1" ht="17.25" customHeight="1" x14ac:dyDescent="0.25">
      <c r="A20" s="115" t="s">
        <v>437</v>
      </c>
      <c r="B20" s="120">
        <f t="shared" si="4"/>
        <v>5.4279999999999999</v>
      </c>
      <c r="C20" s="120">
        <f t="shared" si="4"/>
        <v>5.5430000000000001</v>
      </c>
      <c r="D20" s="120">
        <f t="shared" si="4"/>
        <v>5.5380000000000003</v>
      </c>
      <c r="E20" s="120">
        <f t="shared" si="4"/>
        <v>5.6139999999999999</v>
      </c>
      <c r="F20" s="120">
        <f t="shared" si="4"/>
        <v>5.5419999999999998</v>
      </c>
      <c r="G20" s="120">
        <f t="shared" si="4"/>
        <v>4.7850000000000001</v>
      </c>
      <c r="H20" s="120">
        <f t="shared" si="4"/>
        <v>4.7649999999999997</v>
      </c>
      <c r="I20" s="120">
        <f t="shared" si="4"/>
        <v>4.16</v>
      </c>
      <c r="J20" s="120">
        <f t="shared" si="4"/>
        <v>2.54</v>
      </c>
      <c r="K20" s="120">
        <f t="shared" si="4"/>
        <v>1.62</v>
      </c>
      <c r="L20" s="120">
        <f t="shared" si="4"/>
        <v>0.1</v>
      </c>
      <c r="M20" s="120">
        <f t="shared" si="4"/>
        <v>0.1</v>
      </c>
      <c r="N20" s="116">
        <f t="shared" si="5"/>
        <v>45.734999999999999</v>
      </c>
    </row>
    <row r="21" spans="1:15" s="114" customFormat="1" ht="17.25" customHeight="1" x14ac:dyDescent="0.25">
      <c r="A21" s="115" t="s">
        <v>438</v>
      </c>
      <c r="B21" s="120">
        <f t="shared" si="4"/>
        <v>1.8</v>
      </c>
      <c r="C21" s="120">
        <f t="shared" si="4"/>
        <v>1.6</v>
      </c>
      <c r="D21" s="120">
        <f t="shared" si="4"/>
        <v>1.5</v>
      </c>
      <c r="E21" s="120">
        <f t="shared" si="4"/>
        <v>1.4</v>
      </c>
      <c r="F21" s="120">
        <f t="shared" si="4"/>
        <v>1.3</v>
      </c>
      <c r="G21" s="120">
        <f t="shared" si="4"/>
        <v>1.2</v>
      </c>
      <c r="H21" s="120">
        <f t="shared" si="4"/>
        <v>1.1000000000000001</v>
      </c>
      <c r="I21" s="120">
        <f t="shared" si="4"/>
        <v>1.1000000000000001</v>
      </c>
      <c r="J21" s="120">
        <f t="shared" si="4"/>
        <v>1.1000000000000001</v>
      </c>
      <c r="K21" s="120">
        <f t="shared" si="4"/>
        <v>1.1759999999999999</v>
      </c>
      <c r="L21" s="120">
        <f t="shared" si="4"/>
        <v>1</v>
      </c>
      <c r="M21" s="120">
        <f t="shared" si="4"/>
        <v>1</v>
      </c>
      <c r="N21" s="116">
        <f t="shared" si="5"/>
        <v>15.276</v>
      </c>
    </row>
    <row r="22" spans="1:15" s="114" customFormat="1" ht="16.95" customHeight="1" x14ac:dyDescent="0.25">
      <c r="A22" s="115" t="s">
        <v>439</v>
      </c>
      <c r="B22" s="120">
        <f t="shared" si="4"/>
        <v>1.3</v>
      </c>
      <c r="C22" s="120">
        <f t="shared" si="4"/>
        <v>1.3</v>
      </c>
      <c r="D22" s="120">
        <f t="shared" si="4"/>
        <v>1.2</v>
      </c>
      <c r="E22" s="120">
        <f t="shared" si="4"/>
        <v>1</v>
      </c>
      <c r="F22" s="120">
        <f t="shared" si="4"/>
        <v>1</v>
      </c>
      <c r="G22" s="120">
        <f t="shared" si="4"/>
        <v>0.89</v>
      </c>
      <c r="H22" s="120">
        <f t="shared" si="4"/>
        <v>0.8</v>
      </c>
      <c r="I22" s="120">
        <f t="shared" si="4"/>
        <v>0.7</v>
      </c>
      <c r="J22" s="120">
        <f t="shared" si="4"/>
        <v>0.6</v>
      </c>
      <c r="K22" s="120">
        <f t="shared" si="4"/>
        <v>0.5</v>
      </c>
      <c r="L22" s="120">
        <f t="shared" si="4"/>
        <v>0.5</v>
      </c>
      <c r="M22" s="120">
        <f t="shared" si="4"/>
        <v>0.47</v>
      </c>
      <c r="N22" s="116">
        <f t="shared" si="5"/>
        <v>10.26</v>
      </c>
    </row>
    <row r="23" spans="1:15" s="114" customFormat="1" ht="16.95" customHeight="1" x14ac:dyDescent="0.25">
      <c r="A23" s="115" t="s">
        <v>443</v>
      </c>
      <c r="B23" s="120">
        <v>0</v>
      </c>
      <c r="C23" s="120">
        <v>0</v>
      </c>
      <c r="D23" s="120">
        <v>0</v>
      </c>
      <c r="E23" s="120">
        <v>0</v>
      </c>
      <c r="F23" s="120">
        <v>6</v>
      </c>
      <c r="G23" s="120">
        <v>11</v>
      </c>
      <c r="H23" s="120">
        <v>27</v>
      </c>
      <c r="I23" s="120">
        <v>31</v>
      </c>
      <c r="J23" s="120">
        <v>35</v>
      </c>
      <c r="K23" s="120">
        <v>35</v>
      </c>
      <c r="L23" s="120">
        <v>35</v>
      </c>
      <c r="M23" s="120">
        <v>35</v>
      </c>
      <c r="N23" s="116">
        <f t="shared" si="5"/>
        <v>215</v>
      </c>
    </row>
    <row r="24" spans="1:15" s="114" customFormat="1" ht="17.25" customHeight="1" x14ac:dyDescent="0.25">
      <c r="A24" s="115" t="s">
        <v>444</v>
      </c>
      <c r="B24" s="120">
        <f>'SUMMARY-CP'!D51</f>
        <v>15.265499999999999</v>
      </c>
      <c r="C24" s="120">
        <f>'SUMMARY-CP'!E51</f>
        <v>15.5025</v>
      </c>
      <c r="D24" s="120">
        <f>'SUMMARY-CP'!F51</f>
        <v>15.5905</v>
      </c>
      <c r="E24" s="120">
        <f>'SUMMARY-CP'!G51</f>
        <v>16.8535</v>
      </c>
      <c r="F24" s="120">
        <f>'SUMMARY-CP'!H51</f>
        <v>21.3095</v>
      </c>
      <c r="G24" s="120">
        <f>'SUMMARY-CP'!I51</f>
        <v>22.240500000000001</v>
      </c>
      <c r="H24" s="120">
        <f>'SUMMARY-CP'!J51</f>
        <v>10.726000000000001</v>
      </c>
      <c r="I24" s="120">
        <f>'SUMMARY-CP'!K51</f>
        <v>10.17</v>
      </c>
      <c r="J24" s="120">
        <f>'SUMMARY-CP'!L51</f>
        <v>1.345</v>
      </c>
      <c r="K24" s="120">
        <f>'SUMMARY-CP'!M51</f>
        <v>0.16</v>
      </c>
      <c r="L24" s="120">
        <f>'SUMMARY-CP'!N51</f>
        <v>0</v>
      </c>
      <c r="M24" s="120">
        <f>'SUMMARY-CP'!O51</f>
        <v>0</v>
      </c>
      <c r="N24" s="116">
        <f>SUM(B24:M24)</f>
        <v>129.16300000000001</v>
      </c>
      <c r="O24" s="117"/>
    </row>
    <row r="25" spans="1:15" s="114" customFormat="1" ht="17.25" customHeight="1" x14ac:dyDescent="0.25">
      <c r="A25" s="115" t="s">
        <v>445</v>
      </c>
      <c r="B25" s="120">
        <f>'SUMMARY-CP'!D53</f>
        <v>6.9755000000000003</v>
      </c>
      <c r="C25" s="120">
        <f>'SUMMARY-CP'!E53</f>
        <v>7.5164999999999997</v>
      </c>
      <c r="D25" s="120">
        <f>'SUMMARY-CP'!F53</f>
        <v>4.7889999999999997</v>
      </c>
      <c r="E25" s="120">
        <f>'SUMMARY-CP'!G53</f>
        <v>3.879</v>
      </c>
      <c r="F25" s="120">
        <f>'SUMMARY-CP'!H53</f>
        <v>4.0279999999999996</v>
      </c>
      <c r="G25" s="120">
        <f>'SUMMARY-CP'!I53</f>
        <v>2.9849999999999999</v>
      </c>
      <c r="H25" s="120">
        <f>'SUMMARY-CP'!J53</f>
        <v>2.91</v>
      </c>
      <c r="I25" s="120">
        <f>'SUMMARY-CP'!K53</f>
        <v>2.91</v>
      </c>
      <c r="J25" s="120">
        <f>'SUMMARY-CP'!L53</f>
        <v>2.8</v>
      </c>
      <c r="K25" s="120">
        <f>'SUMMARY-CP'!M53</f>
        <v>2.8</v>
      </c>
      <c r="L25" s="120">
        <f>'SUMMARY-CP'!N53</f>
        <v>0</v>
      </c>
      <c r="M25" s="120">
        <f>'SUMMARY-CP'!O53</f>
        <v>0</v>
      </c>
      <c r="N25" s="116">
        <f t="shared" si="5"/>
        <v>41.592999999999989</v>
      </c>
      <c r="O25" s="117"/>
    </row>
    <row r="26" spans="1:15" ht="15.75" customHeight="1" x14ac:dyDescent="0.3">
      <c r="A26" s="115" t="s">
        <v>446</v>
      </c>
      <c r="B26" s="121">
        <f t="shared" ref="B26:M26" si="6">SUM(B18:B22)</f>
        <v>66.834249999999997</v>
      </c>
      <c r="C26" s="121">
        <f t="shared" si="6"/>
        <v>64.262249999999995</v>
      </c>
      <c r="D26" s="121">
        <f t="shared" si="6"/>
        <v>63.695750000000004</v>
      </c>
      <c r="E26" s="121">
        <f>SUM(E18:E22)</f>
        <v>59.171749999999996</v>
      </c>
      <c r="F26" s="121">
        <f t="shared" si="6"/>
        <v>59.660499999999999</v>
      </c>
      <c r="G26" s="121">
        <f t="shared" si="6"/>
        <v>55.201499999999996</v>
      </c>
      <c r="H26" s="121">
        <f t="shared" si="6"/>
        <v>37.396000000000001</v>
      </c>
      <c r="I26" s="121">
        <f t="shared" si="6"/>
        <v>31.559000000000001</v>
      </c>
      <c r="J26" s="121">
        <f t="shared" si="6"/>
        <v>17.522000000000002</v>
      </c>
      <c r="K26" s="121">
        <f t="shared" si="6"/>
        <v>12.081999999999999</v>
      </c>
      <c r="L26" s="121">
        <f t="shared" si="6"/>
        <v>9.2319999999999993</v>
      </c>
      <c r="M26" s="121">
        <f t="shared" si="6"/>
        <v>9.902000000000001</v>
      </c>
      <c r="N26" s="118">
        <f>SUM(B26:M26)</f>
        <v>486.51900000000006</v>
      </c>
      <c r="O26" s="122"/>
    </row>
    <row r="27" spans="1:15" ht="15.75" customHeight="1" x14ac:dyDescent="0.3">
      <c r="A27" s="115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4"/>
    </row>
    <row r="29" spans="1:15" s="114" customFormat="1" ht="22.8" x14ac:dyDescent="0.25">
      <c r="A29" s="111" t="s">
        <v>447</v>
      </c>
      <c r="B29" s="112">
        <v>46174</v>
      </c>
      <c r="C29" s="112">
        <v>46204</v>
      </c>
      <c r="D29" s="112">
        <v>46235</v>
      </c>
      <c r="E29" s="112">
        <v>46266</v>
      </c>
      <c r="F29" s="112">
        <v>46296</v>
      </c>
      <c r="G29" s="112">
        <v>46327</v>
      </c>
      <c r="H29" s="112">
        <v>46357</v>
      </c>
      <c r="I29" s="112">
        <v>46388</v>
      </c>
      <c r="J29" s="112">
        <v>46419</v>
      </c>
      <c r="K29" s="112">
        <v>46447</v>
      </c>
      <c r="L29" s="112">
        <v>46478</v>
      </c>
      <c r="M29" s="112">
        <v>46508</v>
      </c>
      <c r="N29" s="113" t="s">
        <v>532</v>
      </c>
    </row>
    <row r="30" spans="1:15" s="114" customFormat="1" ht="17.25" customHeight="1" x14ac:dyDescent="0.25">
      <c r="A30" s="125" t="s">
        <v>435</v>
      </c>
      <c r="B30" s="120">
        <f t="shared" ref="B30:M34" si="7">B10/1000</f>
        <v>50.107882191780824</v>
      </c>
      <c r="C30" s="120">
        <f t="shared" si="7"/>
        <v>51.778144931506851</v>
      </c>
      <c r="D30" s="120">
        <f t="shared" si="7"/>
        <v>51.778144931506851</v>
      </c>
      <c r="E30" s="120">
        <f t="shared" si="7"/>
        <v>50.107882191780824</v>
      </c>
      <c r="F30" s="120">
        <f t="shared" si="7"/>
        <v>51.778144931506851</v>
      </c>
      <c r="G30" s="120">
        <f t="shared" si="7"/>
        <v>50.107882191780824</v>
      </c>
      <c r="H30" s="120">
        <f t="shared" si="7"/>
        <v>51.778144931506851</v>
      </c>
      <c r="I30" s="120">
        <f t="shared" si="7"/>
        <v>51.778144931506851</v>
      </c>
      <c r="J30" s="120">
        <f t="shared" si="7"/>
        <v>46.767356712328763</v>
      </c>
      <c r="K30" s="120">
        <f t="shared" si="7"/>
        <v>51.778144931506851</v>
      </c>
      <c r="L30" s="120">
        <f t="shared" si="7"/>
        <v>50.107882191780824</v>
      </c>
      <c r="M30" s="120">
        <f t="shared" si="7"/>
        <v>51.778144931506851</v>
      </c>
      <c r="N30" s="116">
        <f t="shared" ref="N30:N35" si="8">SUM(B30:M30)</f>
        <v>609.6459000000001</v>
      </c>
    </row>
    <row r="31" spans="1:15" s="114" customFormat="1" ht="17.25" customHeight="1" x14ac:dyDescent="0.25">
      <c r="A31" s="125" t="s">
        <v>436</v>
      </c>
      <c r="B31" s="120">
        <f t="shared" si="7"/>
        <v>9.0287311876712337</v>
      </c>
      <c r="C31" s="120">
        <f t="shared" si="7"/>
        <v>8.1549830082191797</v>
      </c>
      <c r="D31" s="120">
        <f t="shared" si="7"/>
        <v>9.0287311876712337</v>
      </c>
      <c r="E31" s="120">
        <f t="shared" si="7"/>
        <v>8.7374817945205479</v>
      </c>
      <c r="F31" s="120">
        <f t="shared" si="7"/>
        <v>9.0287311876712337</v>
      </c>
      <c r="G31" s="120">
        <f t="shared" si="7"/>
        <v>8.7374817945205479</v>
      </c>
      <c r="H31" s="120">
        <f t="shared" si="7"/>
        <v>9.0287311876712337</v>
      </c>
      <c r="I31" s="120">
        <f t="shared" si="7"/>
        <v>9.0287311876712337</v>
      </c>
      <c r="J31" s="120">
        <f t="shared" si="7"/>
        <v>8.7374817945205479</v>
      </c>
      <c r="K31" s="120">
        <f t="shared" si="7"/>
        <v>9.0287311876712337</v>
      </c>
      <c r="L31" s="120">
        <f t="shared" si="7"/>
        <v>8.7374817945205479</v>
      </c>
      <c r="M31" s="120">
        <f t="shared" si="7"/>
        <v>9.0287311876712337</v>
      </c>
      <c r="N31" s="116">
        <f t="shared" si="8"/>
        <v>106.3060285</v>
      </c>
    </row>
    <row r="32" spans="1:15" s="114" customFormat="1" ht="17.25" customHeight="1" x14ac:dyDescent="0.25">
      <c r="A32" s="125" t="s">
        <v>437</v>
      </c>
      <c r="B32" s="120">
        <f t="shared" si="7"/>
        <v>5.4235479452054758</v>
      </c>
      <c r="C32" s="120">
        <f t="shared" si="7"/>
        <v>5.6043328767123262</v>
      </c>
      <c r="D32" s="120">
        <f t="shared" si="7"/>
        <v>5.6043328767123262</v>
      </c>
      <c r="E32" s="120">
        <f t="shared" si="7"/>
        <v>5.4235479452054758</v>
      </c>
      <c r="F32" s="120">
        <f t="shared" si="7"/>
        <v>5.6043328767123262</v>
      </c>
      <c r="G32" s="120">
        <f t="shared" si="7"/>
        <v>5.4235479452054758</v>
      </c>
      <c r="H32" s="120">
        <f t="shared" si="7"/>
        <v>5.6043328767123262</v>
      </c>
      <c r="I32" s="120">
        <f t="shared" si="7"/>
        <v>5.6043328767123262</v>
      </c>
      <c r="J32" s="120">
        <f t="shared" si="7"/>
        <v>5.0619780821917777</v>
      </c>
      <c r="K32" s="120">
        <f t="shared" si="7"/>
        <v>5.6043328767123262</v>
      </c>
      <c r="L32" s="120">
        <f t="shared" si="7"/>
        <v>5.4235479452054758</v>
      </c>
      <c r="M32" s="120">
        <f t="shared" si="7"/>
        <v>5.6043328767123262</v>
      </c>
      <c r="N32" s="116">
        <f t="shared" si="8"/>
        <v>65.986499999999964</v>
      </c>
    </row>
    <row r="33" spans="1:14" s="114" customFormat="1" ht="17.25" customHeight="1" x14ac:dyDescent="0.25">
      <c r="A33" s="125" t="s">
        <v>438</v>
      </c>
      <c r="B33" s="120">
        <f t="shared" si="7"/>
        <v>2.2646691616438352</v>
      </c>
      <c r="C33" s="120">
        <f t="shared" si="7"/>
        <v>2.3401581336986297</v>
      </c>
      <c r="D33" s="120">
        <f t="shared" si="7"/>
        <v>2.3401581336986297</v>
      </c>
      <c r="E33" s="120">
        <f t="shared" si="7"/>
        <v>2.2646691616438352</v>
      </c>
      <c r="F33" s="120">
        <f t="shared" si="7"/>
        <v>2.3401581336986297</v>
      </c>
      <c r="G33" s="120">
        <f t="shared" si="7"/>
        <v>2.2646691616438352</v>
      </c>
      <c r="H33" s="120">
        <f t="shared" si="7"/>
        <v>2.3401581336986297</v>
      </c>
      <c r="I33" s="120">
        <f t="shared" si="7"/>
        <v>2.3401581336986297</v>
      </c>
      <c r="J33" s="120">
        <f t="shared" si="7"/>
        <v>2.1136912175342464</v>
      </c>
      <c r="K33" s="120">
        <f t="shared" si="7"/>
        <v>2.3401581336986297</v>
      </c>
      <c r="L33" s="120">
        <f t="shared" si="7"/>
        <v>2.2646691616438352</v>
      </c>
      <c r="M33" s="120">
        <f t="shared" si="7"/>
        <v>2.3401581336986297</v>
      </c>
      <c r="N33" s="116">
        <f t="shared" si="8"/>
        <v>27.553474799999993</v>
      </c>
    </row>
    <row r="34" spans="1:14" s="114" customFormat="1" ht="17.25" customHeight="1" x14ac:dyDescent="0.25">
      <c r="A34" s="125" t="s">
        <v>439</v>
      </c>
      <c r="B34" s="120">
        <f t="shared" si="7"/>
        <v>2.4411008219178081</v>
      </c>
      <c r="C34" s="120">
        <f t="shared" si="7"/>
        <v>2.5224708493150683</v>
      </c>
      <c r="D34" s="120">
        <f t="shared" si="7"/>
        <v>2.5224708493150683</v>
      </c>
      <c r="E34" s="120">
        <f t="shared" si="7"/>
        <v>2.4411008219178081</v>
      </c>
      <c r="F34" s="120">
        <f t="shared" si="7"/>
        <v>2.5224708493150683</v>
      </c>
      <c r="G34" s="120">
        <f t="shared" si="7"/>
        <v>2.4411008219178081</v>
      </c>
      <c r="H34" s="120">
        <f t="shared" si="7"/>
        <v>2.5224708493150683</v>
      </c>
      <c r="I34" s="120">
        <f t="shared" si="7"/>
        <v>2.5224708493150683</v>
      </c>
      <c r="J34" s="120">
        <f t="shared" si="7"/>
        <v>2.2783607671232877</v>
      </c>
      <c r="K34" s="120">
        <f t="shared" si="7"/>
        <v>2.5224708493150683</v>
      </c>
      <c r="L34" s="120">
        <f t="shared" si="7"/>
        <v>2.4411008219178081</v>
      </c>
      <c r="M34" s="120">
        <f t="shared" si="7"/>
        <v>2.5224708493150683</v>
      </c>
      <c r="N34" s="116">
        <f t="shared" si="8"/>
        <v>29.700060000000001</v>
      </c>
    </row>
    <row r="35" spans="1:14" ht="15.75" customHeight="1" x14ac:dyDescent="0.3">
      <c r="A35" s="125" t="s">
        <v>446</v>
      </c>
      <c r="B35" s="118">
        <f t="shared" ref="B35:M35" si="9">SUM(B30:B34)</f>
        <v>69.26593130821918</v>
      </c>
      <c r="C35" s="118">
        <f t="shared" si="9"/>
        <v>70.400089799452061</v>
      </c>
      <c r="D35" s="118">
        <f t="shared" si="9"/>
        <v>71.273837978904098</v>
      </c>
      <c r="E35" s="118">
        <f t="shared" si="9"/>
        <v>68.974681915068501</v>
      </c>
      <c r="F35" s="118">
        <f t="shared" si="9"/>
        <v>71.273837978904098</v>
      </c>
      <c r="G35" s="118">
        <f t="shared" si="9"/>
        <v>68.974681915068501</v>
      </c>
      <c r="H35" s="118">
        <f t="shared" si="9"/>
        <v>71.273837978904098</v>
      </c>
      <c r="I35" s="118">
        <f t="shared" si="9"/>
        <v>71.273837978904098</v>
      </c>
      <c r="J35" s="118">
        <f t="shared" si="9"/>
        <v>64.958868573698624</v>
      </c>
      <c r="K35" s="118">
        <f t="shared" si="9"/>
        <v>71.273837978904098</v>
      </c>
      <c r="L35" s="118">
        <f t="shared" si="9"/>
        <v>68.974681915068501</v>
      </c>
      <c r="M35" s="118">
        <f t="shared" si="9"/>
        <v>71.273837978904098</v>
      </c>
      <c r="N35" s="118">
        <f t="shared" si="8"/>
        <v>839.1919633</v>
      </c>
    </row>
    <row r="36" spans="1:14" ht="18" customHeight="1" x14ac:dyDescent="0.3">
      <c r="A36" s="126" t="s">
        <v>448</v>
      </c>
      <c r="B36" s="127">
        <f>B26/B35</f>
        <v>0.96489354488863077</v>
      </c>
      <c r="C36" s="127">
        <f>C26/C35</f>
        <v>0.91281488678584277</v>
      </c>
      <c r="D36" s="127">
        <f>D26/D35</f>
        <v>0.89367644294464565</v>
      </c>
      <c r="E36" s="127">
        <f t="shared" ref="E36:N36" si="10">E26/E35</f>
        <v>0.85787637372305281</v>
      </c>
      <c r="F36" s="127">
        <f t="shared" si="10"/>
        <v>0.83706029718307773</v>
      </c>
      <c r="G36" s="127">
        <f t="shared" si="10"/>
        <v>0.8003153978726858</v>
      </c>
      <c r="H36" s="127">
        <f t="shared" si="10"/>
        <v>0.52468059894667962</v>
      </c>
      <c r="I36" s="127">
        <f t="shared" si="10"/>
        <v>0.44278519152204143</v>
      </c>
      <c r="J36" s="127">
        <f t="shared" si="10"/>
        <v>0.26973991980972606</v>
      </c>
      <c r="K36" s="127">
        <f t="shared" si="10"/>
        <v>0.16951521543677886</v>
      </c>
      <c r="L36" s="127">
        <f t="shared" si="10"/>
        <v>0.13384621347536999</v>
      </c>
      <c r="M36" s="127">
        <f t="shared" si="10"/>
        <v>0.13892895739571134</v>
      </c>
      <c r="N36" s="127">
        <f t="shared" si="10"/>
        <v>0.57974697241717499</v>
      </c>
    </row>
    <row r="37" spans="1:14" x14ac:dyDescent="0.3"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</row>
    <row r="38" spans="1:14" x14ac:dyDescent="0.3"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</row>
    <row r="39" spans="1:14" ht="21" customHeight="1" x14ac:dyDescent="0.3"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</row>
    <row r="54" spans="1:13" x14ac:dyDescent="0.3">
      <c r="A54" s="119" t="s">
        <v>447</v>
      </c>
      <c r="B54" s="119" t="s">
        <v>447</v>
      </c>
    </row>
    <row r="55" spans="1:13" x14ac:dyDescent="0.3">
      <c r="A55" s="119" t="s">
        <v>442</v>
      </c>
      <c r="B55" s="130">
        <v>0.11</v>
      </c>
    </row>
    <row r="58" spans="1:13" x14ac:dyDescent="0.3"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</row>
  </sheetData>
  <conditionalFormatting sqref="B36:N36">
    <cfRule type="cellIs" dxfId="179" priority="1" operator="lessThan">
      <formula>0.5</formula>
    </cfRule>
    <cfRule type="cellIs" dxfId="178" priority="2" operator="between">
      <formula>0.5</formula>
      <formula>0.75</formula>
    </cfRule>
    <cfRule type="cellIs" dxfId="177" priority="3" operator="greaterThan">
      <formula>0.75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BCC9-6F94-4766-8D8E-01922EE64D3C}">
  <dimension ref="A1:K221"/>
  <sheetViews>
    <sheetView topLeftCell="A165" zoomScale="130" zoomScaleNormal="130" workbookViewId="0">
      <selection activeCell="E212" activeCellId="1" sqref="E201:E208 E212:E220"/>
    </sheetView>
  </sheetViews>
  <sheetFormatPr defaultRowHeight="14.4" outlineLevelRow="1" x14ac:dyDescent="0.3"/>
  <cols>
    <col min="1" max="1" width="12.88671875" bestFit="1" customWidth="1"/>
    <col min="2" max="2" width="31.44140625" customWidth="1"/>
    <col min="4" max="4" width="11.33203125" customWidth="1"/>
    <col min="5" max="5" width="9.44140625" customWidth="1"/>
    <col min="6" max="6" width="24.33203125" style="263" bestFit="1" customWidth="1"/>
    <col min="11" max="11" width="9.109375" style="263"/>
  </cols>
  <sheetData>
    <row r="1" spans="1:11" s="254" customFormat="1" x14ac:dyDescent="0.3">
      <c r="A1" s="279" t="s">
        <v>578</v>
      </c>
      <c r="B1" s="279" t="s">
        <v>577</v>
      </c>
      <c r="C1" s="278" t="s">
        <v>576</v>
      </c>
      <c r="D1" s="278" t="s">
        <v>575</v>
      </c>
      <c r="E1" s="277" t="s">
        <v>434</v>
      </c>
      <c r="F1" s="276" t="s">
        <v>574</v>
      </c>
      <c r="K1" s="275"/>
    </row>
    <row r="2" spans="1:11" ht="15.6" outlineLevel="1" x14ac:dyDescent="0.3">
      <c r="A2" s="341" t="s">
        <v>573</v>
      </c>
      <c r="B2" s="341" t="s">
        <v>572</v>
      </c>
      <c r="C2" s="270">
        <v>46174</v>
      </c>
      <c r="D2" s="266">
        <v>5537</v>
      </c>
      <c r="E2" s="265">
        <v>700</v>
      </c>
      <c r="F2" s="271">
        <v>700</v>
      </c>
    </row>
    <row r="3" spans="1:11" ht="15.6" outlineLevel="1" x14ac:dyDescent="0.3">
      <c r="A3" s="341"/>
      <c r="B3" s="341"/>
      <c r="C3" s="270">
        <v>46204</v>
      </c>
      <c r="D3" s="266">
        <v>5537</v>
      </c>
      <c r="E3" s="265">
        <v>700</v>
      </c>
      <c r="F3" s="271">
        <v>700</v>
      </c>
    </row>
    <row r="4" spans="1:11" ht="15.6" outlineLevel="1" x14ac:dyDescent="0.3">
      <c r="A4" s="341"/>
      <c r="B4" s="341"/>
      <c r="C4" s="270">
        <v>46235</v>
      </c>
      <c r="D4" s="266">
        <v>5537</v>
      </c>
      <c r="E4" s="265">
        <v>700</v>
      </c>
      <c r="F4" s="271">
        <v>700</v>
      </c>
    </row>
    <row r="5" spans="1:11" ht="15.6" outlineLevel="1" x14ac:dyDescent="0.3">
      <c r="A5" s="341"/>
      <c r="B5" s="341"/>
      <c r="C5" s="270">
        <v>46266</v>
      </c>
      <c r="D5" s="266">
        <v>5537</v>
      </c>
      <c r="E5" s="265">
        <v>1500</v>
      </c>
      <c r="F5" s="338" t="s">
        <v>534</v>
      </c>
      <c r="G5" s="280">
        <f>E5+E17</f>
        <v>1566</v>
      </c>
    </row>
    <row r="6" spans="1:11" ht="15.6" outlineLevel="1" x14ac:dyDescent="0.3">
      <c r="A6" s="341"/>
      <c r="B6" s="341"/>
      <c r="C6" s="270">
        <v>46296</v>
      </c>
      <c r="D6" s="266">
        <v>5537</v>
      </c>
      <c r="E6" s="265">
        <v>1500</v>
      </c>
      <c r="F6" s="339"/>
      <c r="G6" s="280">
        <f t="shared" ref="G6:G13" si="0">E6+E18</f>
        <v>1566</v>
      </c>
    </row>
    <row r="7" spans="1:11" ht="15.6" outlineLevel="1" x14ac:dyDescent="0.3">
      <c r="A7" s="341"/>
      <c r="B7" s="341"/>
      <c r="C7" s="270">
        <v>46327</v>
      </c>
      <c r="D7" s="266">
        <v>5537</v>
      </c>
      <c r="E7" s="265">
        <v>1500</v>
      </c>
      <c r="F7" s="339"/>
      <c r="G7" s="280">
        <f t="shared" si="0"/>
        <v>1566</v>
      </c>
    </row>
    <row r="8" spans="1:11" ht="15.6" outlineLevel="1" x14ac:dyDescent="0.3">
      <c r="A8" s="341"/>
      <c r="B8" s="341"/>
      <c r="C8" s="270">
        <v>46357</v>
      </c>
      <c r="D8" s="266">
        <v>5537</v>
      </c>
      <c r="E8" s="265">
        <v>1500</v>
      </c>
      <c r="F8" s="339"/>
      <c r="G8" s="280">
        <f t="shared" si="0"/>
        <v>1566</v>
      </c>
    </row>
    <row r="9" spans="1:11" ht="15.6" outlineLevel="1" x14ac:dyDescent="0.3">
      <c r="A9" s="341"/>
      <c r="B9" s="341"/>
      <c r="C9" s="270">
        <v>46414</v>
      </c>
      <c r="D9" s="266">
        <v>5537</v>
      </c>
      <c r="E9" s="265">
        <v>1500</v>
      </c>
      <c r="F9" s="339"/>
      <c r="G9" s="280">
        <f t="shared" si="0"/>
        <v>1566</v>
      </c>
    </row>
    <row r="10" spans="1:11" ht="15.6" outlineLevel="1" x14ac:dyDescent="0.3">
      <c r="A10" s="341"/>
      <c r="B10" s="341"/>
      <c r="C10" s="270">
        <v>46419</v>
      </c>
      <c r="D10" s="266">
        <v>5537</v>
      </c>
      <c r="E10" s="265">
        <v>1500</v>
      </c>
      <c r="F10" s="339"/>
      <c r="G10" s="280">
        <f t="shared" si="0"/>
        <v>1566</v>
      </c>
    </row>
    <row r="11" spans="1:11" ht="15.6" outlineLevel="1" x14ac:dyDescent="0.3">
      <c r="A11" s="341"/>
      <c r="B11" s="341"/>
      <c r="C11" s="270">
        <v>46473</v>
      </c>
      <c r="D11" s="266">
        <v>5537</v>
      </c>
      <c r="E11" s="265">
        <v>1500</v>
      </c>
      <c r="F11" s="339"/>
      <c r="G11" s="280">
        <f t="shared" si="0"/>
        <v>1566</v>
      </c>
    </row>
    <row r="12" spans="1:11" ht="15.6" outlineLevel="1" x14ac:dyDescent="0.3">
      <c r="A12" s="341"/>
      <c r="B12" s="341"/>
      <c r="C12" s="270">
        <v>46478</v>
      </c>
      <c r="D12" s="266">
        <v>5537</v>
      </c>
      <c r="E12" s="265">
        <v>1500</v>
      </c>
      <c r="F12" s="339"/>
      <c r="G12" s="280">
        <f t="shared" si="0"/>
        <v>1566</v>
      </c>
    </row>
    <row r="13" spans="1:11" ht="15.6" outlineLevel="1" x14ac:dyDescent="0.3">
      <c r="A13" s="341"/>
      <c r="B13" s="341"/>
      <c r="C13" s="270">
        <v>46143</v>
      </c>
      <c r="D13" s="266">
        <v>5537</v>
      </c>
      <c r="E13" s="265">
        <v>1500</v>
      </c>
      <c r="F13" s="340"/>
      <c r="G13" s="280">
        <f t="shared" si="0"/>
        <v>1566</v>
      </c>
    </row>
    <row r="14" spans="1:11" ht="15.6" outlineLevel="1" x14ac:dyDescent="0.3">
      <c r="A14" s="341" t="s">
        <v>571</v>
      </c>
      <c r="B14" s="341" t="s">
        <v>570</v>
      </c>
      <c r="C14" s="270">
        <v>46174</v>
      </c>
      <c r="D14" s="266">
        <v>66</v>
      </c>
      <c r="E14" s="265">
        <v>20</v>
      </c>
      <c r="F14" s="271">
        <v>20</v>
      </c>
    </row>
    <row r="15" spans="1:11" ht="15.6" outlineLevel="1" x14ac:dyDescent="0.3">
      <c r="A15" s="341"/>
      <c r="B15" s="341"/>
      <c r="C15" s="270">
        <v>46204</v>
      </c>
      <c r="D15" s="266">
        <v>66</v>
      </c>
      <c r="E15" s="265">
        <v>20</v>
      </c>
      <c r="F15" s="271">
        <v>20</v>
      </c>
    </row>
    <row r="16" spans="1:11" ht="15.6" outlineLevel="1" x14ac:dyDescent="0.3">
      <c r="A16" s="341"/>
      <c r="B16" s="341"/>
      <c r="C16" s="270">
        <v>46235</v>
      </c>
      <c r="D16" s="266">
        <v>66</v>
      </c>
      <c r="E16" s="265">
        <v>20</v>
      </c>
      <c r="F16" s="271">
        <v>20</v>
      </c>
    </row>
    <row r="17" spans="1:7" ht="15.6" outlineLevel="1" x14ac:dyDescent="0.3">
      <c r="A17" s="341"/>
      <c r="B17" s="341"/>
      <c r="C17" s="270">
        <v>46266</v>
      </c>
      <c r="D17" s="266">
        <v>66</v>
      </c>
      <c r="E17" s="265">
        <v>66</v>
      </c>
      <c r="F17" s="338" t="s">
        <v>534</v>
      </c>
    </row>
    <row r="18" spans="1:7" ht="15.6" outlineLevel="1" x14ac:dyDescent="0.3">
      <c r="A18" s="341"/>
      <c r="B18" s="341"/>
      <c r="C18" s="270">
        <v>46296</v>
      </c>
      <c r="D18" s="266">
        <v>66</v>
      </c>
      <c r="E18" s="265">
        <v>66</v>
      </c>
      <c r="F18" s="339"/>
    </row>
    <row r="19" spans="1:7" ht="15.6" outlineLevel="1" x14ac:dyDescent="0.3">
      <c r="A19" s="341"/>
      <c r="B19" s="341"/>
      <c r="C19" s="270">
        <v>46327</v>
      </c>
      <c r="D19" s="266">
        <v>66</v>
      </c>
      <c r="E19" s="265">
        <v>66</v>
      </c>
      <c r="F19" s="339"/>
    </row>
    <row r="20" spans="1:7" ht="15.6" outlineLevel="1" x14ac:dyDescent="0.3">
      <c r="A20" s="341"/>
      <c r="B20" s="341"/>
      <c r="C20" s="270">
        <v>46357</v>
      </c>
      <c r="D20" s="266">
        <v>66</v>
      </c>
      <c r="E20" s="265">
        <v>66</v>
      </c>
      <c r="F20" s="339"/>
    </row>
    <row r="21" spans="1:7" ht="15.6" outlineLevel="1" x14ac:dyDescent="0.3">
      <c r="A21" s="341"/>
      <c r="B21" s="341"/>
      <c r="C21" s="270">
        <v>46414</v>
      </c>
      <c r="D21" s="266">
        <v>66</v>
      </c>
      <c r="E21" s="265">
        <v>66</v>
      </c>
      <c r="F21" s="339"/>
    </row>
    <row r="22" spans="1:7" ht="15.6" outlineLevel="1" x14ac:dyDescent="0.3">
      <c r="A22" s="341"/>
      <c r="B22" s="341"/>
      <c r="C22" s="270">
        <v>46419</v>
      </c>
      <c r="D22" s="266">
        <v>66</v>
      </c>
      <c r="E22" s="265">
        <v>66</v>
      </c>
      <c r="F22" s="339"/>
    </row>
    <row r="23" spans="1:7" ht="15.6" outlineLevel="1" x14ac:dyDescent="0.3">
      <c r="A23" s="341"/>
      <c r="B23" s="341"/>
      <c r="C23" s="270">
        <v>46473</v>
      </c>
      <c r="D23" s="266">
        <v>66</v>
      </c>
      <c r="E23" s="265">
        <v>66</v>
      </c>
      <c r="F23" s="339"/>
    </row>
    <row r="24" spans="1:7" ht="15.6" outlineLevel="1" x14ac:dyDescent="0.3">
      <c r="A24" s="341"/>
      <c r="B24" s="341"/>
      <c r="C24" s="270">
        <v>46478</v>
      </c>
      <c r="D24" s="266">
        <v>66</v>
      </c>
      <c r="E24" s="265">
        <v>66</v>
      </c>
      <c r="F24" s="339"/>
    </row>
    <row r="25" spans="1:7" ht="15.6" outlineLevel="1" x14ac:dyDescent="0.3">
      <c r="A25" s="341"/>
      <c r="B25" s="341"/>
      <c r="C25" s="270">
        <v>46143</v>
      </c>
      <c r="D25" s="266">
        <v>66</v>
      </c>
      <c r="E25" s="265">
        <v>66</v>
      </c>
      <c r="F25" s="340"/>
    </row>
    <row r="26" spans="1:7" ht="15.6" x14ac:dyDescent="0.3">
      <c r="A26" s="269" t="s">
        <v>569</v>
      </c>
      <c r="B26" s="274"/>
      <c r="C26" s="267" t="s">
        <v>12</v>
      </c>
      <c r="D26" s="266">
        <f>SUM(D2:D25)</f>
        <v>67236</v>
      </c>
      <c r="E26" s="265">
        <f>SUM(E2:E25)</f>
        <v>16254</v>
      </c>
      <c r="F26" s="273"/>
    </row>
    <row r="27" spans="1:7" ht="15.6" outlineLevel="1" x14ac:dyDescent="0.3">
      <c r="A27" s="341" t="s">
        <v>568</v>
      </c>
      <c r="B27" s="352" t="s">
        <v>567</v>
      </c>
      <c r="C27" s="270">
        <v>46174</v>
      </c>
      <c r="D27" s="272">
        <v>1153</v>
      </c>
      <c r="E27" s="265">
        <v>900</v>
      </c>
      <c r="F27" s="271">
        <v>900</v>
      </c>
      <c r="G27" s="280">
        <f>E27+E39+E51+E63</f>
        <v>1848</v>
      </c>
    </row>
    <row r="28" spans="1:7" ht="15.6" outlineLevel="1" x14ac:dyDescent="0.3">
      <c r="A28" s="341"/>
      <c r="B28" s="352"/>
      <c r="C28" s="270">
        <v>46204</v>
      </c>
      <c r="D28" s="272">
        <v>1153</v>
      </c>
      <c r="E28" s="265">
        <v>900</v>
      </c>
      <c r="F28" s="271">
        <v>900</v>
      </c>
      <c r="G28" s="280">
        <f t="shared" ref="G28:G31" si="1">E28+E40+E52+E64</f>
        <v>1848</v>
      </c>
    </row>
    <row r="29" spans="1:7" ht="15.6" outlineLevel="1" x14ac:dyDescent="0.3">
      <c r="A29" s="341"/>
      <c r="B29" s="352"/>
      <c r="C29" s="270">
        <v>46235</v>
      </c>
      <c r="D29" s="272">
        <v>1153</v>
      </c>
      <c r="E29" s="265">
        <v>900</v>
      </c>
      <c r="F29" s="271">
        <v>900</v>
      </c>
      <c r="G29" s="280">
        <f t="shared" si="1"/>
        <v>1848</v>
      </c>
    </row>
    <row r="30" spans="1:7" ht="15.6" outlineLevel="1" x14ac:dyDescent="0.3">
      <c r="A30" s="341"/>
      <c r="B30" s="352"/>
      <c r="C30" s="270">
        <v>46266</v>
      </c>
      <c r="D30" s="272">
        <v>1153</v>
      </c>
      <c r="E30" s="265">
        <v>600</v>
      </c>
      <c r="F30" s="271">
        <v>900</v>
      </c>
      <c r="G30" s="280">
        <f t="shared" si="1"/>
        <v>1548</v>
      </c>
    </row>
    <row r="31" spans="1:7" ht="15.6" outlineLevel="1" x14ac:dyDescent="0.3">
      <c r="A31" s="341"/>
      <c r="B31" s="352"/>
      <c r="C31" s="270">
        <v>46296</v>
      </c>
      <c r="D31" s="272">
        <v>1153</v>
      </c>
      <c r="E31" s="265">
        <v>600</v>
      </c>
      <c r="F31" s="271">
        <v>900</v>
      </c>
      <c r="G31" s="280">
        <f t="shared" si="1"/>
        <v>1548</v>
      </c>
    </row>
    <row r="32" spans="1:7" ht="15.6" outlineLevel="1" x14ac:dyDescent="0.3">
      <c r="A32" s="341"/>
      <c r="B32" s="352"/>
      <c r="C32" s="270">
        <v>46327</v>
      </c>
      <c r="D32" s="272">
        <v>1153</v>
      </c>
      <c r="E32" s="265">
        <v>600</v>
      </c>
      <c r="F32" s="338" t="s">
        <v>534</v>
      </c>
      <c r="G32" s="280">
        <f>E44+E56+E68</f>
        <v>948</v>
      </c>
    </row>
    <row r="33" spans="1:7" ht="15.6" outlineLevel="1" x14ac:dyDescent="0.3">
      <c r="A33" s="341"/>
      <c r="B33" s="352"/>
      <c r="C33" s="270">
        <v>46357</v>
      </c>
      <c r="D33" s="272">
        <v>1153</v>
      </c>
      <c r="E33" s="265">
        <v>600</v>
      </c>
      <c r="F33" s="339"/>
      <c r="G33" s="280">
        <f t="shared" ref="G33:G38" si="2">E45+E57+E69</f>
        <v>948</v>
      </c>
    </row>
    <row r="34" spans="1:7" ht="15.6" outlineLevel="1" x14ac:dyDescent="0.3">
      <c r="A34" s="341"/>
      <c r="B34" s="352"/>
      <c r="C34" s="270">
        <v>46414</v>
      </c>
      <c r="D34" s="272">
        <v>1153</v>
      </c>
      <c r="E34" s="265">
        <v>600</v>
      </c>
      <c r="F34" s="339"/>
      <c r="G34" s="280">
        <f t="shared" si="2"/>
        <v>948</v>
      </c>
    </row>
    <row r="35" spans="1:7" ht="15.6" outlineLevel="1" x14ac:dyDescent="0.3">
      <c r="A35" s="341"/>
      <c r="B35" s="352"/>
      <c r="C35" s="270">
        <v>46419</v>
      </c>
      <c r="D35" s="272">
        <v>1153</v>
      </c>
      <c r="E35" s="265">
        <v>600</v>
      </c>
      <c r="F35" s="339"/>
      <c r="G35" s="280">
        <f t="shared" si="2"/>
        <v>948</v>
      </c>
    </row>
    <row r="36" spans="1:7" ht="15.6" outlineLevel="1" x14ac:dyDescent="0.3">
      <c r="A36" s="341"/>
      <c r="B36" s="352"/>
      <c r="C36" s="270">
        <v>46473</v>
      </c>
      <c r="D36" s="272">
        <v>1153</v>
      </c>
      <c r="E36" s="265">
        <v>600</v>
      </c>
      <c r="F36" s="339"/>
      <c r="G36" s="280">
        <f t="shared" si="2"/>
        <v>948</v>
      </c>
    </row>
    <row r="37" spans="1:7" ht="15.6" outlineLevel="1" x14ac:dyDescent="0.3">
      <c r="A37" s="341"/>
      <c r="B37" s="352"/>
      <c r="C37" s="270">
        <v>46478</v>
      </c>
      <c r="D37" s="272">
        <v>1153</v>
      </c>
      <c r="E37" s="265">
        <v>600</v>
      </c>
      <c r="F37" s="339"/>
      <c r="G37" s="280">
        <f t="shared" si="2"/>
        <v>948</v>
      </c>
    </row>
    <row r="38" spans="1:7" ht="15.6" outlineLevel="1" x14ac:dyDescent="0.3">
      <c r="A38" s="341"/>
      <c r="B38" s="343"/>
      <c r="C38" s="270">
        <v>46143</v>
      </c>
      <c r="D38" s="272">
        <v>1153</v>
      </c>
      <c r="E38" s="265">
        <v>600</v>
      </c>
      <c r="F38" s="340"/>
      <c r="G38" s="280">
        <f t="shared" si="2"/>
        <v>948</v>
      </c>
    </row>
    <row r="39" spans="1:7" ht="15.6" outlineLevel="1" x14ac:dyDescent="0.3">
      <c r="A39" s="341" t="s">
        <v>566</v>
      </c>
      <c r="B39" s="344" t="s">
        <v>565</v>
      </c>
      <c r="C39" s="270">
        <v>46174</v>
      </c>
      <c r="D39" s="266">
        <v>350</v>
      </c>
      <c r="E39" s="265">
        <v>350</v>
      </c>
      <c r="F39" s="264"/>
    </row>
    <row r="40" spans="1:7" ht="15.6" outlineLevel="1" x14ac:dyDescent="0.3">
      <c r="A40" s="341"/>
      <c r="B40" s="344"/>
      <c r="C40" s="270">
        <v>46204</v>
      </c>
      <c r="D40" s="266">
        <v>350</v>
      </c>
      <c r="E40" s="265">
        <v>350</v>
      </c>
      <c r="F40" s="264"/>
    </row>
    <row r="41" spans="1:7" ht="15.6" outlineLevel="1" x14ac:dyDescent="0.3">
      <c r="A41" s="341"/>
      <c r="B41" s="344"/>
      <c r="C41" s="270">
        <v>46235</v>
      </c>
      <c r="D41" s="266">
        <v>350</v>
      </c>
      <c r="E41" s="265">
        <v>350</v>
      </c>
      <c r="F41" s="264"/>
    </row>
    <row r="42" spans="1:7" ht="15.6" outlineLevel="1" x14ac:dyDescent="0.3">
      <c r="A42" s="341"/>
      <c r="B42" s="344"/>
      <c r="C42" s="270">
        <v>46266</v>
      </c>
      <c r="D42" s="266">
        <v>350</v>
      </c>
      <c r="E42" s="265">
        <v>350</v>
      </c>
      <c r="F42" s="264"/>
    </row>
    <row r="43" spans="1:7" ht="15.6" outlineLevel="1" x14ac:dyDescent="0.3">
      <c r="A43" s="341"/>
      <c r="B43" s="344"/>
      <c r="C43" s="270">
        <v>46296</v>
      </c>
      <c r="D43" s="266">
        <v>350</v>
      </c>
      <c r="E43" s="265">
        <v>350</v>
      </c>
      <c r="F43" s="264"/>
    </row>
    <row r="44" spans="1:7" ht="15.6" outlineLevel="1" x14ac:dyDescent="0.3">
      <c r="A44" s="341"/>
      <c r="B44" s="344"/>
      <c r="C44" s="270">
        <v>46327</v>
      </c>
      <c r="D44" s="266">
        <v>350</v>
      </c>
      <c r="E44" s="265">
        <v>350</v>
      </c>
      <c r="F44" s="264"/>
    </row>
    <row r="45" spans="1:7" ht="15.6" outlineLevel="1" x14ac:dyDescent="0.3">
      <c r="A45" s="341"/>
      <c r="B45" s="344"/>
      <c r="C45" s="270">
        <v>46357</v>
      </c>
      <c r="D45" s="266">
        <v>350</v>
      </c>
      <c r="E45" s="265">
        <v>350</v>
      </c>
      <c r="F45" s="264"/>
    </row>
    <row r="46" spans="1:7" ht="15.6" outlineLevel="1" x14ac:dyDescent="0.3">
      <c r="A46" s="341"/>
      <c r="B46" s="344"/>
      <c r="C46" s="270">
        <v>46414</v>
      </c>
      <c r="D46" s="266">
        <v>350</v>
      </c>
      <c r="E46" s="265">
        <v>350</v>
      </c>
      <c r="F46" s="264"/>
    </row>
    <row r="47" spans="1:7" ht="15.6" outlineLevel="1" x14ac:dyDescent="0.3">
      <c r="A47" s="341"/>
      <c r="B47" s="344"/>
      <c r="C47" s="270">
        <v>46419</v>
      </c>
      <c r="D47" s="266">
        <v>350</v>
      </c>
      <c r="E47" s="265">
        <v>350</v>
      </c>
      <c r="F47" s="264"/>
    </row>
    <row r="48" spans="1:7" ht="15.6" outlineLevel="1" x14ac:dyDescent="0.3">
      <c r="A48" s="341"/>
      <c r="B48" s="344"/>
      <c r="C48" s="270">
        <v>46473</v>
      </c>
      <c r="D48" s="266">
        <v>350</v>
      </c>
      <c r="E48" s="265">
        <v>350</v>
      </c>
      <c r="F48" s="264"/>
    </row>
    <row r="49" spans="1:6" ht="15.6" outlineLevel="1" x14ac:dyDescent="0.3">
      <c r="A49" s="341"/>
      <c r="B49" s="344"/>
      <c r="C49" s="270">
        <v>46478</v>
      </c>
      <c r="D49" s="266">
        <v>350</v>
      </c>
      <c r="E49" s="265">
        <v>350</v>
      </c>
      <c r="F49" s="264"/>
    </row>
    <row r="50" spans="1:6" ht="15.6" outlineLevel="1" x14ac:dyDescent="0.3">
      <c r="A50" s="341"/>
      <c r="B50" s="342"/>
      <c r="C50" s="270">
        <v>46143</v>
      </c>
      <c r="D50" s="266">
        <v>350</v>
      </c>
      <c r="E50" s="265">
        <v>350</v>
      </c>
      <c r="F50" s="264"/>
    </row>
    <row r="51" spans="1:6" ht="15.6" outlineLevel="1" x14ac:dyDescent="0.3">
      <c r="A51" s="341" t="s">
        <v>564</v>
      </c>
      <c r="B51" s="352" t="s">
        <v>563</v>
      </c>
      <c r="C51" s="270">
        <v>46174</v>
      </c>
      <c r="D51" s="272">
        <v>350</v>
      </c>
      <c r="E51" s="265">
        <v>350</v>
      </c>
      <c r="F51" s="264"/>
    </row>
    <row r="52" spans="1:6" ht="15.6" outlineLevel="1" x14ac:dyDescent="0.3">
      <c r="A52" s="341"/>
      <c r="B52" s="352"/>
      <c r="C52" s="270">
        <v>46204</v>
      </c>
      <c r="D52" s="272">
        <v>350</v>
      </c>
      <c r="E52" s="265">
        <v>350</v>
      </c>
      <c r="F52" s="264"/>
    </row>
    <row r="53" spans="1:6" ht="15.6" outlineLevel="1" x14ac:dyDescent="0.3">
      <c r="A53" s="341"/>
      <c r="B53" s="352"/>
      <c r="C53" s="270">
        <v>46235</v>
      </c>
      <c r="D53" s="272">
        <v>350</v>
      </c>
      <c r="E53" s="265">
        <v>350</v>
      </c>
      <c r="F53" s="264"/>
    </row>
    <row r="54" spans="1:6" ht="15.6" outlineLevel="1" x14ac:dyDescent="0.3">
      <c r="A54" s="341"/>
      <c r="B54" s="352"/>
      <c r="C54" s="270">
        <v>46266</v>
      </c>
      <c r="D54" s="272">
        <v>350</v>
      </c>
      <c r="E54" s="265">
        <v>350</v>
      </c>
      <c r="F54" s="264"/>
    </row>
    <row r="55" spans="1:6" ht="15.6" outlineLevel="1" x14ac:dyDescent="0.3">
      <c r="A55" s="341"/>
      <c r="B55" s="352"/>
      <c r="C55" s="270">
        <v>46296</v>
      </c>
      <c r="D55" s="272">
        <v>350</v>
      </c>
      <c r="E55" s="265">
        <v>350</v>
      </c>
      <c r="F55" s="264"/>
    </row>
    <row r="56" spans="1:6" ht="15.6" outlineLevel="1" x14ac:dyDescent="0.3">
      <c r="A56" s="341"/>
      <c r="B56" s="352"/>
      <c r="C56" s="270">
        <v>46327</v>
      </c>
      <c r="D56" s="272">
        <v>350</v>
      </c>
      <c r="E56" s="265">
        <v>350</v>
      </c>
      <c r="F56" s="264"/>
    </row>
    <row r="57" spans="1:6" ht="15.6" outlineLevel="1" x14ac:dyDescent="0.3">
      <c r="A57" s="341"/>
      <c r="B57" s="352"/>
      <c r="C57" s="270">
        <v>46357</v>
      </c>
      <c r="D57" s="272">
        <v>350</v>
      </c>
      <c r="E57" s="265">
        <v>350</v>
      </c>
      <c r="F57" s="264"/>
    </row>
    <row r="58" spans="1:6" ht="15.6" outlineLevel="1" x14ac:dyDescent="0.3">
      <c r="A58" s="341"/>
      <c r="B58" s="352"/>
      <c r="C58" s="270">
        <v>46414</v>
      </c>
      <c r="D58" s="272">
        <v>350</v>
      </c>
      <c r="E58" s="265">
        <v>350</v>
      </c>
      <c r="F58" s="264"/>
    </row>
    <row r="59" spans="1:6" ht="15.6" outlineLevel="1" x14ac:dyDescent="0.3">
      <c r="A59" s="341"/>
      <c r="B59" s="352"/>
      <c r="C59" s="270">
        <v>46419</v>
      </c>
      <c r="D59" s="272">
        <v>350</v>
      </c>
      <c r="E59" s="265">
        <v>350</v>
      </c>
      <c r="F59" s="264"/>
    </row>
    <row r="60" spans="1:6" ht="15.6" outlineLevel="1" x14ac:dyDescent="0.3">
      <c r="A60" s="341"/>
      <c r="B60" s="352"/>
      <c r="C60" s="270">
        <v>46473</v>
      </c>
      <c r="D60" s="272">
        <v>350</v>
      </c>
      <c r="E60" s="265">
        <v>350</v>
      </c>
      <c r="F60" s="264"/>
    </row>
    <row r="61" spans="1:6" ht="15.6" outlineLevel="1" x14ac:dyDescent="0.3">
      <c r="A61" s="341"/>
      <c r="B61" s="352"/>
      <c r="C61" s="270">
        <v>46478</v>
      </c>
      <c r="D61" s="272">
        <v>350</v>
      </c>
      <c r="E61" s="265">
        <v>350</v>
      </c>
      <c r="F61" s="264"/>
    </row>
    <row r="62" spans="1:6" ht="15.6" outlineLevel="1" x14ac:dyDescent="0.3">
      <c r="A62" s="341"/>
      <c r="B62" s="343"/>
      <c r="C62" s="270">
        <v>46143</v>
      </c>
      <c r="D62" s="272">
        <v>350</v>
      </c>
      <c r="E62" s="265">
        <v>350</v>
      </c>
      <c r="F62" s="264"/>
    </row>
    <row r="63" spans="1:6" ht="15.6" outlineLevel="1" x14ac:dyDescent="0.3">
      <c r="A63" s="341" t="s">
        <v>562</v>
      </c>
      <c r="B63" s="344" t="s">
        <v>561</v>
      </c>
      <c r="C63" s="270">
        <v>46174</v>
      </c>
      <c r="D63" s="266">
        <v>248</v>
      </c>
      <c r="E63" s="265">
        <v>248</v>
      </c>
      <c r="F63" s="264"/>
    </row>
    <row r="64" spans="1:6" ht="15.6" outlineLevel="1" x14ac:dyDescent="0.3">
      <c r="A64" s="341"/>
      <c r="B64" s="344"/>
      <c r="C64" s="270">
        <v>46204</v>
      </c>
      <c r="D64" s="266">
        <v>248</v>
      </c>
      <c r="E64" s="265">
        <v>248</v>
      </c>
      <c r="F64" s="264"/>
    </row>
    <row r="65" spans="1:8" ht="15.6" outlineLevel="1" x14ac:dyDescent="0.3">
      <c r="A65" s="341"/>
      <c r="B65" s="344"/>
      <c r="C65" s="270">
        <v>46235</v>
      </c>
      <c r="D65" s="266">
        <v>248</v>
      </c>
      <c r="E65" s="265">
        <v>248</v>
      </c>
      <c r="F65" s="264"/>
    </row>
    <row r="66" spans="1:8" ht="15.6" outlineLevel="1" x14ac:dyDescent="0.3">
      <c r="A66" s="341"/>
      <c r="B66" s="344"/>
      <c r="C66" s="270">
        <v>46266</v>
      </c>
      <c r="D66" s="266">
        <v>248</v>
      </c>
      <c r="E66" s="265">
        <v>248</v>
      </c>
      <c r="F66" s="264"/>
    </row>
    <row r="67" spans="1:8" ht="15.6" outlineLevel="1" x14ac:dyDescent="0.3">
      <c r="A67" s="341"/>
      <c r="B67" s="344"/>
      <c r="C67" s="270">
        <v>46296</v>
      </c>
      <c r="D67" s="266">
        <v>248</v>
      </c>
      <c r="E67" s="265">
        <v>248</v>
      </c>
      <c r="F67" s="264"/>
    </row>
    <row r="68" spans="1:8" ht="15.6" outlineLevel="1" x14ac:dyDescent="0.3">
      <c r="A68" s="341"/>
      <c r="B68" s="344"/>
      <c r="C68" s="270">
        <v>46327</v>
      </c>
      <c r="D68" s="266">
        <v>248</v>
      </c>
      <c r="E68" s="265">
        <v>248</v>
      </c>
      <c r="F68" s="264"/>
    </row>
    <row r="69" spans="1:8" ht="15.6" outlineLevel="1" x14ac:dyDescent="0.3">
      <c r="A69" s="341"/>
      <c r="B69" s="344"/>
      <c r="C69" s="270">
        <v>46357</v>
      </c>
      <c r="D69" s="266">
        <v>248</v>
      </c>
      <c r="E69" s="265">
        <v>248</v>
      </c>
      <c r="F69" s="264"/>
    </row>
    <row r="70" spans="1:8" ht="15.6" outlineLevel="1" x14ac:dyDescent="0.3">
      <c r="A70" s="341"/>
      <c r="B70" s="344"/>
      <c r="C70" s="270">
        <v>46414</v>
      </c>
      <c r="D70" s="266">
        <v>248</v>
      </c>
      <c r="E70" s="265">
        <v>248</v>
      </c>
      <c r="F70" s="264"/>
    </row>
    <row r="71" spans="1:8" ht="15.6" outlineLevel="1" x14ac:dyDescent="0.3">
      <c r="A71" s="341"/>
      <c r="B71" s="344"/>
      <c r="C71" s="270">
        <v>46419</v>
      </c>
      <c r="D71" s="266">
        <v>248</v>
      </c>
      <c r="E71" s="265">
        <v>248</v>
      </c>
      <c r="F71" s="264"/>
    </row>
    <row r="72" spans="1:8" ht="15.6" outlineLevel="1" x14ac:dyDescent="0.3">
      <c r="A72" s="341"/>
      <c r="B72" s="344"/>
      <c r="C72" s="270">
        <v>46473</v>
      </c>
      <c r="D72" s="266">
        <v>248</v>
      </c>
      <c r="E72" s="265">
        <v>248</v>
      </c>
      <c r="F72" s="264"/>
    </row>
    <row r="73" spans="1:8" ht="15.6" outlineLevel="1" x14ac:dyDescent="0.3">
      <c r="A73" s="341"/>
      <c r="B73" s="344"/>
      <c r="C73" s="270">
        <v>46478</v>
      </c>
      <c r="D73" s="266">
        <v>248</v>
      </c>
      <c r="E73" s="265">
        <v>248</v>
      </c>
      <c r="F73" s="264"/>
    </row>
    <row r="74" spans="1:8" ht="15.6" outlineLevel="1" x14ac:dyDescent="0.3">
      <c r="A74" s="341"/>
      <c r="B74" s="344"/>
      <c r="C74" s="270">
        <v>46143</v>
      </c>
      <c r="D74" s="266">
        <v>248</v>
      </c>
      <c r="E74" s="265">
        <v>248</v>
      </c>
      <c r="F74" s="264"/>
    </row>
    <row r="75" spans="1:8" ht="15.6" x14ac:dyDescent="0.3">
      <c r="A75" s="269" t="s">
        <v>560</v>
      </c>
      <c r="B75" s="268"/>
      <c r="C75" s="267" t="s">
        <v>12</v>
      </c>
      <c r="D75" s="266">
        <f>SUM(D27:D74)</f>
        <v>25212</v>
      </c>
      <c r="E75" s="265">
        <f>SUM(E27:E74)</f>
        <v>19476</v>
      </c>
      <c r="F75" s="264"/>
    </row>
    <row r="76" spans="1:8" ht="15.6" outlineLevel="1" x14ac:dyDescent="0.3">
      <c r="A76" s="349" t="s">
        <v>559</v>
      </c>
      <c r="B76" s="346" t="s">
        <v>558</v>
      </c>
      <c r="C76" s="270">
        <v>46174</v>
      </c>
      <c r="D76" s="272">
        <v>217</v>
      </c>
      <c r="E76" s="265">
        <v>200</v>
      </c>
      <c r="F76" s="271">
        <v>200</v>
      </c>
      <c r="G76" s="280">
        <f>SUM(E76,E88,E100,E112,E124)</f>
        <v>2880</v>
      </c>
    </row>
    <row r="77" spans="1:8" ht="15.6" outlineLevel="1" x14ac:dyDescent="0.3">
      <c r="A77" s="350"/>
      <c r="B77" s="347"/>
      <c r="C77" s="270">
        <v>46204</v>
      </c>
      <c r="D77" s="272">
        <v>217</v>
      </c>
      <c r="E77" s="265">
        <v>200</v>
      </c>
      <c r="F77" s="271">
        <v>200</v>
      </c>
      <c r="G77" s="280">
        <f t="shared" ref="G77:G78" si="3">SUM(E77,E89,E101,E113,E125)</f>
        <v>2880</v>
      </c>
    </row>
    <row r="78" spans="1:8" ht="15.6" outlineLevel="1" x14ac:dyDescent="0.3">
      <c r="A78" s="350"/>
      <c r="B78" s="347"/>
      <c r="C78" s="270">
        <v>46235</v>
      </c>
      <c r="D78" s="272">
        <v>217</v>
      </c>
      <c r="E78" s="265">
        <v>200</v>
      </c>
      <c r="F78" s="271">
        <v>200</v>
      </c>
      <c r="G78" s="280">
        <f t="shared" si="3"/>
        <v>2880</v>
      </c>
    </row>
    <row r="79" spans="1:8" ht="15.6" outlineLevel="1" x14ac:dyDescent="0.3">
      <c r="A79" s="350"/>
      <c r="B79" s="347"/>
      <c r="C79" s="270">
        <v>46266</v>
      </c>
      <c r="D79" s="272">
        <v>217</v>
      </c>
      <c r="E79" s="265">
        <v>150</v>
      </c>
      <c r="F79" s="338" t="s">
        <v>534</v>
      </c>
      <c r="G79" s="280">
        <f>SUM(E91,E127)</f>
        <v>1620</v>
      </c>
      <c r="H79" s="280">
        <f>SUM(E79,E103,E115)</f>
        <v>850</v>
      </c>
    </row>
    <row r="80" spans="1:8" ht="15.6" outlineLevel="1" x14ac:dyDescent="0.3">
      <c r="A80" s="350"/>
      <c r="B80" s="347"/>
      <c r="C80" s="270">
        <v>46296</v>
      </c>
      <c r="D80" s="272">
        <v>217</v>
      </c>
      <c r="E80" s="265">
        <v>150</v>
      </c>
      <c r="F80" s="339"/>
      <c r="H80" s="280">
        <f>SUM(E80,E92,E104,E116,E128)</f>
        <v>1650</v>
      </c>
    </row>
    <row r="81" spans="1:8" ht="15.6" outlineLevel="1" x14ac:dyDescent="0.3">
      <c r="A81" s="350"/>
      <c r="B81" s="347"/>
      <c r="C81" s="270">
        <v>46327</v>
      </c>
      <c r="D81" s="272">
        <v>217</v>
      </c>
      <c r="E81" s="265">
        <v>150</v>
      </c>
      <c r="F81" s="339"/>
      <c r="H81" s="280">
        <f t="shared" ref="H81:H87" si="4">SUM(E81,E93,E105,E117,E129)</f>
        <v>1650</v>
      </c>
    </row>
    <row r="82" spans="1:8" ht="15.6" outlineLevel="1" x14ac:dyDescent="0.3">
      <c r="A82" s="350"/>
      <c r="B82" s="347"/>
      <c r="C82" s="270">
        <v>46357</v>
      </c>
      <c r="D82" s="272">
        <v>217</v>
      </c>
      <c r="E82" s="265">
        <v>150</v>
      </c>
      <c r="F82" s="339"/>
      <c r="H82" s="280">
        <f t="shared" si="4"/>
        <v>1650</v>
      </c>
    </row>
    <row r="83" spans="1:8" ht="15.6" outlineLevel="1" x14ac:dyDescent="0.3">
      <c r="A83" s="350"/>
      <c r="B83" s="347"/>
      <c r="C83" s="270">
        <v>46414</v>
      </c>
      <c r="D83" s="272">
        <v>217</v>
      </c>
      <c r="E83" s="265">
        <v>150</v>
      </c>
      <c r="F83" s="339"/>
      <c r="H83" s="280">
        <f t="shared" si="4"/>
        <v>1650</v>
      </c>
    </row>
    <row r="84" spans="1:8" ht="15.6" outlineLevel="1" x14ac:dyDescent="0.3">
      <c r="A84" s="350"/>
      <c r="B84" s="347"/>
      <c r="C84" s="270">
        <v>46419</v>
      </c>
      <c r="D84" s="272">
        <v>217</v>
      </c>
      <c r="E84" s="265">
        <v>150</v>
      </c>
      <c r="F84" s="339"/>
      <c r="H84" s="280">
        <f t="shared" si="4"/>
        <v>1650</v>
      </c>
    </row>
    <row r="85" spans="1:8" ht="15.6" outlineLevel="1" x14ac:dyDescent="0.3">
      <c r="A85" s="350"/>
      <c r="B85" s="347"/>
      <c r="C85" s="270">
        <v>46473</v>
      </c>
      <c r="D85" s="272">
        <v>217</v>
      </c>
      <c r="E85" s="265">
        <v>150</v>
      </c>
      <c r="F85" s="339"/>
      <c r="H85" s="280">
        <f t="shared" si="4"/>
        <v>1650</v>
      </c>
    </row>
    <row r="86" spans="1:8" ht="15.6" outlineLevel="1" x14ac:dyDescent="0.3">
      <c r="A86" s="350"/>
      <c r="B86" s="347"/>
      <c r="C86" s="270">
        <v>46478</v>
      </c>
      <c r="D86" s="272">
        <v>217</v>
      </c>
      <c r="E86" s="265">
        <v>150</v>
      </c>
      <c r="F86" s="339"/>
      <c r="H86" s="280">
        <f t="shared" si="4"/>
        <v>1650</v>
      </c>
    </row>
    <row r="87" spans="1:8" ht="15.6" outlineLevel="1" x14ac:dyDescent="0.3">
      <c r="A87" s="351"/>
      <c r="B87" s="348"/>
      <c r="C87" s="270">
        <v>46143</v>
      </c>
      <c r="D87" s="272">
        <v>217</v>
      </c>
      <c r="E87" s="265">
        <v>150</v>
      </c>
      <c r="F87" s="340"/>
      <c r="H87" s="280">
        <f t="shared" si="4"/>
        <v>1600</v>
      </c>
    </row>
    <row r="88" spans="1:8" ht="15.6" outlineLevel="1" x14ac:dyDescent="0.3">
      <c r="A88" s="341" t="s">
        <v>557</v>
      </c>
      <c r="B88" s="342" t="s">
        <v>556</v>
      </c>
      <c r="C88" s="270">
        <v>46174</v>
      </c>
      <c r="D88" s="266">
        <v>1612</v>
      </c>
      <c r="E88" s="265">
        <v>1500</v>
      </c>
      <c r="F88" s="271">
        <v>1500</v>
      </c>
    </row>
    <row r="89" spans="1:8" ht="15.6" outlineLevel="1" x14ac:dyDescent="0.3">
      <c r="A89" s="341"/>
      <c r="B89" s="342"/>
      <c r="C89" s="270">
        <v>46204</v>
      </c>
      <c r="D89" s="266">
        <v>1612</v>
      </c>
      <c r="E89" s="265">
        <v>1500</v>
      </c>
      <c r="F89" s="271">
        <v>1500</v>
      </c>
    </row>
    <row r="90" spans="1:8" ht="15.6" outlineLevel="1" x14ac:dyDescent="0.3">
      <c r="A90" s="341"/>
      <c r="B90" s="342"/>
      <c r="C90" s="270">
        <v>46235</v>
      </c>
      <c r="D90" s="266">
        <v>1612</v>
      </c>
      <c r="E90" s="265">
        <v>1500</v>
      </c>
      <c r="F90" s="271">
        <v>1500</v>
      </c>
    </row>
    <row r="91" spans="1:8" ht="15.6" outlineLevel="1" x14ac:dyDescent="0.3">
      <c r="A91" s="341"/>
      <c r="B91" s="342"/>
      <c r="C91" s="270">
        <v>46266</v>
      </c>
      <c r="D91" s="266">
        <v>1612</v>
      </c>
      <c r="E91" s="265">
        <v>1500</v>
      </c>
      <c r="F91" s="271">
        <v>1500</v>
      </c>
    </row>
    <row r="92" spans="1:8" ht="15.6" outlineLevel="1" x14ac:dyDescent="0.3">
      <c r="A92" s="341"/>
      <c r="B92" s="342"/>
      <c r="C92" s="270">
        <v>46296</v>
      </c>
      <c r="D92" s="266">
        <v>1612</v>
      </c>
      <c r="E92" s="265">
        <v>700</v>
      </c>
      <c r="F92" s="338" t="s">
        <v>534</v>
      </c>
    </row>
    <row r="93" spans="1:8" ht="15.6" outlineLevel="1" x14ac:dyDescent="0.3">
      <c r="A93" s="341"/>
      <c r="B93" s="342"/>
      <c r="C93" s="270">
        <v>46327</v>
      </c>
      <c r="D93" s="266">
        <v>1612</v>
      </c>
      <c r="E93" s="265">
        <v>700</v>
      </c>
      <c r="F93" s="339"/>
    </row>
    <row r="94" spans="1:8" ht="15.6" outlineLevel="1" x14ac:dyDescent="0.3">
      <c r="A94" s="341"/>
      <c r="B94" s="342"/>
      <c r="C94" s="270">
        <v>46357</v>
      </c>
      <c r="D94" s="266">
        <v>1612</v>
      </c>
      <c r="E94" s="265">
        <v>700</v>
      </c>
      <c r="F94" s="339"/>
    </row>
    <row r="95" spans="1:8" ht="15.6" outlineLevel="1" x14ac:dyDescent="0.3">
      <c r="A95" s="341"/>
      <c r="B95" s="342"/>
      <c r="C95" s="270">
        <v>46414</v>
      </c>
      <c r="D95" s="266">
        <v>1612</v>
      </c>
      <c r="E95" s="265">
        <v>700</v>
      </c>
      <c r="F95" s="339"/>
    </row>
    <row r="96" spans="1:8" ht="15.6" outlineLevel="1" x14ac:dyDescent="0.3">
      <c r="A96" s="341"/>
      <c r="B96" s="342"/>
      <c r="C96" s="270">
        <v>46419</v>
      </c>
      <c r="D96" s="266">
        <v>1612</v>
      </c>
      <c r="E96" s="265">
        <v>700</v>
      </c>
      <c r="F96" s="339"/>
    </row>
    <row r="97" spans="1:6" ht="15.6" outlineLevel="1" x14ac:dyDescent="0.3">
      <c r="A97" s="341"/>
      <c r="B97" s="342"/>
      <c r="C97" s="270">
        <v>46473</v>
      </c>
      <c r="D97" s="266">
        <v>1612</v>
      </c>
      <c r="E97" s="265">
        <v>700</v>
      </c>
      <c r="F97" s="339"/>
    </row>
    <row r="98" spans="1:6" ht="15.6" outlineLevel="1" x14ac:dyDescent="0.3">
      <c r="A98" s="341"/>
      <c r="B98" s="342"/>
      <c r="C98" s="270">
        <v>46478</v>
      </c>
      <c r="D98" s="266">
        <v>1612</v>
      </c>
      <c r="E98" s="265">
        <v>700</v>
      </c>
      <c r="F98" s="339"/>
    </row>
    <row r="99" spans="1:6" ht="15.6" outlineLevel="1" x14ac:dyDescent="0.3">
      <c r="A99" s="341"/>
      <c r="B99" s="342"/>
      <c r="C99" s="270">
        <v>46143</v>
      </c>
      <c r="D99" s="266">
        <v>1612</v>
      </c>
      <c r="E99" s="265">
        <v>700</v>
      </c>
      <c r="F99" s="340"/>
    </row>
    <row r="100" spans="1:6" ht="15.6" outlineLevel="1" x14ac:dyDescent="0.3">
      <c r="A100" s="341" t="s">
        <v>555</v>
      </c>
      <c r="B100" s="343" t="s">
        <v>554</v>
      </c>
      <c r="C100" s="270">
        <v>46174</v>
      </c>
      <c r="D100" s="272">
        <v>780</v>
      </c>
      <c r="E100" s="265">
        <v>780</v>
      </c>
      <c r="F100" s="271">
        <v>780</v>
      </c>
    </row>
    <row r="101" spans="1:6" ht="15.6" outlineLevel="1" x14ac:dyDescent="0.3">
      <c r="A101" s="341"/>
      <c r="B101" s="343"/>
      <c r="C101" s="270">
        <v>46204</v>
      </c>
      <c r="D101" s="272">
        <v>780</v>
      </c>
      <c r="E101" s="265">
        <v>780</v>
      </c>
      <c r="F101" s="271">
        <v>780</v>
      </c>
    </row>
    <row r="102" spans="1:6" ht="15.6" outlineLevel="1" x14ac:dyDescent="0.3">
      <c r="A102" s="341"/>
      <c r="B102" s="343"/>
      <c r="C102" s="270">
        <v>46235</v>
      </c>
      <c r="D102" s="272">
        <v>780</v>
      </c>
      <c r="E102" s="265">
        <v>780</v>
      </c>
      <c r="F102" s="271">
        <v>780</v>
      </c>
    </row>
    <row r="103" spans="1:6" ht="15.6" outlineLevel="1" x14ac:dyDescent="0.3">
      <c r="A103" s="341"/>
      <c r="B103" s="343"/>
      <c r="C103" s="270">
        <v>46266</v>
      </c>
      <c r="D103" s="272">
        <v>780</v>
      </c>
      <c r="E103" s="265">
        <v>500</v>
      </c>
      <c r="F103" s="338" t="s">
        <v>534</v>
      </c>
    </row>
    <row r="104" spans="1:6" ht="15.6" outlineLevel="1" x14ac:dyDescent="0.3">
      <c r="A104" s="341"/>
      <c r="B104" s="343"/>
      <c r="C104" s="270">
        <v>46296</v>
      </c>
      <c r="D104" s="272">
        <v>780</v>
      </c>
      <c r="E104" s="265">
        <v>500</v>
      </c>
      <c r="F104" s="339"/>
    </row>
    <row r="105" spans="1:6" ht="15.6" outlineLevel="1" x14ac:dyDescent="0.3">
      <c r="A105" s="341"/>
      <c r="B105" s="343"/>
      <c r="C105" s="270">
        <v>46327</v>
      </c>
      <c r="D105" s="272">
        <v>780</v>
      </c>
      <c r="E105" s="265">
        <v>500</v>
      </c>
      <c r="F105" s="339"/>
    </row>
    <row r="106" spans="1:6" ht="15.6" outlineLevel="1" x14ac:dyDescent="0.3">
      <c r="A106" s="341"/>
      <c r="B106" s="343"/>
      <c r="C106" s="270">
        <v>46357</v>
      </c>
      <c r="D106" s="272">
        <v>780</v>
      </c>
      <c r="E106" s="265">
        <v>500</v>
      </c>
      <c r="F106" s="339"/>
    </row>
    <row r="107" spans="1:6" ht="15.6" outlineLevel="1" x14ac:dyDescent="0.3">
      <c r="A107" s="341"/>
      <c r="B107" s="343"/>
      <c r="C107" s="270">
        <v>46414</v>
      </c>
      <c r="D107" s="272">
        <v>780</v>
      </c>
      <c r="E107" s="265">
        <v>500</v>
      </c>
      <c r="F107" s="339"/>
    </row>
    <row r="108" spans="1:6" ht="15.6" outlineLevel="1" x14ac:dyDescent="0.3">
      <c r="A108" s="341"/>
      <c r="B108" s="343"/>
      <c r="C108" s="270">
        <v>46419</v>
      </c>
      <c r="D108" s="272">
        <v>780</v>
      </c>
      <c r="E108" s="265">
        <v>500</v>
      </c>
      <c r="F108" s="339"/>
    </row>
    <row r="109" spans="1:6" ht="15.6" outlineLevel="1" x14ac:dyDescent="0.3">
      <c r="A109" s="341"/>
      <c r="B109" s="343"/>
      <c r="C109" s="270">
        <v>46473</v>
      </c>
      <c r="D109" s="272">
        <v>780</v>
      </c>
      <c r="E109" s="265">
        <v>500</v>
      </c>
      <c r="F109" s="339"/>
    </row>
    <row r="110" spans="1:6" ht="15.6" outlineLevel="1" x14ac:dyDescent="0.3">
      <c r="A110" s="341"/>
      <c r="B110" s="343"/>
      <c r="C110" s="270">
        <v>46478</v>
      </c>
      <c r="D110" s="272">
        <v>780</v>
      </c>
      <c r="E110" s="265">
        <v>500</v>
      </c>
      <c r="F110" s="339"/>
    </row>
    <row r="111" spans="1:6" ht="15.6" outlineLevel="1" x14ac:dyDescent="0.3">
      <c r="A111" s="341"/>
      <c r="B111" s="343"/>
      <c r="C111" s="270">
        <v>46143</v>
      </c>
      <c r="D111" s="272">
        <v>780</v>
      </c>
      <c r="E111" s="265">
        <v>500</v>
      </c>
      <c r="F111" s="340"/>
    </row>
    <row r="112" spans="1:6" ht="15.6" outlineLevel="1" x14ac:dyDescent="0.3">
      <c r="A112" s="341" t="s">
        <v>553</v>
      </c>
      <c r="B112" s="342" t="s">
        <v>552</v>
      </c>
      <c r="C112" s="270">
        <v>46174</v>
      </c>
      <c r="D112" s="266">
        <v>280</v>
      </c>
      <c r="E112" s="265">
        <v>280</v>
      </c>
      <c r="F112" s="271">
        <v>280</v>
      </c>
    </row>
    <row r="113" spans="1:6" ht="15.6" outlineLevel="1" x14ac:dyDescent="0.3">
      <c r="A113" s="341"/>
      <c r="B113" s="342"/>
      <c r="C113" s="270">
        <v>46204</v>
      </c>
      <c r="D113" s="266">
        <v>280</v>
      </c>
      <c r="E113" s="265">
        <v>280</v>
      </c>
      <c r="F113" s="271">
        <v>280</v>
      </c>
    </row>
    <row r="114" spans="1:6" ht="15.6" outlineLevel="1" x14ac:dyDescent="0.3">
      <c r="A114" s="341"/>
      <c r="B114" s="342"/>
      <c r="C114" s="270">
        <v>46235</v>
      </c>
      <c r="D114" s="266">
        <v>280</v>
      </c>
      <c r="E114" s="265">
        <v>280</v>
      </c>
      <c r="F114" s="271">
        <v>280</v>
      </c>
    </row>
    <row r="115" spans="1:6" ht="15.6" outlineLevel="1" x14ac:dyDescent="0.3">
      <c r="A115" s="341"/>
      <c r="B115" s="342"/>
      <c r="C115" s="270">
        <v>46266</v>
      </c>
      <c r="D115" s="266">
        <v>280</v>
      </c>
      <c r="E115" s="265">
        <v>200</v>
      </c>
      <c r="F115" s="338" t="s">
        <v>534</v>
      </c>
    </row>
    <row r="116" spans="1:6" ht="15.6" outlineLevel="1" x14ac:dyDescent="0.3">
      <c r="A116" s="341"/>
      <c r="B116" s="342"/>
      <c r="C116" s="270">
        <v>46296</v>
      </c>
      <c r="D116" s="266">
        <v>280</v>
      </c>
      <c r="E116" s="265">
        <v>200</v>
      </c>
      <c r="F116" s="339"/>
    </row>
    <row r="117" spans="1:6" ht="15.6" outlineLevel="1" x14ac:dyDescent="0.3">
      <c r="A117" s="341"/>
      <c r="B117" s="342"/>
      <c r="C117" s="270">
        <v>46327</v>
      </c>
      <c r="D117" s="266">
        <v>280</v>
      </c>
      <c r="E117" s="265">
        <v>200</v>
      </c>
      <c r="F117" s="339"/>
    </row>
    <row r="118" spans="1:6" ht="15.6" outlineLevel="1" x14ac:dyDescent="0.3">
      <c r="A118" s="341"/>
      <c r="B118" s="342"/>
      <c r="C118" s="270">
        <v>46357</v>
      </c>
      <c r="D118" s="266">
        <v>280</v>
      </c>
      <c r="E118" s="265">
        <v>200</v>
      </c>
      <c r="F118" s="339"/>
    </row>
    <row r="119" spans="1:6" ht="15.6" outlineLevel="1" x14ac:dyDescent="0.3">
      <c r="A119" s="341"/>
      <c r="B119" s="342"/>
      <c r="C119" s="270">
        <v>46414</v>
      </c>
      <c r="D119" s="266">
        <v>280</v>
      </c>
      <c r="E119" s="265">
        <v>200</v>
      </c>
      <c r="F119" s="339"/>
    </row>
    <row r="120" spans="1:6" ht="15.6" outlineLevel="1" x14ac:dyDescent="0.3">
      <c r="A120" s="341"/>
      <c r="B120" s="342"/>
      <c r="C120" s="270">
        <v>46419</v>
      </c>
      <c r="D120" s="266">
        <v>280</v>
      </c>
      <c r="E120" s="265">
        <v>200</v>
      </c>
      <c r="F120" s="339"/>
    </row>
    <row r="121" spans="1:6" ht="15.6" outlineLevel="1" x14ac:dyDescent="0.3">
      <c r="A121" s="341"/>
      <c r="B121" s="342"/>
      <c r="C121" s="270">
        <v>46473</v>
      </c>
      <c r="D121" s="266">
        <v>280</v>
      </c>
      <c r="E121" s="265">
        <v>200</v>
      </c>
      <c r="F121" s="339"/>
    </row>
    <row r="122" spans="1:6" ht="15.6" outlineLevel="1" x14ac:dyDescent="0.3">
      <c r="A122" s="341"/>
      <c r="B122" s="342"/>
      <c r="C122" s="270">
        <v>46478</v>
      </c>
      <c r="D122" s="266">
        <v>280</v>
      </c>
      <c r="E122" s="265">
        <v>200</v>
      </c>
      <c r="F122" s="339"/>
    </row>
    <row r="123" spans="1:6" ht="15.6" outlineLevel="1" x14ac:dyDescent="0.3">
      <c r="A123" s="341"/>
      <c r="B123" s="342"/>
      <c r="C123" s="270">
        <v>46143</v>
      </c>
      <c r="D123" s="266">
        <v>280</v>
      </c>
      <c r="E123" s="265">
        <v>150</v>
      </c>
      <c r="F123" s="340"/>
    </row>
    <row r="124" spans="1:6" ht="15.6" outlineLevel="1" x14ac:dyDescent="0.3">
      <c r="A124" s="341" t="s">
        <v>551</v>
      </c>
      <c r="B124" s="343" t="s">
        <v>550</v>
      </c>
      <c r="C124" s="270">
        <v>46174</v>
      </c>
      <c r="D124" s="272">
        <v>150</v>
      </c>
      <c r="E124" s="265">
        <v>120</v>
      </c>
      <c r="F124" s="271">
        <v>120</v>
      </c>
    </row>
    <row r="125" spans="1:6" ht="15.6" outlineLevel="1" x14ac:dyDescent="0.3">
      <c r="A125" s="341"/>
      <c r="B125" s="343"/>
      <c r="C125" s="270">
        <v>46204</v>
      </c>
      <c r="D125" s="272">
        <v>150</v>
      </c>
      <c r="E125" s="265">
        <v>120</v>
      </c>
      <c r="F125" s="271">
        <v>120</v>
      </c>
    </row>
    <row r="126" spans="1:6" ht="15.6" outlineLevel="1" x14ac:dyDescent="0.3">
      <c r="A126" s="341"/>
      <c r="B126" s="343"/>
      <c r="C126" s="270">
        <v>46235</v>
      </c>
      <c r="D126" s="272">
        <v>150</v>
      </c>
      <c r="E126" s="265">
        <v>120</v>
      </c>
      <c r="F126" s="271">
        <v>120</v>
      </c>
    </row>
    <row r="127" spans="1:6" ht="15.6" outlineLevel="1" x14ac:dyDescent="0.3">
      <c r="A127" s="341"/>
      <c r="B127" s="343"/>
      <c r="C127" s="270">
        <v>46266</v>
      </c>
      <c r="D127" s="272">
        <v>150</v>
      </c>
      <c r="E127" s="265">
        <v>120</v>
      </c>
      <c r="F127" s="271">
        <v>120</v>
      </c>
    </row>
    <row r="128" spans="1:6" ht="15.6" outlineLevel="1" x14ac:dyDescent="0.3">
      <c r="A128" s="341"/>
      <c r="B128" s="343"/>
      <c r="C128" s="270">
        <v>46296</v>
      </c>
      <c r="D128" s="272">
        <v>150</v>
      </c>
      <c r="E128" s="265">
        <v>100</v>
      </c>
      <c r="F128" s="338" t="s">
        <v>534</v>
      </c>
    </row>
    <row r="129" spans="1:10" ht="15.6" outlineLevel="1" x14ac:dyDescent="0.3">
      <c r="A129" s="341"/>
      <c r="B129" s="343"/>
      <c r="C129" s="270">
        <v>46327</v>
      </c>
      <c r="D129" s="272">
        <v>150</v>
      </c>
      <c r="E129" s="265">
        <v>100</v>
      </c>
      <c r="F129" s="339"/>
    </row>
    <row r="130" spans="1:10" ht="15.6" outlineLevel="1" x14ac:dyDescent="0.3">
      <c r="A130" s="341"/>
      <c r="B130" s="343"/>
      <c r="C130" s="270">
        <v>46357</v>
      </c>
      <c r="D130" s="272">
        <v>150</v>
      </c>
      <c r="E130" s="265">
        <v>100</v>
      </c>
      <c r="F130" s="339"/>
    </row>
    <row r="131" spans="1:10" ht="15.6" outlineLevel="1" x14ac:dyDescent="0.3">
      <c r="A131" s="341"/>
      <c r="B131" s="343"/>
      <c r="C131" s="270">
        <v>46414</v>
      </c>
      <c r="D131" s="272">
        <v>150</v>
      </c>
      <c r="E131" s="265">
        <v>100</v>
      </c>
      <c r="F131" s="339"/>
    </row>
    <row r="132" spans="1:10" ht="15.6" outlineLevel="1" x14ac:dyDescent="0.3">
      <c r="A132" s="341"/>
      <c r="B132" s="343"/>
      <c r="C132" s="270">
        <v>46419</v>
      </c>
      <c r="D132" s="272">
        <v>150</v>
      </c>
      <c r="E132" s="265">
        <v>100</v>
      </c>
      <c r="F132" s="339"/>
    </row>
    <row r="133" spans="1:10" ht="15.6" outlineLevel="1" x14ac:dyDescent="0.3">
      <c r="A133" s="341"/>
      <c r="B133" s="343"/>
      <c r="C133" s="270">
        <v>46473</v>
      </c>
      <c r="D133" s="272">
        <v>150</v>
      </c>
      <c r="E133" s="265">
        <v>100</v>
      </c>
      <c r="F133" s="339"/>
    </row>
    <row r="134" spans="1:10" ht="15.6" outlineLevel="1" x14ac:dyDescent="0.3">
      <c r="A134" s="341"/>
      <c r="B134" s="343"/>
      <c r="C134" s="270">
        <v>46478</v>
      </c>
      <c r="D134" s="272">
        <v>150</v>
      </c>
      <c r="E134" s="265">
        <v>100</v>
      </c>
      <c r="F134" s="339"/>
    </row>
    <row r="135" spans="1:10" ht="15.6" outlineLevel="1" x14ac:dyDescent="0.3">
      <c r="A135" s="341"/>
      <c r="B135" s="343"/>
      <c r="C135" s="270">
        <v>46143</v>
      </c>
      <c r="D135" s="272">
        <v>150</v>
      </c>
      <c r="E135" s="265">
        <v>100</v>
      </c>
      <c r="F135" s="340"/>
    </row>
    <row r="136" spans="1:10" ht="15.6" x14ac:dyDescent="0.3">
      <c r="A136" s="269" t="s">
        <v>549</v>
      </c>
      <c r="B136" s="268"/>
      <c r="C136" s="267" t="s">
        <v>12</v>
      </c>
      <c r="D136" s="266">
        <f>SUM(D76:D135)</f>
        <v>36468</v>
      </c>
      <c r="E136" s="265">
        <f>SUM(E76:E135)</f>
        <v>24260</v>
      </c>
      <c r="F136" s="264"/>
      <c r="I136" t="s">
        <v>579</v>
      </c>
      <c r="J136" t="s">
        <v>580</v>
      </c>
    </row>
    <row r="137" spans="1:10" ht="15.6" outlineLevel="1" x14ac:dyDescent="0.3">
      <c r="A137" s="341" t="s">
        <v>548</v>
      </c>
      <c r="B137" s="342" t="s">
        <v>547</v>
      </c>
      <c r="C137" s="270">
        <v>46174</v>
      </c>
      <c r="D137" s="266">
        <v>540</v>
      </c>
      <c r="E137" s="265">
        <v>540</v>
      </c>
      <c r="H137" s="280">
        <f>SUM(E137,E149,E161,E173,E185,E197,E209)</f>
        <v>4472</v>
      </c>
      <c r="I137" s="280">
        <f>SUM(E137,E149,E185,E209)</f>
        <v>1940</v>
      </c>
      <c r="J137" s="280">
        <f>SUM(E161,E173,E197)</f>
        <v>2532</v>
      </c>
    </row>
    <row r="138" spans="1:10" ht="15.6" outlineLevel="1" x14ac:dyDescent="0.3">
      <c r="A138" s="341"/>
      <c r="B138" s="342"/>
      <c r="C138" s="270">
        <v>46204</v>
      </c>
      <c r="D138" s="266">
        <v>540</v>
      </c>
      <c r="E138" s="265">
        <v>540</v>
      </c>
      <c r="F138" s="264"/>
      <c r="H138" s="280">
        <f t="shared" ref="H138:H139" si="5">SUM(E138,E150,E162,E174,E186,E198,E210)</f>
        <v>4472</v>
      </c>
      <c r="I138" s="280">
        <f t="shared" ref="I138:I139" si="6">SUM(E138,E150,E186,E210)</f>
        <v>1940</v>
      </c>
      <c r="J138" s="280">
        <f t="shared" ref="J138:J140" si="7">SUM(E162,E174,E198)</f>
        <v>2532</v>
      </c>
    </row>
    <row r="139" spans="1:10" ht="15.6" outlineLevel="1" x14ac:dyDescent="0.3">
      <c r="A139" s="341"/>
      <c r="B139" s="342"/>
      <c r="C139" s="270">
        <v>46235</v>
      </c>
      <c r="D139" s="266">
        <v>540</v>
      </c>
      <c r="E139" s="265">
        <v>540</v>
      </c>
      <c r="F139" s="264"/>
      <c r="H139" s="280">
        <f t="shared" si="5"/>
        <v>4472</v>
      </c>
      <c r="I139" s="280">
        <f t="shared" si="6"/>
        <v>1940</v>
      </c>
      <c r="J139" s="280">
        <f t="shared" si="7"/>
        <v>2532</v>
      </c>
    </row>
    <row r="140" spans="1:10" ht="15.6" outlineLevel="1" x14ac:dyDescent="0.3">
      <c r="A140" s="341"/>
      <c r="B140" s="342"/>
      <c r="C140" s="270">
        <v>46266</v>
      </c>
      <c r="D140" s="266">
        <v>540</v>
      </c>
      <c r="E140" s="265">
        <v>540</v>
      </c>
      <c r="F140" s="264"/>
      <c r="H140" s="280">
        <f>SUM(E140,E152,E164,E176,E188,E200)</f>
        <v>4072</v>
      </c>
      <c r="I140" s="280">
        <f>SUM(E140,E152,E188)</f>
        <v>1540</v>
      </c>
      <c r="J140" s="280">
        <f t="shared" si="7"/>
        <v>2532</v>
      </c>
    </row>
    <row r="141" spans="1:10" ht="15.6" outlineLevel="1" x14ac:dyDescent="0.3">
      <c r="A141" s="341"/>
      <c r="B141" s="342"/>
      <c r="C141" s="270">
        <v>46296</v>
      </c>
      <c r="D141" s="266">
        <v>540</v>
      </c>
      <c r="E141" s="265">
        <v>300</v>
      </c>
      <c r="F141" s="264"/>
      <c r="H141" s="280">
        <f>SUM(E141,E153,E165,E177,E189)</f>
        <v>3232</v>
      </c>
      <c r="I141" s="280">
        <f t="shared" ref="I141:I148" si="8">SUM(E141,E153,E189)</f>
        <v>1000</v>
      </c>
      <c r="J141" s="280">
        <f>SUM(E165,E177)</f>
        <v>2232</v>
      </c>
    </row>
    <row r="142" spans="1:10" ht="15.6" outlineLevel="1" x14ac:dyDescent="0.3">
      <c r="A142" s="341"/>
      <c r="B142" s="342"/>
      <c r="C142" s="270">
        <v>46327</v>
      </c>
      <c r="D142" s="266">
        <v>540</v>
      </c>
      <c r="E142" s="265">
        <v>300</v>
      </c>
      <c r="F142" s="264"/>
      <c r="H142" s="280">
        <f t="shared" ref="H142:H148" si="9">SUM(E142,E154,E166,E178,E190)</f>
        <v>2982</v>
      </c>
      <c r="I142" s="280">
        <f t="shared" si="8"/>
        <v>750</v>
      </c>
      <c r="J142" s="280">
        <f t="shared" ref="J142:J148" si="10">SUM(E166,E178)</f>
        <v>2232</v>
      </c>
    </row>
    <row r="143" spans="1:10" ht="15.6" outlineLevel="1" x14ac:dyDescent="0.3">
      <c r="A143" s="341"/>
      <c r="B143" s="342"/>
      <c r="C143" s="270">
        <v>46357</v>
      </c>
      <c r="D143" s="266">
        <v>540</v>
      </c>
      <c r="E143" s="265">
        <v>300</v>
      </c>
      <c r="F143" s="264"/>
      <c r="H143" s="280">
        <f t="shared" si="9"/>
        <v>2832</v>
      </c>
      <c r="I143" s="280">
        <f t="shared" si="8"/>
        <v>600</v>
      </c>
      <c r="J143" s="280">
        <f t="shared" si="10"/>
        <v>2232</v>
      </c>
    </row>
    <row r="144" spans="1:10" ht="15.6" outlineLevel="1" x14ac:dyDescent="0.3">
      <c r="A144" s="341"/>
      <c r="B144" s="342"/>
      <c r="C144" s="270">
        <v>46414</v>
      </c>
      <c r="D144" s="266">
        <v>540</v>
      </c>
      <c r="E144" s="265">
        <v>300</v>
      </c>
      <c r="F144" s="264"/>
      <c r="H144" s="280">
        <f t="shared" si="9"/>
        <v>2832</v>
      </c>
      <c r="I144" s="280">
        <f t="shared" si="8"/>
        <v>600</v>
      </c>
      <c r="J144" s="280">
        <f t="shared" si="10"/>
        <v>2232</v>
      </c>
    </row>
    <row r="145" spans="1:10" ht="15.6" outlineLevel="1" x14ac:dyDescent="0.3">
      <c r="A145" s="341"/>
      <c r="B145" s="342"/>
      <c r="C145" s="270">
        <v>46419</v>
      </c>
      <c r="D145" s="266">
        <v>540</v>
      </c>
      <c r="E145" s="265">
        <v>300</v>
      </c>
      <c r="F145" s="264"/>
      <c r="H145" s="280">
        <f t="shared" si="9"/>
        <v>2832</v>
      </c>
      <c r="I145" s="280">
        <f t="shared" si="8"/>
        <v>600</v>
      </c>
      <c r="J145" s="280">
        <f t="shared" si="10"/>
        <v>2232</v>
      </c>
    </row>
    <row r="146" spans="1:10" ht="15.6" outlineLevel="1" x14ac:dyDescent="0.3">
      <c r="A146" s="341"/>
      <c r="B146" s="342"/>
      <c r="C146" s="270">
        <v>46473</v>
      </c>
      <c r="D146" s="266">
        <v>540</v>
      </c>
      <c r="E146" s="265">
        <v>300</v>
      </c>
      <c r="F146" s="264"/>
      <c r="H146" s="280">
        <f t="shared" si="9"/>
        <v>2832</v>
      </c>
      <c r="I146" s="280">
        <f t="shared" si="8"/>
        <v>600</v>
      </c>
      <c r="J146" s="280">
        <f t="shared" si="10"/>
        <v>2232</v>
      </c>
    </row>
    <row r="147" spans="1:10" ht="15.6" outlineLevel="1" x14ac:dyDescent="0.3">
      <c r="A147" s="341"/>
      <c r="B147" s="342"/>
      <c r="C147" s="270">
        <v>46478</v>
      </c>
      <c r="D147" s="266">
        <v>540</v>
      </c>
      <c r="E147" s="265">
        <v>300</v>
      </c>
      <c r="F147" s="264"/>
      <c r="H147" s="280">
        <f t="shared" si="9"/>
        <v>2832</v>
      </c>
      <c r="I147" s="280">
        <f t="shared" si="8"/>
        <v>600</v>
      </c>
      <c r="J147" s="280">
        <f t="shared" si="10"/>
        <v>2232</v>
      </c>
    </row>
    <row r="148" spans="1:10" ht="15.6" outlineLevel="1" x14ac:dyDescent="0.3">
      <c r="A148" s="341"/>
      <c r="B148" s="342"/>
      <c r="C148" s="270">
        <v>46143</v>
      </c>
      <c r="D148" s="266">
        <v>540</v>
      </c>
      <c r="E148" s="265">
        <v>300</v>
      </c>
      <c r="F148" s="264"/>
      <c r="H148" s="280">
        <f t="shared" si="9"/>
        <v>2832</v>
      </c>
      <c r="I148" s="280">
        <f t="shared" si="8"/>
        <v>600</v>
      </c>
      <c r="J148" s="280">
        <f t="shared" si="10"/>
        <v>2232</v>
      </c>
    </row>
    <row r="149" spans="1:10" ht="15.6" outlineLevel="1" x14ac:dyDescent="0.3">
      <c r="A149" s="341" t="s">
        <v>546</v>
      </c>
      <c r="B149" s="343" t="s">
        <v>545</v>
      </c>
      <c r="C149" s="270">
        <v>46174</v>
      </c>
      <c r="D149" s="272">
        <v>420</v>
      </c>
      <c r="E149" s="265">
        <v>400</v>
      </c>
      <c r="F149" s="264"/>
    </row>
    <row r="150" spans="1:10" ht="15.6" outlineLevel="1" x14ac:dyDescent="0.3">
      <c r="A150" s="341"/>
      <c r="B150" s="343"/>
      <c r="C150" s="270">
        <v>46204</v>
      </c>
      <c r="D150" s="272">
        <v>420</v>
      </c>
      <c r="E150" s="265">
        <v>400</v>
      </c>
      <c r="F150" s="264"/>
    </row>
    <row r="151" spans="1:10" ht="15.6" outlineLevel="1" x14ac:dyDescent="0.3">
      <c r="A151" s="341"/>
      <c r="B151" s="343"/>
      <c r="C151" s="270">
        <v>46235</v>
      </c>
      <c r="D151" s="272">
        <v>420</v>
      </c>
      <c r="E151" s="265">
        <v>400</v>
      </c>
      <c r="F151" s="264"/>
    </row>
    <row r="152" spans="1:10" ht="15.6" outlineLevel="1" x14ac:dyDescent="0.3">
      <c r="A152" s="341"/>
      <c r="B152" s="343"/>
      <c r="C152" s="270">
        <v>46266</v>
      </c>
      <c r="D152" s="272">
        <v>420</v>
      </c>
      <c r="E152" s="265">
        <v>400</v>
      </c>
      <c r="F152" s="264"/>
    </row>
    <row r="153" spans="1:10" ht="15.6" outlineLevel="1" x14ac:dyDescent="0.3">
      <c r="A153" s="341"/>
      <c r="B153" s="343"/>
      <c r="C153" s="270">
        <v>46296</v>
      </c>
      <c r="D153" s="272">
        <v>420</v>
      </c>
      <c r="E153" s="265">
        <v>400</v>
      </c>
      <c r="F153" s="264"/>
    </row>
    <row r="154" spans="1:10" ht="15.6" outlineLevel="1" x14ac:dyDescent="0.3">
      <c r="A154" s="341"/>
      <c r="B154" s="343"/>
      <c r="C154" s="270">
        <v>46327</v>
      </c>
      <c r="D154" s="272">
        <v>420</v>
      </c>
      <c r="E154" s="265">
        <v>150</v>
      </c>
      <c r="F154" s="264"/>
    </row>
    <row r="155" spans="1:10" ht="15.6" outlineLevel="1" x14ac:dyDescent="0.3">
      <c r="A155" s="341"/>
      <c r="B155" s="343"/>
      <c r="C155" s="270">
        <v>46357</v>
      </c>
      <c r="D155" s="272">
        <v>420</v>
      </c>
      <c r="E155" s="265">
        <v>150</v>
      </c>
      <c r="F155" s="264"/>
    </row>
    <row r="156" spans="1:10" ht="15.6" outlineLevel="1" x14ac:dyDescent="0.3">
      <c r="A156" s="341"/>
      <c r="B156" s="343"/>
      <c r="C156" s="270">
        <v>46414</v>
      </c>
      <c r="D156" s="272">
        <v>420</v>
      </c>
      <c r="E156" s="265">
        <v>150</v>
      </c>
      <c r="F156" s="264"/>
    </row>
    <row r="157" spans="1:10" ht="15.6" outlineLevel="1" x14ac:dyDescent="0.3">
      <c r="A157" s="341"/>
      <c r="B157" s="343"/>
      <c r="C157" s="270">
        <v>46419</v>
      </c>
      <c r="D157" s="272">
        <v>420</v>
      </c>
      <c r="E157" s="265">
        <v>150</v>
      </c>
      <c r="F157" s="264"/>
    </row>
    <row r="158" spans="1:10" ht="15.6" outlineLevel="1" x14ac:dyDescent="0.3">
      <c r="A158" s="341"/>
      <c r="B158" s="343"/>
      <c r="C158" s="270">
        <v>46473</v>
      </c>
      <c r="D158" s="272">
        <v>420</v>
      </c>
      <c r="E158" s="265">
        <v>150</v>
      </c>
      <c r="F158" s="264"/>
    </row>
    <row r="159" spans="1:10" ht="15.6" outlineLevel="1" x14ac:dyDescent="0.3">
      <c r="A159" s="341"/>
      <c r="B159" s="343"/>
      <c r="C159" s="270">
        <v>46478</v>
      </c>
      <c r="D159" s="272">
        <v>420</v>
      </c>
      <c r="E159" s="265">
        <v>150</v>
      </c>
      <c r="F159" s="264"/>
    </row>
    <row r="160" spans="1:10" ht="15.6" outlineLevel="1" x14ac:dyDescent="0.3">
      <c r="A160" s="341"/>
      <c r="B160" s="343"/>
      <c r="C160" s="270">
        <v>46143</v>
      </c>
      <c r="D160" s="272">
        <v>420</v>
      </c>
      <c r="E160" s="265">
        <v>150</v>
      </c>
      <c r="F160" s="264"/>
    </row>
    <row r="161" spans="1:6" ht="15.6" outlineLevel="1" x14ac:dyDescent="0.3">
      <c r="A161" s="341" t="s">
        <v>544</v>
      </c>
      <c r="B161" s="342" t="s">
        <v>543</v>
      </c>
      <c r="C161" s="270">
        <v>46174</v>
      </c>
      <c r="D161" s="266">
        <v>1116</v>
      </c>
      <c r="E161" s="265">
        <v>1116</v>
      </c>
      <c r="F161" s="264"/>
    </row>
    <row r="162" spans="1:6" ht="15.6" outlineLevel="1" x14ac:dyDescent="0.3">
      <c r="A162" s="341"/>
      <c r="B162" s="342"/>
      <c r="C162" s="270">
        <v>46204</v>
      </c>
      <c r="D162" s="266">
        <v>1116</v>
      </c>
      <c r="E162" s="265">
        <v>1116</v>
      </c>
      <c r="F162" s="264"/>
    </row>
    <row r="163" spans="1:6" ht="15.6" outlineLevel="1" x14ac:dyDescent="0.3">
      <c r="A163" s="341"/>
      <c r="B163" s="342"/>
      <c r="C163" s="270">
        <v>46235</v>
      </c>
      <c r="D163" s="266">
        <v>1116</v>
      </c>
      <c r="E163" s="265">
        <v>1116</v>
      </c>
      <c r="F163" s="264"/>
    </row>
    <row r="164" spans="1:6" ht="15.6" outlineLevel="1" x14ac:dyDescent="0.3">
      <c r="A164" s="341"/>
      <c r="B164" s="342"/>
      <c r="C164" s="270">
        <v>46266</v>
      </c>
      <c r="D164" s="266">
        <v>1116</v>
      </c>
      <c r="E164" s="265">
        <v>1116</v>
      </c>
      <c r="F164" s="264"/>
    </row>
    <row r="165" spans="1:6" ht="15.6" outlineLevel="1" x14ac:dyDescent="0.3">
      <c r="A165" s="341"/>
      <c r="B165" s="342"/>
      <c r="C165" s="270">
        <v>46296</v>
      </c>
      <c r="D165" s="266">
        <v>1116</v>
      </c>
      <c r="E165" s="265">
        <v>1116</v>
      </c>
      <c r="F165" s="264"/>
    </row>
    <row r="166" spans="1:6" ht="15.6" outlineLevel="1" x14ac:dyDescent="0.3">
      <c r="A166" s="341"/>
      <c r="B166" s="342"/>
      <c r="C166" s="270">
        <v>46327</v>
      </c>
      <c r="D166" s="266">
        <v>1116</v>
      </c>
      <c r="E166" s="265">
        <v>1116</v>
      </c>
      <c r="F166" s="264"/>
    </row>
    <row r="167" spans="1:6" ht="15.6" outlineLevel="1" x14ac:dyDescent="0.3">
      <c r="A167" s="341"/>
      <c r="B167" s="342"/>
      <c r="C167" s="270">
        <v>46357</v>
      </c>
      <c r="D167" s="266">
        <v>1116</v>
      </c>
      <c r="E167" s="265">
        <v>1116</v>
      </c>
      <c r="F167" s="264"/>
    </row>
    <row r="168" spans="1:6" ht="15.6" outlineLevel="1" x14ac:dyDescent="0.3">
      <c r="A168" s="341"/>
      <c r="B168" s="342"/>
      <c r="C168" s="270">
        <v>46414</v>
      </c>
      <c r="D168" s="266">
        <v>1116</v>
      </c>
      <c r="E168" s="265">
        <v>1116</v>
      </c>
      <c r="F168" s="264"/>
    </row>
    <row r="169" spans="1:6" ht="15.6" outlineLevel="1" x14ac:dyDescent="0.3">
      <c r="A169" s="341"/>
      <c r="B169" s="342"/>
      <c r="C169" s="270">
        <v>46419</v>
      </c>
      <c r="D169" s="266">
        <v>1116</v>
      </c>
      <c r="E169" s="265">
        <v>1116</v>
      </c>
      <c r="F169" s="264"/>
    </row>
    <row r="170" spans="1:6" ht="15.6" outlineLevel="1" x14ac:dyDescent="0.3">
      <c r="A170" s="341"/>
      <c r="B170" s="342"/>
      <c r="C170" s="270">
        <v>46473</v>
      </c>
      <c r="D170" s="266">
        <v>1116</v>
      </c>
      <c r="E170" s="265">
        <v>1116</v>
      </c>
      <c r="F170" s="264"/>
    </row>
    <row r="171" spans="1:6" ht="15.6" outlineLevel="1" x14ac:dyDescent="0.3">
      <c r="A171" s="341"/>
      <c r="B171" s="342"/>
      <c r="C171" s="270">
        <v>46478</v>
      </c>
      <c r="D171" s="266">
        <v>1116</v>
      </c>
      <c r="E171" s="265">
        <v>1116</v>
      </c>
      <c r="F171" s="264"/>
    </row>
    <row r="172" spans="1:6" ht="15.6" outlineLevel="1" x14ac:dyDescent="0.3">
      <c r="A172" s="341"/>
      <c r="B172" s="342"/>
      <c r="C172" s="270">
        <v>46143</v>
      </c>
      <c r="D172" s="266">
        <v>1116</v>
      </c>
      <c r="E172" s="265">
        <v>1116</v>
      </c>
      <c r="F172" s="264"/>
    </row>
    <row r="173" spans="1:6" ht="15.6" outlineLevel="1" x14ac:dyDescent="0.3">
      <c r="A173" s="341" t="s">
        <v>542</v>
      </c>
      <c r="B173" s="343" t="s">
        <v>541</v>
      </c>
      <c r="C173" s="270">
        <v>46174</v>
      </c>
      <c r="D173" s="272">
        <v>1116</v>
      </c>
      <c r="E173" s="265">
        <v>1116</v>
      </c>
      <c r="F173" s="264"/>
    </row>
    <row r="174" spans="1:6" ht="15.6" outlineLevel="1" x14ac:dyDescent="0.3">
      <c r="A174" s="341"/>
      <c r="B174" s="343"/>
      <c r="C174" s="270">
        <v>46204</v>
      </c>
      <c r="D174" s="272">
        <v>1116</v>
      </c>
      <c r="E174" s="265">
        <v>1116</v>
      </c>
      <c r="F174" s="264"/>
    </row>
    <row r="175" spans="1:6" ht="15.6" outlineLevel="1" x14ac:dyDescent="0.3">
      <c r="A175" s="341"/>
      <c r="B175" s="343"/>
      <c r="C175" s="270">
        <v>46235</v>
      </c>
      <c r="D175" s="272">
        <v>1116</v>
      </c>
      <c r="E175" s="265">
        <v>1116</v>
      </c>
      <c r="F175" s="264"/>
    </row>
    <row r="176" spans="1:6" ht="15.6" outlineLevel="1" x14ac:dyDescent="0.3">
      <c r="A176" s="341"/>
      <c r="B176" s="343"/>
      <c r="C176" s="270">
        <v>46266</v>
      </c>
      <c r="D176" s="272">
        <v>1116</v>
      </c>
      <c r="E176" s="265">
        <v>1116</v>
      </c>
      <c r="F176" s="264"/>
    </row>
    <row r="177" spans="1:6" ht="15.6" outlineLevel="1" x14ac:dyDescent="0.3">
      <c r="A177" s="341"/>
      <c r="B177" s="343"/>
      <c r="C177" s="270">
        <v>46296</v>
      </c>
      <c r="D177" s="272">
        <v>1116</v>
      </c>
      <c r="E177" s="265">
        <v>1116</v>
      </c>
      <c r="F177" s="264"/>
    </row>
    <row r="178" spans="1:6" ht="15.6" outlineLevel="1" x14ac:dyDescent="0.3">
      <c r="A178" s="341"/>
      <c r="B178" s="343"/>
      <c r="C178" s="270">
        <v>46327</v>
      </c>
      <c r="D178" s="272">
        <v>1116</v>
      </c>
      <c r="E178" s="265">
        <v>1116</v>
      </c>
      <c r="F178" s="264"/>
    </row>
    <row r="179" spans="1:6" ht="15.6" outlineLevel="1" x14ac:dyDescent="0.3">
      <c r="A179" s="341"/>
      <c r="B179" s="343"/>
      <c r="C179" s="270">
        <v>46357</v>
      </c>
      <c r="D179" s="272">
        <v>1116</v>
      </c>
      <c r="E179" s="265">
        <v>1116</v>
      </c>
      <c r="F179" s="264"/>
    </row>
    <row r="180" spans="1:6" ht="15.6" outlineLevel="1" x14ac:dyDescent="0.3">
      <c r="A180" s="341"/>
      <c r="B180" s="343"/>
      <c r="C180" s="270">
        <v>46414</v>
      </c>
      <c r="D180" s="272">
        <v>1116</v>
      </c>
      <c r="E180" s="265">
        <v>1116</v>
      </c>
      <c r="F180" s="264"/>
    </row>
    <row r="181" spans="1:6" ht="15.6" outlineLevel="1" x14ac:dyDescent="0.3">
      <c r="A181" s="341"/>
      <c r="B181" s="343"/>
      <c r="C181" s="270">
        <v>46419</v>
      </c>
      <c r="D181" s="272">
        <v>1116</v>
      </c>
      <c r="E181" s="265">
        <v>1116</v>
      </c>
      <c r="F181" s="264"/>
    </row>
    <row r="182" spans="1:6" ht="15.6" outlineLevel="1" x14ac:dyDescent="0.3">
      <c r="A182" s="341"/>
      <c r="B182" s="343"/>
      <c r="C182" s="270">
        <v>46473</v>
      </c>
      <c r="D182" s="272">
        <v>1116</v>
      </c>
      <c r="E182" s="265">
        <v>1116</v>
      </c>
      <c r="F182" s="264"/>
    </row>
    <row r="183" spans="1:6" ht="15.6" outlineLevel="1" x14ac:dyDescent="0.3">
      <c r="A183" s="341"/>
      <c r="B183" s="343"/>
      <c r="C183" s="270">
        <v>46478</v>
      </c>
      <c r="D183" s="272">
        <v>1116</v>
      </c>
      <c r="E183" s="265">
        <v>1116</v>
      </c>
      <c r="F183" s="264"/>
    </row>
    <row r="184" spans="1:6" ht="15.6" outlineLevel="1" x14ac:dyDescent="0.3">
      <c r="A184" s="341"/>
      <c r="B184" s="343"/>
      <c r="C184" s="270">
        <v>46143</v>
      </c>
      <c r="D184" s="272">
        <v>1116</v>
      </c>
      <c r="E184" s="265">
        <v>1116</v>
      </c>
      <c r="F184" s="264"/>
    </row>
    <row r="185" spans="1:6" ht="15.6" outlineLevel="1" x14ac:dyDescent="0.3">
      <c r="A185" s="341" t="s">
        <v>540</v>
      </c>
      <c r="B185" s="342" t="s">
        <v>539</v>
      </c>
      <c r="C185" s="270">
        <v>46174</v>
      </c>
      <c r="D185" s="266">
        <v>600</v>
      </c>
      <c r="E185" s="265">
        <v>600</v>
      </c>
      <c r="F185" s="264"/>
    </row>
    <row r="186" spans="1:6" ht="15.6" outlineLevel="1" x14ac:dyDescent="0.3">
      <c r="A186" s="341"/>
      <c r="B186" s="342"/>
      <c r="C186" s="270">
        <v>46204</v>
      </c>
      <c r="D186" s="266">
        <v>600</v>
      </c>
      <c r="E186" s="265">
        <v>600</v>
      </c>
      <c r="F186" s="264"/>
    </row>
    <row r="187" spans="1:6" ht="15.6" outlineLevel="1" x14ac:dyDescent="0.3">
      <c r="A187" s="341"/>
      <c r="B187" s="342"/>
      <c r="C187" s="270">
        <v>46235</v>
      </c>
      <c r="D187" s="266">
        <v>600</v>
      </c>
      <c r="E187" s="265">
        <v>600</v>
      </c>
      <c r="F187" s="264"/>
    </row>
    <row r="188" spans="1:6" ht="15.6" outlineLevel="1" x14ac:dyDescent="0.3">
      <c r="A188" s="341"/>
      <c r="B188" s="342"/>
      <c r="C188" s="270">
        <v>46266</v>
      </c>
      <c r="D188" s="266">
        <v>600</v>
      </c>
      <c r="E188" s="265">
        <v>600</v>
      </c>
      <c r="F188" s="264"/>
    </row>
    <row r="189" spans="1:6" ht="15.6" outlineLevel="1" x14ac:dyDescent="0.3">
      <c r="A189" s="341"/>
      <c r="B189" s="342"/>
      <c r="C189" s="270">
        <v>46296</v>
      </c>
      <c r="D189" s="266">
        <v>600</v>
      </c>
      <c r="E189" s="265">
        <v>300</v>
      </c>
      <c r="F189" s="264"/>
    </row>
    <row r="190" spans="1:6" ht="15.6" outlineLevel="1" x14ac:dyDescent="0.3">
      <c r="A190" s="341"/>
      <c r="B190" s="342"/>
      <c r="C190" s="270">
        <v>46327</v>
      </c>
      <c r="D190" s="266">
        <v>600</v>
      </c>
      <c r="E190" s="265">
        <v>300</v>
      </c>
      <c r="F190" s="264"/>
    </row>
    <row r="191" spans="1:6" ht="15.6" outlineLevel="1" x14ac:dyDescent="0.3">
      <c r="A191" s="341"/>
      <c r="B191" s="342"/>
      <c r="C191" s="270">
        <v>46357</v>
      </c>
      <c r="D191" s="266">
        <v>600</v>
      </c>
      <c r="E191" s="265">
        <v>150</v>
      </c>
      <c r="F191" s="264"/>
    </row>
    <row r="192" spans="1:6" ht="15.6" outlineLevel="1" x14ac:dyDescent="0.3">
      <c r="A192" s="341"/>
      <c r="B192" s="342"/>
      <c r="C192" s="270">
        <v>46414</v>
      </c>
      <c r="D192" s="266">
        <v>600</v>
      </c>
      <c r="E192" s="265">
        <v>150</v>
      </c>
      <c r="F192" s="264"/>
    </row>
    <row r="193" spans="1:10" ht="15.6" outlineLevel="1" x14ac:dyDescent="0.3">
      <c r="A193" s="341"/>
      <c r="B193" s="342"/>
      <c r="C193" s="270">
        <v>46419</v>
      </c>
      <c r="D193" s="266">
        <v>600</v>
      </c>
      <c r="E193" s="265">
        <v>150</v>
      </c>
      <c r="F193" s="264"/>
    </row>
    <row r="194" spans="1:10" ht="15.6" outlineLevel="1" x14ac:dyDescent="0.3">
      <c r="A194" s="341"/>
      <c r="B194" s="342"/>
      <c r="C194" s="270">
        <v>46473</v>
      </c>
      <c r="D194" s="266">
        <v>600</v>
      </c>
      <c r="E194" s="265">
        <v>150</v>
      </c>
      <c r="F194" s="264"/>
    </row>
    <row r="195" spans="1:10" ht="15.6" outlineLevel="1" x14ac:dyDescent="0.3">
      <c r="A195" s="341"/>
      <c r="B195" s="342"/>
      <c r="C195" s="270">
        <v>46478</v>
      </c>
      <c r="D195" s="266">
        <v>600</v>
      </c>
      <c r="E195" s="265">
        <v>150</v>
      </c>
      <c r="F195" s="264"/>
    </row>
    <row r="196" spans="1:10" ht="15.6" outlineLevel="1" x14ac:dyDescent="0.3">
      <c r="A196" s="341"/>
      <c r="B196" s="342"/>
      <c r="C196" s="270">
        <v>46143</v>
      </c>
      <c r="D196" s="266">
        <v>600</v>
      </c>
      <c r="E196" s="265">
        <v>150</v>
      </c>
      <c r="F196" s="264"/>
    </row>
    <row r="197" spans="1:10" ht="15.6" outlineLevel="1" x14ac:dyDescent="0.3">
      <c r="A197" s="341" t="s">
        <v>538</v>
      </c>
      <c r="B197" s="343" t="s">
        <v>537</v>
      </c>
      <c r="C197" s="270">
        <v>46174</v>
      </c>
      <c r="D197" s="272">
        <v>465</v>
      </c>
      <c r="E197" s="265">
        <v>300</v>
      </c>
      <c r="F197" s="271">
        <v>300</v>
      </c>
    </row>
    <row r="198" spans="1:10" ht="15.6" outlineLevel="1" x14ac:dyDescent="0.3">
      <c r="A198" s="341"/>
      <c r="B198" s="343"/>
      <c r="C198" s="270">
        <v>46204</v>
      </c>
      <c r="D198" s="272">
        <v>465</v>
      </c>
      <c r="E198" s="265">
        <v>300</v>
      </c>
      <c r="F198" s="271">
        <v>300</v>
      </c>
    </row>
    <row r="199" spans="1:10" ht="15.6" outlineLevel="1" x14ac:dyDescent="0.3">
      <c r="A199" s="341"/>
      <c r="B199" s="343"/>
      <c r="C199" s="270">
        <v>46235</v>
      </c>
      <c r="D199" s="272">
        <v>465</v>
      </c>
      <c r="E199" s="265">
        <v>300</v>
      </c>
      <c r="F199" s="271">
        <v>300</v>
      </c>
    </row>
    <row r="200" spans="1:10" ht="15.6" outlineLevel="1" x14ac:dyDescent="0.3">
      <c r="A200" s="341"/>
      <c r="B200" s="343"/>
      <c r="C200" s="270">
        <v>46266</v>
      </c>
      <c r="D200" s="272">
        <v>465</v>
      </c>
      <c r="E200" s="265">
        <v>300</v>
      </c>
      <c r="F200" s="271">
        <v>300</v>
      </c>
      <c r="J200">
        <v>500</v>
      </c>
    </row>
    <row r="201" spans="1:10" ht="15.6" outlineLevel="1" x14ac:dyDescent="0.3">
      <c r="A201" s="341"/>
      <c r="B201" s="343"/>
      <c r="C201" s="270">
        <v>46296</v>
      </c>
      <c r="D201" s="272">
        <v>465</v>
      </c>
      <c r="E201" s="265">
        <v>300</v>
      </c>
      <c r="F201" s="338" t="s">
        <v>534</v>
      </c>
      <c r="H201" s="280">
        <f>SUM(E201,E213)</f>
        <v>800</v>
      </c>
      <c r="J201" s="280">
        <f>E201+E213</f>
        <v>800</v>
      </c>
    </row>
    <row r="202" spans="1:10" ht="15.6" outlineLevel="1" x14ac:dyDescent="0.3">
      <c r="A202" s="341"/>
      <c r="B202" s="343"/>
      <c r="C202" s="270">
        <v>46327</v>
      </c>
      <c r="D202" s="272">
        <v>465</v>
      </c>
      <c r="E202" s="265">
        <v>300</v>
      </c>
      <c r="F202" s="339"/>
      <c r="H202" s="280">
        <f t="shared" ref="H202:H208" si="11">SUM(E202,E214)</f>
        <v>800</v>
      </c>
      <c r="J202" s="280">
        <f t="shared" ref="J202:J208" si="12">E202+E214</f>
        <v>800</v>
      </c>
    </row>
    <row r="203" spans="1:10" ht="15.6" outlineLevel="1" x14ac:dyDescent="0.3">
      <c r="A203" s="341"/>
      <c r="B203" s="343"/>
      <c r="C203" s="270">
        <v>46357</v>
      </c>
      <c r="D203" s="272">
        <v>465</v>
      </c>
      <c r="E203" s="265">
        <v>300</v>
      </c>
      <c r="F203" s="339"/>
      <c r="H203" s="280">
        <f t="shared" si="11"/>
        <v>800</v>
      </c>
      <c r="J203" s="280">
        <f t="shared" si="12"/>
        <v>800</v>
      </c>
    </row>
    <row r="204" spans="1:10" ht="15.6" outlineLevel="1" x14ac:dyDescent="0.3">
      <c r="A204" s="341"/>
      <c r="B204" s="343"/>
      <c r="C204" s="270">
        <v>46414</v>
      </c>
      <c r="D204" s="272">
        <v>465</v>
      </c>
      <c r="E204" s="265">
        <v>300</v>
      </c>
      <c r="F204" s="339"/>
      <c r="H204" s="280">
        <f t="shared" si="11"/>
        <v>800</v>
      </c>
      <c r="J204" s="280">
        <f t="shared" si="12"/>
        <v>800</v>
      </c>
    </row>
    <row r="205" spans="1:10" ht="15.6" outlineLevel="1" x14ac:dyDescent="0.3">
      <c r="A205" s="341"/>
      <c r="B205" s="343"/>
      <c r="C205" s="270">
        <v>46419</v>
      </c>
      <c r="D205" s="272">
        <v>465</v>
      </c>
      <c r="E205" s="265">
        <v>300</v>
      </c>
      <c r="F205" s="339"/>
      <c r="H205" s="280">
        <f t="shared" si="11"/>
        <v>800</v>
      </c>
      <c r="J205" s="280">
        <f t="shared" si="12"/>
        <v>800</v>
      </c>
    </row>
    <row r="206" spans="1:10" ht="15.6" outlineLevel="1" x14ac:dyDescent="0.3">
      <c r="A206" s="341"/>
      <c r="B206" s="343"/>
      <c r="C206" s="270">
        <v>46473</v>
      </c>
      <c r="D206" s="272">
        <v>465</v>
      </c>
      <c r="E206" s="265">
        <v>300</v>
      </c>
      <c r="F206" s="339"/>
      <c r="H206" s="280">
        <f t="shared" si="11"/>
        <v>800</v>
      </c>
      <c r="J206" s="280">
        <f t="shared" si="12"/>
        <v>800</v>
      </c>
    </row>
    <row r="207" spans="1:10" ht="15.6" outlineLevel="1" x14ac:dyDescent="0.3">
      <c r="A207" s="341"/>
      <c r="B207" s="343"/>
      <c r="C207" s="270">
        <v>46478</v>
      </c>
      <c r="D207" s="272">
        <v>465</v>
      </c>
      <c r="E207" s="265">
        <v>300</v>
      </c>
      <c r="F207" s="339"/>
      <c r="H207" s="280">
        <f t="shared" si="11"/>
        <v>800</v>
      </c>
      <c r="J207" s="280">
        <f t="shared" si="12"/>
        <v>800</v>
      </c>
    </row>
    <row r="208" spans="1:10" ht="15.6" outlineLevel="1" x14ac:dyDescent="0.3">
      <c r="A208" s="341"/>
      <c r="B208" s="343"/>
      <c r="C208" s="270">
        <v>46143</v>
      </c>
      <c r="D208" s="272">
        <v>465</v>
      </c>
      <c r="E208" s="265">
        <v>300</v>
      </c>
      <c r="F208" s="340"/>
      <c r="H208" s="280">
        <f t="shared" si="11"/>
        <v>800</v>
      </c>
      <c r="J208" s="280">
        <f t="shared" si="12"/>
        <v>800</v>
      </c>
    </row>
    <row r="209" spans="1:6" ht="15.6" outlineLevel="1" x14ac:dyDescent="0.3">
      <c r="A209" s="341" t="s">
        <v>536</v>
      </c>
      <c r="B209" s="342" t="s">
        <v>535</v>
      </c>
      <c r="C209" s="270">
        <v>46174</v>
      </c>
      <c r="D209" s="266">
        <v>600</v>
      </c>
      <c r="E209" s="265">
        <v>400</v>
      </c>
      <c r="F209" s="271">
        <v>400</v>
      </c>
    </row>
    <row r="210" spans="1:6" ht="15.6" outlineLevel="1" x14ac:dyDescent="0.3">
      <c r="A210" s="341"/>
      <c r="B210" s="342"/>
      <c r="C210" s="270">
        <v>46204</v>
      </c>
      <c r="D210" s="266">
        <v>600</v>
      </c>
      <c r="E210" s="265">
        <v>400</v>
      </c>
      <c r="F210" s="271">
        <v>400</v>
      </c>
    </row>
    <row r="211" spans="1:6" ht="15.6" outlineLevel="1" x14ac:dyDescent="0.3">
      <c r="A211" s="341"/>
      <c r="B211" s="342"/>
      <c r="C211" s="270">
        <v>46235</v>
      </c>
      <c r="D211" s="266">
        <v>600</v>
      </c>
      <c r="E211" s="265">
        <v>400</v>
      </c>
      <c r="F211" s="271">
        <v>400</v>
      </c>
    </row>
    <row r="212" spans="1:6" ht="15.6" outlineLevel="1" x14ac:dyDescent="0.3">
      <c r="A212" s="341"/>
      <c r="B212" s="342"/>
      <c r="C212" s="270">
        <v>46266</v>
      </c>
      <c r="D212" s="266">
        <v>600</v>
      </c>
      <c r="E212" s="265">
        <v>500</v>
      </c>
      <c r="F212" s="345" t="s">
        <v>534</v>
      </c>
    </row>
    <row r="213" spans="1:6" ht="15.6" outlineLevel="1" x14ac:dyDescent="0.3">
      <c r="A213" s="341"/>
      <c r="B213" s="342"/>
      <c r="C213" s="270">
        <v>46296</v>
      </c>
      <c r="D213" s="266">
        <v>600</v>
      </c>
      <c r="E213" s="265">
        <v>500</v>
      </c>
      <c r="F213" s="345"/>
    </row>
    <row r="214" spans="1:6" ht="15.6" outlineLevel="1" x14ac:dyDescent="0.3">
      <c r="A214" s="341"/>
      <c r="B214" s="342"/>
      <c r="C214" s="270">
        <v>46327</v>
      </c>
      <c r="D214" s="266">
        <v>600</v>
      </c>
      <c r="E214" s="265">
        <v>500</v>
      </c>
      <c r="F214" s="345"/>
    </row>
    <row r="215" spans="1:6" ht="15.6" outlineLevel="1" x14ac:dyDescent="0.3">
      <c r="A215" s="341"/>
      <c r="B215" s="342"/>
      <c r="C215" s="270">
        <v>46357</v>
      </c>
      <c r="D215" s="266">
        <v>600</v>
      </c>
      <c r="E215" s="265">
        <v>500</v>
      </c>
      <c r="F215" s="345"/>
    </row>
    <row r="216" spans="1:6" ht="15.6" outlineLevel="1" x14ac:dyDescent="0.3">
      <c r="A216" s="341"/>
      <c r="B216" s="342"/>
      <c r="C216" s="270">
        <v>46414</v>
      </c>
      <c r="D216" s="266">
        <v>600</v>
      </c>
      <c r="E216" s="265">
        <v>500</v>
      </c>
      <c r="F216" s="345"/>
    </row>
    <row r="217" spans="1:6" ht="15.6" outlineLevel="1" x14ac:dyDescent="0.3">
      <c r="A217" s="341"/>
      <c r="B217" s="342"/>
      <c r="C217" s="270">
        <v>46419</v>
      </c>
      <c r="D217" s="266">
        <v>600</v>
      </c>
      <c r="E217" s="265">
        <v>500</v>
      </c>
      <c r="F217" s="345"/>
    </row>
    <row r="218" spans="1:6" ht="15.6" outlineLevel="1" x14ac:dyDescent="0.3">
      <c r="A218" s="341"/>
      <c r="B218" s="342"/>
      <c r="C218" s="270">
        <v>46473</v>
      </c>
      <c r="D218" s="266">
        <v>600</v>
      </c>
      <c r="E218" s="265">
        <v>500</v>
      </c>
      <c r="F218" s="345"/>
    </row>
    <row r="219" spans="1:6" ht="15.6" outlineLevel="1" x14ac:dyDescent="0.3">
      <c r="A219" s="341"/>
      <c r="B219" s="342"/>
      <c r="C219" s="270">
        <v>46478</v>
      </c>
      <c r="D219" s="266">
        <v>600</v>
      </c>
      <c r="E219" s="265">
        <v>500</v>
      </c>
      <c r="F219" s="345"/>
    </row>
    <row r="220" spans="1:6" ht="15.6" outlineLevel="1" x14ac:dyDescent="0.3">
      <c r="A220" s="341"/>
      <c r="B220" s="342"/>
      <c r="C220" s="270">
        <v>46143</v>
      </c>
      <c r="D220" s="266">
        <v>600</v>
      </c>
      <c r="E220" s="265">
        <v>500</v>
      </c>
      <c r="F220" s="345"/>
    </row>
    <row r="221" spans="1:6" ht="15.6" x14ac:dyDescent="0.3">
      <c r="A221" s="269" t="s">
        <v>533</v>
      </c>
      <c r="B221" s="268"/>
      <c r="C221" s="267" t="s">
        <v>12</v>
      </c>
      <c r="D221" s="266">
        <f>SUM(D137:D220)</f>
        <v>58284</v>
      </c>
      <c r="E221" s="265">
        <f>SUM(E137:E220)</f>
        <v>47594</v>
      </c>
      <c r="F221" s="264"/>
    </row>
  </sheetData>
  <autoFilter ref="A1:E221" xr:uid="{00000000-0009-0000-0000-000000000000}"/>
  <mergeCells count="46">
    <mergeCell ref="F212:F220"/>
    <mergeCell ref="B76:B87"/>
    <mergeCell ref="A76:A87"/>
    <mergeCell ref="A2:A13"/>
    <mergeCell ref="B2:B13"/>
    <mergeCell ref="A14:A25"/>
    <mergeCell ref="B14:B25"/>
    <mergeCell ref="A27:A38"/>
    <mergeCell ref="B27:B38"/>
    <mergeCell ref="A51:A62"/>
    <mergeCell ref="B51:B62"/>
    <mergeCell ref="A63:A74"/>
    <mergeCell ref="B63:B74"/>
    <mergeCell ref="F5:F13"/>
    <mergeCell ref="A209:A220"/>
    <mergeCell ref="B209:B220"/>
    <mergeCell ref="A197:A208"/>
    <mergeCell ref="B197:B208"/>
    <mergeCell ref="F92:F99"/>
    <mergeCell ref="F128:F135"/>
    <mergeCell ref="F201:F208"/>
    <mergeCell ref="B88:B99"/>
    <mergeCell ref="A100:A111"/>
    <mergeCell ref="B100:B111"/>
    <mergeCell ref="A149:A160"/>
    <mergeCell ref="B149:B160"/>
    <mergeCell ref="A161:A172"/>
    <mergeCell ref="B161:B172"/>
    <mergeCell ref="A173:A184"/>
    <mergeCell ref="B173:B184"/>
    <mergeCell ref="F32:F38"/>
    <mergeCell ref="F79:F87"/>
    <mergeCell ref="F103:F111"/>
    <mergeCell ref="F17:F25"/>
    <mergeCell ref="A185:A196"/>
    <mergeCell ref="B185:B196"/>
    <mergeCell ref="A112:A123"/>
    <mergeCell ref="B112:B123"/>
    <mergeCell ref="A124:A135"/>
    <mergeCell ref="B124:B135"/>
    <mergeCell ref="A137:A148"/>
    <mergeCell ref="B137:B148"/>
    <mergeCell ref="A88:A99"/>
    <mergeCell ref="F115:F123"/>
    <mergeCell ref="A39:A50"/>
    <mergeCell ref="B39:B50"/>
  </mergeCells>
  <pageMargins left="0.7" right="0.7" top="0.75" bottom="0.75" header="0.3" footer="0.3"/>
  <pageSetup paperSize="8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1DC0-E1F2-4B0E-A64D-18B0ED3C9349}">
  <sheetPr>
    <pageSetUpPr fitToPage="1"/>
  </sheetPr>
  <dimension ref="A1:T22"/>
  <sheetViews>
    <sheetView showGridLines="0" zoomScale="90" zoomScaleNormal="90" workbookViewId="0">
      <pane ySplit="1" topLeftCell="A2" activePane="bottomLeft" state="frozen"/>
      <selection pane="bottomLeft" activeCell="D18" sqref="D18"/>
    </sheetView>
  </sheetViews>
  <sheetFormatPr defaultColWidth="9.109375" defaultRowHeight="12.6" x14ac:dyDescent="0.2"/>
  <cols>
    <col min="1" max="1" width="13" style="77" customWidth="1"/>
    <col min="2" max="2" width="36.88671875" style="77" bestFit="1" customWidth="1"/>
    <col min="3" max="3" width="17.109375" style="158" customWidth="1"/>
    <col min="4" max="15" width="10.6640625" style="136" customWidth="1"/>
    <col min="16" max="16384" width="9.109375" style="136"/>
  </cols>
  <sheetData>
    <row r="1" spans="1:20" s="135" customFormat="1" ht="25.8" thickBot="1" x14ac:dyDescent="0.25">
      <c r="A1" s="132" t="s">
        <v>451</v>
      </c>
      <c r="B1" s="133" t="s">
        <v>452</v>
      </c>
      <c r="C1" s="134" t="s">
        <v>453</v>
      </c>
      <c r="D1" s="133">
        <v>46023</v>
      </c>
      <c r="E1" s="133">
        <v>46054</v>
      </c>
      <c r="F1" s="133">
        <v>46082</v>
      </c>
      <c r="G1" s="133">
        <v>46113</v>
      </c>
      <c r="H1" s="133">
        <v>46143</v>
      </c>
      <c r="I1" s="133">
        <v>46174</v>
      </c>
      <c r="J1" s="133">
        <v>46204</v>
      </c>
      <c r="K1" s="133">
        <v>46235</v>
      </c>
      <c r="L1" s="133">
        <v>46266</v>
      </c>
      <c r="M1" s="133">
        <v>46296</v>
      </c>
      <c r="N1" s="133">
        <v>46327</v>
      </c>
      <c r="O1" s="133">
        <v>46357</v>
      </c>
      <c r="Q1" s="136"/>
      <c r="R1" s="136"/>
      <c r="S1" s="136"/>
    </row>
    <row r="2" spans="1:20" s="135" customFormat="1" ht="21" customHeight="1" x14ac:dyDescent="0.3">
      <c r="A2" s="137">
        <v>1.1000000000000001</v>
      </c>
      <c r="B2" s="138" t="s">
        <v>454</v>
      </c>
      <c r="C2" s="139">
        <f>SUM(D2:O2)</f>
        <v>19367.916923076926</v>
      </c>
      <c r="D2" s="140">
        <v>1644.9463688092731</v>
      </c>
      <c r="E2" s="140">
        <v>1485.7580105374079</v>
      </c>
      <c r="F2" s="140">
        <v>1644.9463688092731</v>
      </c>
      <c r="G2" s="140">
        <v>1591.8835827186513</v>
      </c>
      <c r="H2" s="140">
        <v>1644.9463688092731</v>
      </c>
      <c r="I2" s="140">
        <v>1591.8835827186513</v>
      </c>
      <c r="J2" s="140">
        <v>1644.9463688092731</v>
      </c>
      <c r="K2" s="140">
        <v>1644.9463688092731</v>
      </c>
      <c r="L2" s="140">
        <v>1591.8835827186513</v>
      </c>
      <c r="M2" s="140">
        <v>1644.9463688092731</v>
      </c>
      <c r="N2" s="140">
        <v>1591.8835827186513</v>
      </c>
      <c r="O2" s="140">
        <v>1644.9463688092731</v>
      </c>
    </row>
    <row r="3" spans="1:20" s="135" customFormat="1" ht="21.75" customHeight="1" x14ac:dyDescent="0.3">
      <c r="A3" s="141">
        <v>1.2</v>
      </c>
      <c r="B3" s="142" t="s">
        <v>455</v>
      </c>
      <c r="C3" s="139">
        <f>SUM(D3:O3)</f>
        <v>261466.87846153846</v>
      </c>
      <c r="D3" s="143">
        <v>22206.775978925187</v>
      </c>
      <c r="E3" s="143">
        <v>20057.733142255005</v>
      </c>
      <c r="F3" s="143">
        <v>22206.775978925187</v>
      </c>
      <c r="G3" s="143">
        <v>21490.428366701792</v>
      </c>
      <c r="H3" s="143">
        <v>22206.775978925187</v>
      </c>
      <c r="I3" s="143">
        <v>21490.428366701792</v>
      </c>
      <c r="J3" s="143">
        <v>22206.775978925187</v>
      </c>
      <c r="K3" s="143">
        <v>22206.775978925187</v>
      </c>
      <c r="L3" s="143">
        <v>21490.428366701792</v>
      </c>
      <c r="M3" s="143">
        <v>22206.775978925187</v>
      </c>
      <c r="N3" s="143">
        <v>21490.428366701792</v>
      </c>
      <c r="O3" s="143">
        <v>22206.775978925187</v>
      </c>
    </row>
    <row r="4" spans="1:20" s="135" customFormat="1" ht="21.75" customHeight="1" x14ac:dyDescent="0.3">
      <c r="A4" s="141">
        <v>1.3</v>
      </c>
      <c r="B4" s="142" t="s">
        <v>456</v>
      </c>
      <c r="C4" s="139">
        <f>SUM(D4:O4)</f>
        <v>180767.22461538465</v>
      </c>
      <c r="D4" s="143">
        <v>15352.832775553215</v>
      </c>
      <c r="E4" s="143">
        <v>13867.074765015806</v>
      </c>
      <c r="F4" s="143">
        <v>15352.832775553215</v>
      </c>
      <c r="G4" s="143">
        <v>14857.58010537408</v>
      </c>
      <c r="H4" s="143">
        <v>15352.832775553215</v>
      </c>
      <c r="I4" s="143">
        <v>14857.58010537408</v>
      </c>
      <c r="J4" s="143">
        <v>15352.832775553215</v>
      </c>
      <c r="K4" s="143">
        <v>15352.832775553215</v>
      </c>
      <c r="L4" s="143">
        <v>14857.58010537408</v>
      </c>
      <c r="M4" s="143">
        <v>15352.832775553215</v>
      </c>
      <c r="N4" s="143">
        <v>14857.58010537408</v>
      </c>
      <c r="O4" s="143">
        <v>15352.832775553215</v>
      </c>
    </row>
    <row r="5" spans="1:20" s="135" customFormat="1" ht="21.75" customHeight="1" x14ac:dyDescent="0.3">
      <c r="A5" s="144" t="s">
        <v>457</v>
      </c>
      <c r="B5" s="145" t="s">
        <v>458</v>
      </c>
      <c r="C5" s="146">
        <f t="shared" ref="C5:O5" si="0">C2+C3+C4</f>
        <v>461602.02</v>
      </c>
      <c r="D5" s="146">
        <f t="shared" si="0"/>
        <v>39204.555123287675</v>
      </c>
      <c r="E5" s="146">
        <f t="shared" si="0"/>
        <v>35410.565917808221</v>
      </c>
      <c r="F5" s="146">
        <f t="shared" si="0"/>
        <v>39204.555123287675</v>
      </c>
      <c r="G5" s="146">
        <f t="shared" si="0"/>
        <v>37939.892054794524</v>
      </c>
      <c r="H5" s="146">
        <f t="shared" si="0"/>
        <v>39204.555123287675</v>
      </c>
      <c r="I5" s="146">
        <f t="shared" si="0"/>
        <v>37939.892054794524</v>
      </c>
      <c r="J5" s="146">
        <f t="shared" si="0"/>
        <v>39204.555123287675</v>
      </c>
      <c r="K5" s="146">
        <f t="shared" si="0"/>
        <v>39204.555123287675</v>
      </c>
      <c r="L5" s="146">
        <f t="shared" si="0"/>
        <v>37939.892054794524</v>
      </c>
      <c r="M5" s="146">
        <f t="shared" si="0"/>
        <v>39204.555123287675</v>
      </c>
      <c r="N5" s="146">
        <f t="shared" si="0"/>
        <v>37939.892054794524</v>
      </c>
      <c r="O5" s="146">
        <f t="shared" si="0"/>
        <v>39204.555123287675</v>
      </c>
    </row>
    <row r="6" spans="1:20" s="135" customFormat="1" ht="21.75" customHeight="1" x14ac:dyDescent="0.3">
      <c r="A6" s="141">
        <v>1.4</v>
      </c>
      <c r="B6" s="142" t="s">
        <v>459</v>
      </c>
      <c r="C6" s="139">
        <f>SUM(D6:O6)</f>
        <v>140252.09684210521</v>
      </c>
      <c r="D6" s="143">
        <v>11911.821923576059</v>
      </c>
      <c r="E6" s="143">
        <v>10759.064963229988</v>
      </c>
      <c r="F6" s="143">
        <v>11911.821923576059</v>
      </c>
      <c r="G6" s="143">
        <v>11527.569603460703</v>
      </c>
      <c r="H6" s="143">
        <v>11911.821923576059</v>
      </c>
      <c r="I6" s="143">
        <v>11527.569603460703</v>
      </c>
      <c r="J6" s="143">
        <v>11911.821923576059</v>
      </c>
      <c r="K6" s="143">
        <v>11911.821923576059</v>
      </c>
      <c r="L6" s="143">
        <v>11527.569603460703</v>
      </c>
      <c r="M6" s="143">
        <v>11911.821923576059</v>
      </c>
      <c r="N6" s="143">
        <v>11527.569603460703</v>
      </c>
      <c r="O6" s="143">
        <v>11911.821923576059</v>
      </c>
      <c r="P6" s="147"/>
      <c r="Q6" s="147"/>
      <c r="T6" s="147"/>
    </row>
    <row r="7" spans="1:20" s="135" customFormat="1" ht="21.75" customHeight="1" x14ac:dyDescent="0.3">
      <c r="A7" s="141">
        <v>1.5</v>
      </c>
      <c r="B7" s="142" t="s">
        <v>460</v>
      </c>
      <c r="C7" s="139">
        <f>SUM(D7:O7)</f>
        <v>6233.4265263157895</v>
      </c>
      <c r="D7" s="143">
        <v>529.41430771449154</v>
      </c>
      <c r="E7" s="143">
        <v>478.18066503244393</v>
      </c>
      <c r="F7" s="143">
        <v>529.41430771449154</v>
      </c>
      <c r="G7" s="143">
        <v>512.33642682047571</v>
      </c>
      <c r="H7" s="143">
        <v>529.41430771449154</v>
      </c>
      <c r="I7" s="143">
        <v>512.33642682047571</v>
      </c>
      <c r="J7" s="143">
        <v>529.41430771449154</v>
      </c>
      <c r="K7" s="143">
        <v>529.41430771449154</v>
      </c>
      <c r="L7" s="143">
        <v>512.33642682047571</v>
      </c>
      <c r="M7" s="143">
        <v>529.41430771449154</v>
      </c>
      <c r="N7" s="143">
        <v>512.33642682047571</v>
      </c>
      <c r="O7" s="143">
        <v>529.41430771449154</v>
      </c>
      <c r="P7" s="147"/>
      <c r="Q7" s="147"/>
      <c r="T7" s="147"/>
    </row>
    <row r="8" spans="1:20" s="135" customFormat="1" ht="21.75" customHeight="1" x14ac:dyDescent="0.3">
      <c r="A8" s="141">
        <v>1.6</v>
      </c>
      <c r="B8" s="142" t="s">
        <v>461</v>
      </c>
      <c r="C8" s="139">
        <f>SUM(D8:O8)</f>
        <v>1558.3566315789474</v>
      </c>
      <c r="D8" s="143">
        <v>132.35357692862289</v>
      </c>
      <c r="E8" s="143">
        <v>119.54516625811098</v>
      </c>
      <c r="F8" s="143">
        <v>132.35357692862289</v>
      </c>
      <c r="G8" s="143">
        <v>128.08410670511893</v>
      </c>
      <c r="H8" s="143">
        <v>132.35357692862289</v>
      </c>
      <c r="I8" s="143">
        <v>128.08410670511893</v>
      </c>
      <c r="J8" s="143">
        <v>132.35357692862289</v>
      </c>
      <c r="K8" s="143">
        <v>132.35357692862289</v>
      </c>
      <c r="L8" s="143">
        <v>128.08410670511893</v>
      </c>
      <c r="M8" s="143">
        <v>132.35357692862289</v>
      </c>
      <c r="N8" s="143">
        <v>128.08410670511893</v>
      </c>
      <c r="O8" s="143">
        <v>132.35357692862289</v>
      </c>
      <c r="P8" s="147"/>
      <c r="Q8" s="147"/>
      <c r="T8" s="147"/>
    </row>
    <row r="9" spans="1:20" s="135" customFormat="1" ht="21.75" customHeight="1" x14ac:dyDescent="0.3">
      <c r="A9" s="148">
        <v>1</v>
      </c>
      <c r="B9" s="149" t="s">
        <v>462</v>
      </c>
      <c r="C9" s="150">
        <f>C5+C6+C8+C7</f>
        <v>609645.9</v>
      </c>
      <c r="D9" s="150">
        <f t="shared" ref="D9:O9" si="1">D5+D6+D8+D7</f>
        <v>51778.144931506853</v>
      </c>
      <c r="E9" s="150">
        <f t="shared" si="1"/>
        <v>46767.356712328765</v>
      </c>
      <c r="F9" s="150">
        <f t="shared" si="1"/>
        <v>51778.144931506853</v>
      </c>
      <c r="G9" s="150">
        <f t="shared" si="1"/>
        <v>50107.882191780824</v>
      </c>
      <c r="H9" s="150">
        <f t="shared" si="1"/>
        <v>51778.144931506853</v>
      </c>
      <c r="I9" s="150">
        <f t="shared" si="1"/>
        <v>50107.882191780824</v>
      </c>
      <c r="J9" s="150">
        <f t="shared" si="1"/>
        <v>51778.144931506853</v>
      </c>
      <c r="K9" s="150">
        <f t="shared" si="1"/>
        <v>51778.144931506853</v>
      </c>
      <c r="L9" s="150">
        <f t="shared" si="1"/>
        <v>50107.882191780824</v>
      </c>
      <c r="M9" s="150">
        <f t="shared" si="1"/>
        <v>51778.144931506853</v>
      </c>
      <c r="N9" s="150">
        <f t="shared" si="1"/>
        <v>50107.882191780824</v>
      </c>
      <c r="O9" s="150">
        <f t="shared" si="1"/>
        <v>51778.144931506853</v>
      </c>
      <c r="Q9" s="147"/>
    </row>
    <row r="10" spans="1:20" s="154" customFormat="1" ht="15" customHeight="1" x14ac:dyDescent="0.3">
      <c r="A10" s="151"/>
      <c r="B10" s="152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35"/>
      <c r="Q10" s="147"/>
      <c r="R10" s="147"/>
      <c r="S10" s="147"/>
    </row>
    <row r="11" spans="1:20" s="135" customFormat="1" ht="21.75" customHeight="1" x14ac:dyDescent="0.3">
      <c r="A11" s="148">
        <v>2</v>
      </c>
      <c r="B11" s="149" t="s">
        <v>463</v>
      </c>
      <c r="C11" s="150">
        <f>SUM(D11:O11)</f>
        <v>106306.0285</v>
      </c>
      <c r="D11" s="155">
        <v>9028.7311876712338</v>
      </c>
      <c r="E11" s="155">
        <v>8154.9830082191793</v>
      </c>
      <c r="F11" s="155">
        <v>9028.7311876712338</v>
      </c>
      <c r="G11" s="155">
        <v>8737.4817945205486</v>
      </c>
      <c r="H11" s="155">
        <v>9028.7311876712338</v>
      </c>
      <c r="I11" s="155">
        <v>8737.4817945205486</v>
      </c>
      <c r="J11" s="155">
        <v>9028.7311876712338</v>
      </c>
      <c r="K11" s="155">
        <v>9028.7311876712338</v>
      </c>
      <c r="L11" s="155">
        <v>8737.4817945205486</v>
      </c>
      <c r="M11" s="155">
        <v>9028.7311876712338</v>
      </c>
      <c r="N11" s="155">
        <v>8737.4817945205486</v>
      </c>
      <c r="O11" s="155">
        <v>9028.7311876712338</v>
      </c>
      <c r="Q11" s="147"/>
    </row>
    <row r="12" spans="1:20" s="154" customFormat="1" ht="15" customHeight="1" x14ac:dyDescent="0.3">
      <c r="A12" s="151"/>
      <c r="B12" s="152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35"/>
      <c r="Q12" s="147"/>
      <c r="R12" s="147"/>
      <c r="S12" s="147"/>
    </row>
    <row r="13" spans="1:20" s="135" customFormat="1" ht="21.75" customHeight="1" x14ac:dyDescent="0.3">
      <c r="A13" s="141">
        <v>3.1</v>
      </c>
      <c r="B13" s="142" t="s">
        <v>464</v>
      </c>
      <c r="C13" s="139">
        <f>SUM(D13:O13)</f>
        <v>16496.624999999993</v>
      </c>
      <c r="D13" s="143">
        <v>1401.0832191780814</v>
      </c>
      <c r="E13" s="143">
        <v>1265.4945205479444</v>
      </c>
      <c r="F13" s="143">
        <v>1401.0832191780814</v>
      </c>
      <c r="G13" s="143">
        <v>1355.886986301369</v>
      </c>
      <c r="H13" s="143">
        <v>1401.0832191780814</v>
      </c>
      <c r="I13" s="143">
        <v>1355.886986301369</v>
      </c>
      <c r="J13" s="143">
        <v>1401.0832191780814</v>
      </c>
      <c r="K13" s="143">
        <v>1401.0832191780814</v>
      </c>
      <c r="L13" s="143">
        <v>1355.886986301369</v>
      </c>
      <c r="M13" s="143">
        <v>1401.0832191780814</v>
      </c>
      <c r="N13" s="143">
        <v>1355.886986301369</v>
      </c>
      <c r="O13" s="143">
        <v>1401.0832191780814</v>
      </c>
    </row>
    <row r="14" spans="1:20" s="135" customFormat="1" ht="21.75" customHeight="1" x14ac:dyDescent="0.3">
      <c r="A14" s="141">
        <v>3.2</v>
      </c>
      <c r="B14" s="142" t="s">
        <v>465</v>
      </c>
      <c r="C14" s="139">
        <f>SUM(D14:O14)</f>
        <v>32993.249999999985</v>
      </c>
      <c r="D14" s="143">
        <v>2802.1664383561629</v>
      </c>
      <c r="E14" s="143">
        <v>2530.9890410958888</v>
      </c>
      <c r="F14" s="143">
        <v>2802.1664383561629</v>
      </c>
      <c r="G14" s="143">
        <v>2711.773972602738</v>
      </c>
      <c r="H14" s="143">
        <v>2802.1664383561629</v>
      </c>
      <c r="I14" s="143">
        <v>2711.773972602738</v>
      </c>
      <c r="J14" s="143">
        <v>2802.1664383561629</v>
      </c>
      <c r="K14" s="143">
        <v>2802.1664383561629</v>
      </c>
      <c r="L14" s="143">
        <v>2711.773972602738</v>
      </c>
      <c r="M14" s="143">
        <v>2802.1664383561629</v>
      </c>
      <c r="N14" s="143">
        <v>2711.773972602738</v>
      </c>
      <c r="O14" s="143">
        <v>2802.1664383561629</v>
      </c>
    </row>
    <row r="15" spans="1:20" s="135" customFormat="1" ht="21.75" customHeight="1" x14ac:dyDescent="0.3">
      <c r="A15" s="141">
        <v>3.3</v>
      </c>
      <c r="B15" s="142" t="s">
        <v>466</v>
      </c>
      <c r="C15" s="139">
        <f>SUM(D15:O15)</f>
        <v>16496.624999999993</v>
      </c>
      <c r="D15" s="143">
        <v>1401.0832191780814</v>
      </c>
      <c r="E15" s="143">
        <v>1265.4945205479444</v>
      </c>
      <c r="F15" s="143">
        <v>1401.0832191780814</v>
      </c>
      <c r="G15" s="143">
        <v>1355.886986301369</v>
      </c>
      <c r="H15" s="143">
        <v>1401.0832191780814</v>
      </c>
      <c r="I15" s="143">
        <v>1355.886986301369</v>
      </c>
      <c r="J15" s="143">
        <v>1401.0832191780814</v>
      </c>
      <c r="K15" s="143">
        <v>1401.0832191780814</v>
      </c>
      <c r="L15" s="143">
        <v>1355.886986301369</v>
      </c>
      <c r="M15" s="143">
        <v>1401.0832191780814</v>
      </c>
      <c r="N15" s="143">
        <v>1355.886986301369</v>
      </c>
      <c r="O15" s="143">
        <v>1401.0832191780814</v>
      </c>
    </row>
    <row r="16" spans="1:20" s="135" customFormat="1" ht="21.75" customHeight="1" x14ac:dyDescent="0.3">
      <c r="A16" s="148">
        <v>3</v>
      </c>
      <c r="B16" s="149" t="s">
        <v>467</v>
      </c>
      <c r="C16" s="150">
        <f t="shared" ref="C16:O16" si="2">C13+C14+C15</f>
        <v>65986.499999999971</v>
      </c>
      <c r="D16" s="155">
        <f t="shared" si="2"/>
        <v>5604.3328767123257</v>
      </c>
      <c r="E16" s="155">
        <f t="shared" si="2"/>
        <v>5061.9780821917775</v>
      </c>
      <c r="F16" s="155">
        <f t="shared" si="2"/>
        <v>5604.3328767123257</v>
      </c>
      <c r="G16" s="155">
        <f t="shared" si="2"/>
        <v>5423.547945205476</v>
      </c>
      <c r="H16" s="155">
        <f t="shared" si="2"/>
        <v>5604.3328767123257</v>
      </c>
      <c r="I16" s="155">
        <f t="shared" si="2"/>
        <v>5423.547945205476</v>
      </c>
      <c r="J16" s="155">
        <f t="shared" si="2"/>
        <v>5604.3328767123257</v>
      </c>
      <c r="K16" s="155">
        <f t="shared" si="2"/>
        <v>5604.3328767123257</v>
      </c>
      <c r="L16" s="155">
        <f t="shared" si="2"/>
        <v>5423.547945205476</v>
      </c>
      <c r="M16" s="155">
        <f t="shared" si="2"/>
        <v>5604.3328767123257</v>
      </c>
      <c r="N16" s="155">
        <f t="shared" si="2"/>
        <v>5423.547945205476</v>
      </c>
      <c r="O16" s="155">
        <f t="shared" si="2"/>
        <v>5604.3328767123257</v>
      </c>
      <c r="Q16" s="147"/>
    </row>
    <row r="17" spans="1:19" s="154" customFormat="1" ht="15" customHeight="1" x14ac:dyDescent="0.3">
      <c r="A17" s="151"/>
      <c r="B17" s="152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35"/>
      <c r="Q17" s="147"/>
      <c r="R17" s="147"/>
      <c r="S17" s="147"/>
    </row>
    <row r="18" spans="1:19" s="135" customFormat="1" ht="21.75" customHeight="1" x14ac:dyDescent="0.3">
      <c r="A18" s="141">
        <v>4</v>
      </c>
      <c r="B18" s="142" t="s">
        <v>438</v>
      </c>
      <c r="C18" s="139">
        <f>SUM(D18:O18)</f>
        <v>27553.4748</v>
      </c>
      <c r="D18" s="156">
        <v>2340.1581336986296</v>
      </c>
      <c r="E18" s="156">
        <v>2113.6912175342463</v>
      </c>
      <c r="F18" s="156">
        <v>2340.1581336986296</v>
      </c>
      <c r="G18" s="156">
        <v>2264.6691616438352</v>
      </c>
      <c r="H18" s="156">
        <v>2340.1581336986296</v>
      </c>
      <c r="I18" s="156">
        <v>2264.6691616438352</v>
      </c>
      <c r="J18" s="156">
        <v>2340.1581336986296</v>
      </c>
      <c r="K18" s="156">
        <v>2340.1581336986296</v>
      </c>
      <c r="L18" s="156">
        <v>2264.6691616438352</v>
      </c>
      <c r="M18" s="156">
        <v>2340.1581336986296</v>
      </c>
      <c r="N18" s="156">
        <v>2264.6691616438352</v>
      </c>
      <c r="O18" s="156">
        <v>2340.1581336986296</v>
      </c>
    </row>
    <row r="19" spans="1:19" s="135" customFormat="1" ht="21.75" customHeight="1" x14ac:dyDescent="0.3">
      <c r="A19" s="141">
        <v>5</v>
      </c>
      <c r="B19" s="142" t="s">
        <v>439</v>
      </c>
      <c r="C19" s="139">
        <f>SUM(D19:O19)</f>
        <v>29700.059999999998</v>
      </c>
      <c r="D19" s="156">
        <v>2522.4708493150683</v>
      </c>
      <c r="E19" s="156">
        <v>2278.3607671232876</v>
      </c>
      <c r="F19" s="156">
        <v>2522.4708493150683</v>
      </c>
      <c r="G19" s="156">
        <v>2441.1008219178079</v>
      </c>
      <c r="H19" s="156">
        <v>2522.4708493150683</v>
      </c>
      <c r="I19" s="156">
        <v>2441.1008219178079</v>
      </c>
      <c r="J19" s="156">
        <v>2522.4708493150683</v>
      </c>
      <c r="K19" s="156">
        <v>2522.4708493150683</v>
      </c>
      <c r="L19" s="156">
        <v>2441.1008219178079</v>
      </c>
      <c r="M19" s="156">
        <v>2522.4708493150683</v>
      </c>
      <c r="N19" s="156">
        <v>2441.1008219178079</v>
      </c>
      <c r="O19" s="156">
        <v>2522.4708493150683</v>
      </c>
    </row>
    <row r="20" spans="1:19" s="154" customFormat="1" ht="15" customHeight="1" x14ac:dyDescent="0.3">
      <c r="A20" s="151"/>
      <c r="B20" s="152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35"/>
      <c r="Q20" s="147"/>
      <c r="R20" s="147"/>
      <c r="S20" s="147"/>
    </row>
    <row r="21" spans="1:19" s="135" customFormat="1" ht="21" customHeight="1" x14ac:dyDescent="0.3">
      <c r="A21" s="144"/>
      <c r="B21" s="145" t="s">
        <v>468</v>
      </c>
      <c r="C21" s="146">
        <f t="shared" ref="C21:O21" si="3">C9+C11+C16+C18+C19</f>
        <v>839191.96329999994</v>
      </c>
      <c r="D21" s="146">
        <f t="shared" si="3"/>
        <v>71273.837978904106</v>
      </c>
      <c r="E21" s="146">
        <f t="shared" si="3"/>
        <v>64376.369787397256</v>
      </c>
      <c r="F21" s="146">
        <f t="shared" si="3"/>
        <v>71273.837978904106</v>
      </c>
      <c r="G21" s="146">
        <f t="shared" si="3"/>
        <v>68974.68191506849</v>
      </c>
      <c r="H21" s="146">
        <f t="shared" si="3"/>
        <v>71273.837978904106</v>
      </c>
      <c r="I21" s="146">
        <f t="shared" si="3"/>
        <v>68974.68191506849</v>
      </c>
      <c r="J21" s="146">
        <f t="shared" si="3"/>
        <v>71273.837978904106</v>
      </c>
      <c r="K21" s="146">
        <f t="shared" si="3"/>
        <v>71273.837978904106</v>
      </c>
      <c r="L21" s="146">
        <f t="shared" si="3"/>
        <v>68974.68191506849</v>
      </c>
      <c r="M21" s="146">
        <f t="shared" si="3"/>
        <v>71273.837978904106</v>
      </c>
      <c r="N21" s="146">
        <f t="shared" si="3"/>
        <v>68974.68191506849</v>
      </c>
      <c r="O21" s="146">
        <f t="shared" si="3"/>
        <v>71273.837978904106</v>
      </c>
    </row>
    <row r="22" spans="1:19" x14ac:dyDescent="0.2">
      <c r="C22" s="157"/>
    </row>
  </sheetData>
  <printOptions horizontalCentered="1"/>
  <pageMargins left="0" right="0" top="0" bottom="0" header="0.31496062992125984" footer="0.31496062992125984"/>
  <pageSetup paperSize="9" scale="45" orientation="landscape" r:id="rId1"/>
  <headerFooter>
    <oddFooter>&amp;C&amp;"Verdana,Regular"&amp;9Page &amp;P of &amp;N&amp;R&amp;"Verdana,Regular"&amp;9Prepared By - BBSR_PPC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5B54-F067-49BC-AD21-F2D758AF0A14}">
  <dimension ref="A3:M8"/>
  <sheetViews>
    <sheetView workbookViewId="0">
      <selection activeCell="G6" sqref="G6"/>
    </sheetView>
  </sheetViews>
  <sheetFormatPr defaultRowHeight="14.4" x14ac:dyDescent="0.3"/>
  <cols>
    <col min="1" max="1" width="13.109375" bestFit="1" customWidth="1"/>
    <col min="2" max="2" width="13.5546875" bestFit="1" customWidth="1"/>
    <col min="3" max="3" width="12.88671875" bestFit="1" customWidth="1"/>
    <col min="4" max="4" width="14" bestFit="1" customWidth="1"/>
    <col min="5" max="5" width="13.88671875" bestFit="1" customWidth="1"/>
    <col min="6" max="6" width="13.5546875" bestFit="1" customWidth="1"/>
    <col min="7" max="7" width="14.109375" bestFit="1" customWidth="1"/>
    <col min="8" max="8" width="13.88671875" bestFit="1" customWidth="1"/>
    <col min="9" max="9" width="13.44140625" bestFit="1" customWidth="1"/>
    <col min="10" max="10" width="13.88671875" bestFit="1" customWidth="1"/>
    <col min="11" max="11" width="14.109375" bestFit="1" customWidth="1"/>
    <col min="12" max="12" width="13.6640625" bestFit="1" customWidth="1"/>
    <col min="13" max="13" width="14.44140625" bestFit="1" customWidth="1"/>
  </cols>
  <sheetData>
    <row r="3" spans="1:13" x14ac:dyDescent="0.3">
      <c r="A3" s="200" t="s">
        <v>485</v>
      </c>
      <c r="B3" t="s">
        <v>519</v>
      </c>
      <c r="C3" t="s">
        <v>520</v>
      </c>
      <c r="D3" t="s">
        <v>521</v>
      </c>
      <c r="E3" t="s">
        <v>522</v>
      </c>
      <c r="F3" t="s">
        <v>523</v>
      </c>
      <c r="G3" t="s">
        <v>524</v>
      </c>
      <c r="H3" t="s">
        <v>525</v>
      </c>
      <c r="I3" t="s">
        <v>526</v>
      </c>
      <c r="J3" t="s">
        <v>527</v>
      </c>
      <c r="K3" t="s">
        <v>528</v>
      </c>
      <c r="L3" t="s">
        <v>529</v>
      </c>
      <c r="M3" t="s">
        <v>530</v>
      </c>
    </row>
    <row r="4" spans="1:13" x14ac:dyDescent="0.3">
      <c r="A4" s="201" t="s">
        <v>516</v>
      </c>
      <c r="B4">
        <v>4532.5</v>
      </c>
      <c r="C4">
        <v>5139.5</v>
      </c>
      <c r="D4">
        <v>4322</v>
      </c>
      <c r="E4">
        <v>3569</v>
      </c>
      <c r="F4">
        <v>3568</v>
      </c>
      <c r="G4">
        <v>2500</v>
      </c>
      <c r="H4">
        <v>2500</v>
      </c>
      <c r="I4">
        <v>2500</v>
      </c>
      <c r="J4">
        <v>2500</v>
      </c>
      <c r="K4">
        <v>2500</v>
      </c>
    </row>
    <row r="5" spans="1:13" x14ac:dyDescent="0.3">
      <c r="A5" s="201" t="s">
        <v>517</v>
      </c>
      <c r="B5">
        <v>14938.5</v>
      </c>
      <c r="C5">
        <v>15175.5</v>
      </c>
      <c r="D5">
        <v>14938.5</v>
      </c>
      <c r="E5">
        <v>16142.5</v>
      </c>
      <c r="F5">
        <v>20441.5</v>
      </c>
      <c r="G5">
        <v>21440.5</v>
      </c>
      <c r="H5">
        <v>9884</v>
      </c>
      <c r="I5">
        <v>9385</v>
      </c>
      <c r="J5">
        <v>450</v>
      </c>
    </row>
    <row r="6" spans="1:13" x14ac:dyDescent="0.3">
      <c r="A6" s="201" t="s">
        <v>518</v>
      </c>
      <c r="B6">
        <v>30360.25</v>
      </c>
      <c r="C6">
        <v>28711.75</v>
      </c>
      <c r="D6">
        <v>28053.25</v>
      </c>
      <c r="E6">
        <v>24906.25</v>
      </c>
      <c r="F6">
        <v>20174</v>
      </c>
      <c r="G6">
        <v>17836</v>
      </c>
      <c r="H6">
        <v>12591</v>
      </c>
      <c r="I6">
        <v>9104</v>
      </c>
      <c r="J6">
        <v>6350</v>
      </c>
      <c r="K6">
        <v>4050</v>
      </c>
      <c r="L6">
        <v>4050</v>
      </c>
      <c r="M6">
        <v>4050</v>
      </c>
    </row>
    <row r="7" spans="1:13" x14ac:dyDescent="0.3">
      <c r="A7" s="201" t="s">
        <v>486</v>
      </c>
      <c r="B7">
        <v>49831.25</v>
      </c>
      <c r="C7">
        <v>49026.75</v>
      </c>
      <c r="D7">
        <v>47313.75</v>
      </c>
      <c r="E7">
        <v>44617.75</v>
      </c>
      <c r="F7">
        <v>44183.5</v>
      </c>
      <c r="G7">
        <v>41776.5</v>
      </c>
      <c r="H7">
        <v>24975</v>
      </c>
      <c r="I7">
        <v>20989</v>
      </c>
      <c r="J7">
        <v>9300</v>
      </c>
      <c r="K7">
        <v>6550</v>
      </c>
      <c r="L7">
        <v>4050</v>
      </c>
      <c r="M7">
        <v>4050</v>
      </c>
    </row>
    <row r="8" spans="1:13" x14ac:dyDescent="0.3">
      <c r="A8" s="201" t="s">
        <v>487</v>
      </c>
      <c r="B8">
        <v>99662.5</v>
      </c>
      <c r="C8">
        <v>98053.5</v>
      </c>
      <c r="D8">
        <v>94627.5</v>
      </c>
      <c r="E8">
        <v>89235.5</v>
      </c>
      <c r="F8">
        <v>88367</v>
      </c>
      <c r="G8">
        <v>83553</v>
      </c>
      <c r="H8">
        <v>49950</v>
      </c>
      <c r="I8">
        <v>41978</v>
      </c>
      <c r="J8">
        <v>18600</v>
      </c>
      <c r="K8">
        <v>13100</v>
      </c>
      <c r="L8">
        <v>8100</v>
      </c>
      <c r="M8">
        <v>8100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249E-C6EF-4A32-91B0-93AC37D44437}">
  <dimension ref="A2:M24"/>
  <sheetViews>
    <sheetView workbookViewId="0">
      <selection activeCell="J6" sqref="J6"/>
    </sheetView>
  </sheetViews>
  <sheetFormatPr defaultRowHeight="14.4" x14ac:dyDescent="0.3"/>
  <cols>
    <col min="1" max="1" width="13.109375" bestFit="1" customWidth="1"/>
    <col min="2" max="2" width="13.44140625" bestFit="1" customWidth="1"/>
    <col min="3" max="3" width="12.6640625" bestFit="1" customWidth="1"/>
    <col min="4" max="4" width="13.88671875" bestFit="1" customWidth="1"/>
    <col min="5" max="5" width="13.6640625" bestFit="1" customWidth="1"/>
    <col min="6" max="6" width="13.44140625" bestFit="1" customWidth="1"/>
    <col min="7" max="7" width="14" bestFit="1" customWidth="1"/>
    <col min="8" max="8" width="13.6640625" bestFit="1" customWidth="1"/>
    <col min="9" max="9" width="13.33203125" bestFit="1" customWidth="1"/>
    <col min="10" max="10" width="13.6640625" bestFit="1" customWidth="1"/>
    <col min="11" max="11" width="14" bestFit="1" customWidth="1"/>
    <col min="12" max="12" width="13.5546875" bestFit="1" customWidth="1"/>
    <col min="13" max="13" width="14.33203125" bestFit="1" customWidth="1"/>
  </cols>
  <sheetData>
    <row r="2" spans="1:13" ht="15.6" x14ac:dyDescent="0.3">
      <c r="A2" s="205" t="s">
        <v>502</v>
      </c>
    </row>
    <row r="3" spans="1:13" x14ac:dyDescent="0.3">
      <c r="A3" s="200" t="s">
        <v>485</v>
      </c>
      <c r="B3" t="s">
        <v>488</v>
      </c>
      <c r="C3" t="s">
        <v>491</v>
      </c>
      <c r="D3" t="s">
        <v>492</v>
      </c>
      <c r="E3" t="s">
        <v>493</v>
      </c>
      <c r="F3" t="s">
        <v>494</v>
      </c>
      <c r="G3" t="s">
        <v>495</v>
      </c>
      <c r="H3" t="s">
        <v>496</v>
      </c>
      <c r="I3" t="s">
        <v>497</v>
      </c>
      <c r="J3" t="s">
        <v>498</v>
      </c>
      <c r="K3" t="s">
        <v>499</v>
      </c>
      <c r="L3" t="s">
        <v>500</v>
      </c>
      <c r="M3" t="s">
        <v>501</v>
      </c>
    </row>
    <row r="4" spans="1:13" x14ac:dyDescent="0.3">
      <c r="A4" s="201" t="s">
        <v>516</v>
      </c>
      <c r="B4">
        <v>731</v>
      </c>
      <c r="C4">
        <v>610</v>
      </c>
      <c r="D4">
        <v>310</v>
      </c>
      <c r="E4">
        <v>110</v>
      </c>
      <c r="F4">
        <v>10</v>
      </c>
      <c r="G4">
        <v>85</v>
      </c>
      <c r="H4">
        <v>10</v>
      </c>
      <c r="I4">
        <v>10</v>
      </c>
    </row>
    <row r="5" spans="1:13" x14ac:dyDescent="0.3">
      <c r="A5" s="201" t="s">
        <v>517</v>
      </c>
      <c r="B5">
        <v>327</v>
      </c>
      <c r="C5">
        <v>327</v>
      </c>
      <c r="D5">
        <v>552</v>
      </c>
      <c r="E5">
        <v>611</v>
      </c>
      <c r="F5">
        <v>326</v>
      </c>
      <c r="G5">
        <v>414</v>
      </c>
      <c r="H5">
        <v>470</v>
      </c>
      <c r="I5">
        <v>414</v>
      </c>
      <c r="J5">
        <v>414</v>
      </c>
    </row>
    <row r="6" spans="1:13" x14ac:dyDescent="0.3">
      <c r="A6" s="201" t="s">
        <v>518</v>
      </c>
      <c r="B6">
        <v>2213</v>
      </c>
      <c r="C6">
        <v>1556.5</v>
      </c>
      <c r="D6">
        <v>1768</v>
      </c>
      <c r="E6">
        <v>1715</v>
      </c>
      <c r="F6">
        <v>2650</v>
      </c>
      <c r="G6">
        <v>2107</v>
      </c>
      <c r="H6">
        <v>1697</v>
      </c>
      <c r="I6">
        <v>1215</v>
      </c>
      <c r="J6">
        <v>757</v>
      </c>
    </row>
    <row r="7" spans="1:13" x14ac:dyDescent="0.3">
      <c r="A7" s="201" t="s">
        <v>486</v>
      </c>
      <c r="B7">
        <v>3521</v>
      </c>
      <c r="C7">
        <v>3493.5</v>
      </c>
      <c r="D7">
        <v>3630</v>
      </c>
      <c r="E7">
        <v>2786</v>
      </c>
      <c r="F7">
        <v>3036</v>
      </c>
      <c r="G7">
        <v>3106</v>
      </c>
      <c r="H7">
        <v>3177</v>
      </c>
      <c r="I7">
        <v>2639</v>
      </c>
      <c r="J7">
        <v>2171</v>
      </c>
      <c r="K7">
        <v>1000</v>
      </c>
      <c r="L7">
        <v>1000</v>
      </c>
      <c r="M7">
        <v>1850</v>
      </c>
    </row>
    <row r="8" spans="1:13" x14ac:dyDescent="0.3">
      <c r="A8" s="201" t="s">
        <v>474</v>
      </c>
      <c r="B8">
        <v>250</v>
      </c>
      <c r="C8">
        <v>1000</v>
      </c>
      <c r="D8">
        <v>1000</v>
      </c>
      <c r="E8">
        <v>350</v>
      </c>
      <c r="F8">
        <v>50</v>
      </c>
      <c r="G8">
        <v>500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1850</v>
      </c>
    </row>
    <row r="9" spans="1:13" x14ac:dyDescent="0.3">
      <c r="A9" s="201" t="s">
        <v>487</v>
      </c>
      <c r="B9">
        <v>7042</v>
      </c>
      <c r="C9">
        <v>6987</v>
      </c>
      <c r="D9">
        <v>7260</v>
      </c>
      <c r="E9">
        <v>5572</v>
      </c>
      <c r="F9">
        <v>6072</v>
      </c>
      <c r="G9">
        <v>6212</v>
      </c>
      <c r="H9">
        <v>6354</v>
      </c>
      <c r="I9">
        <v>5278</v>
      </c>
      <c r="J9">
        <v>4342</v>
      </c>
      <c r="K9">
        <v>2000</v>
      </c>
      <c r="L9">
        <v>2000</v>
      </c>
      <c r="M9">
        <v>3700</v>
      </c>
    </row>
    <row r="11" spans="1:13" ht="15.6" x14ac:dyDescent="0.3">
      <c r="A11" s="205" t="s">
        <v>424</v>
      </c>
    </row>
    <row r="12" spans="1:13" x14ac:dyDescent="0.3">
      <c r="A12" s="200" t="s">
        <v>485</v>
      </c>
      <c r="B12" t="s">
        <v>488</v>
      </c>
      <c r="C12" t="s">
        <v>491</v>
      </c>
      <c r="D12" t="s">
        <v>492</v>
      </c>
      <c r="E12" t="s">
        <v>493</v>
      </c>
      <c r="F12" t="s">
        <v>494</v>
      </c>
      <c r="G12" t="s">
        <v>495</v>
      </c>
      <c r="H12" t="s">
        <v>496</v>
      </c>
      <c r="I12" t="s">
        <v>497</v>
      </c>
      <c r="J12" t="s">
        <v>498</v>
      </c>
      <c r="K12" t="s">
        <v>499</v>
      </c>
      <c r="L12" t="s">
        <v>500</v>
      </c>
      <c r="M12" t="s">
        <v>501</v>
      </c>
    </row>
    <row r="13" spans="1:13" x14ac:dyDescent="0.3">
      <c r="A13" s="201" t="s">
        <v>516</v>
      </c>
      <c r="B13">
        <v>532</v>
      </c>
      <c r="C13">
        <v>698</v>
      </c>
      <c r="D13">
        <v>157</v>
      </c>
      <c r="E13">
        <v>150</v>
      </c>
      <c r="F13">
        <v>150</v>
      </c>
      <c r="G13">
        <v>100</v>
      </c>
      <c r="H13">
        <v>100</v>
      </c>
      <c r="I13">
        <v>100</v>
      </c>
    </row>
    <row r="14" spans="1:13" x14ac:dyDescent="0.3">
      <c r="A14" s="201" t="s">
        <v>517</v>
      </c>
      <c r="D14">
        <v>100</v>
      </c>
      <c r="E14">
        <v>100</v>
      </c>
      <c r="F14">
        <v>92</v>
      </c>
      <c r="G14">
        <v>386</v>
      </c>
      <c r="H14">
        <v>372</v>
      </c>
      <c r="I14">
        <v>371</v>
      </c>
      <c r="J14">
        <v>311</v>
      </c>
    </row>
    <row r="15" spans="1:13" x14ac:dyDescent="0.3">
      <c r="A15" s="201" t="s">
        <v>518</v>
      </c>
      <c r="B15">
        <v>2822</v>
      </c>
      <c r="C15">
        <v>1001</v>
      </c>
      <c r="D15">
        <v>2657</v>
      </c>
      <c r="E15">
        <v>1904</v>
      </c>
      <c r="F15">
        <v>2857</v>
      </c>
      <c r="G15">
        <v>1458</v>
      </c>
      <c r="H15">
        <v>607</v>
      </c>
      <c r="L15">
        <v>150</v>
      </c>
    </row>
    <row r="16" spans="1:13" x14ac:dyDescent="0.3">
      <c r="A16" s="201" t="s">
        <v>486</v>
      </c>
      <c r="B16">
        <v>4954</v>
      </c>
      <c r="C16">
        <v>3299</v>
      </c>
      <c r="D16">
        <v>4514</v>
      </c>
      <c r="E16">
        <v>3754</v>
      </c>
      <c r="F16">
        <v>4599</v>
      </c>
      <c r="G16">
        <v>3444</v>
      </c>
      <c r="H16">
        <v>2579</v>
      </c>
      <c r="I16">
        <v>1971</v>
      </c>
      <c r="J16">
        <v>1811</v>
      </c>
      <c r="K16">
        <v>1236</v>
      </c>
      <c r="L16">
        <v>2582</v>
      </c>
      <c r="M16">
        <v>2432</v>
      </c>
    </row>
    <row r="17" spans="1:13" x14ac:dyDescent="0.3">
      <c r="A17" s="201" t="s">
        <v>474</v>
      </c>
      <c r="B17">
        <v>1600</v>
      </c>
      <c r="C17">
        <v>1600</v>
      </c>
      <c r="D17">
        <v>1600</v>
      </c>
      <c r="E17">
        <v>1600</v>
      </c>
      <c r="F17">
        <v>1500</v>
      </c>
      <c r="G17">
        <v>1500</v>
      </c>
      <c r="H17">
        <v>1500</v>
      </c>
      <c r="I17">
        <v>1500</v>
      </c>
      <c r="J17">
        <v>1500</v>
      </c>
      <c r="K17">
        <v>1236</v>
      </c>
      <c r="L17">
        <v>2432</v>
      </c>
      <c r="M17">
        <v>2432</v>
      </c>
    </row>
    <row r="18" spans="1:13" x14ac:dyDescent="0.3">
      <c r="A18" s="201" t="s">
        <v>487</v>
      </c>
      <c r="B18">
        <v>9908</v>
      </c>
      <c r="C18">
        <v>6598</v>
      </c>
      <c r="D18">
        <v>9028</v>
      </c>
      <c r="E18">
        <v>7508</v>
      </c>
      <c r="F18">
        <v>9198</v>
      </c>
      <c r="G18">
        <v>6888</v>
      </c>
      <c r="H18">
        <v>5158</v>
      </c>
      <c r="I18">
        <v>3942</v>
      </c>
      <c r="J18">
        <v>3622</v>
      </c>
      <c r="K18">
        <v>2472</v>
      </c>
      <c r="L18">
        <v>5164</v>
      </c>
      <c r="M18">
        <v>4864</v>
      </c>
    </row>
    <row r="19" spans="1:13" ht="15" thickBot="1" x14ac:dyDescent="0.35"/>
    <row r="20" spans="1:13" x14ac:dyDescent="0.3">
      <c r="A20" s="207" t="s">
        <v>503</v>
      </c>
      <c r="B20" s="208">
        <v>46174</v>
      </c>
      <c r="C20" s="208">
        <v>46204</v>
      </c>
      <c r="D20" s="208">
        <v>46235</v>
      </c>
      <c r="E20" s="208">
        <v>46266</v>
      </c>
      <c r="F20" s="208">
        <v>46296</v>
      </c>
      <c r="G20" s="208">
        <v>46327</v>
      </c>
      <c r="H20" s="208">
        <v>46357</v>
      </c>
      <c r="I20" s="208">
        <v>46388</v>
      </c>
      <c r="J20" s="208">
        <v>46419</v>
      </c>
      <c r="K20" s="208">
        <v>46447</v>
      </c>
      <c r="L20" s="208">
        <v>46478</v>
      </c>
      <c r="M20" s="209">
        <v>46508</v>
      </c>
    </row>
    <row r="21" spans="1:13" x14ac:dyDescent="0.3">
      <c r="A21" s="206" t="s">
        <v>516</v>
      </c>
      <c r="B21" s="206">
        <f>GETPIVOTDATA("Sum of Jun-26",$A$3,"Order","Contract")+GETPIVOTDATA("Sum of Jun-26",$A$12,"Order","Contract")</f>
        <v>1263</v>
      </c>
      <c r="C21" s="206">
        <f>GETPIVOTDATA("Sum of Jul-26",$A$3,"Order","Contract")+GETPIVOTDATA("Sum of Jul-26",$A$12,"Order","Contract")</f>
        <v>1308</v>
      </c>
      <c r="D21" s="206">
        <f>GETPIVOTDATA("Sum of Aug-26",$A$3,"Order","Contract")+GETPIVOTDATA("Sum of Aug-26",$A$12,"Order","Contract")</f>
        <v>467</v>
      </c>
      <c r="E21" s="206">
        <f>GETPIVOTDATA("Sum of Sep-26",$A$3,"Order","Contract")+GETPIVOTDATA("Sum of Sep-26",$A$12,"Order","Contract")</f>
        <v>260</v>
      </c>
      <c r="F21" s="206">
        <f>GETPIVOTDATA("Sum of Oct-26",$A$3,"Order","Contract")+GETPIVOTDATA("Sum of Oct-26",$A$12,"Order","Contract")</f>
        <v>160</v>
      </c>
      <c r="G21" s="206">
        <f>GETPIVOTDATA("Sum of Nov-26",$A$3,"Order","Contract")+GETPIVOTDATA("Sum of Nov-26",$A$12,"Order","Contract")</f>
        <v>185</v>
      </c>
      <c r="H21" s="206">
        <f>GETPIVOTDATA("Sum of Dec-26",$A$3,"Order","Contract")+GETPIVOTDATA("Sum of Dec-26",$A$12,"Order","Contract")</f>
        <v>110</v>
      </c>
      <c r="I21" s="206">
        <f>GETPIVOTDATA("Sum of Jan-27",$A$3,"Order","Contract")+GETPIVOTDATA("Sum of Jan-27",$A$12,"Order","Contract")</f>
        <v>110</v>
      </c>
      <c r="J21" s="206">
        <f>GETPIVOTDATA("Sum of Feb-27",$A$3,"Order","Contract")+GETPIVOTDATA("Sum of Feb-27",$A$12,"Order","Contract")</f>
        <v>0</v>
      </c>
      <c r="K21" s="206">
        <f>GETPIVOTDATA("Sum of Mar-27",$A$3,"Order","Contract")+GETPIVOTDATA("Sum of Mar-27",$A$12,"Order","Contract")</f>
        <v>0</v>
      </c>
      <c r="L21" s="206">
        <f>GETPIVOTDATA("Sum of Apr-27",$A$3,"Order","Contract")+GETPIVOTDATA("Sum of Apr-27",$A$12,"Order","Contract")</f>
        <v>0</v>
      </c>
      <c r="M21" s="206">
        <f>GETPIVOTDATA("Sum of May-27",$A$3,"Order","Contract")+GETPIVOTDATA("Sum of May-27",$A$12,"Order","Contract")</f>
        <v>0</v>
      </c>
    </row>
    <row r="22" spans="1:13" x14ac:dyDescent="0.3">
      <c r="A22" s="206" t="s">
        <v>517</v>
      </c>
      <c r="B22" s="206">
        <f>GETPIVOTDATA("Sum of Jun-26",$A$3,"Order","Group")+GETPIVOTDATA("Sum of Jun-26",$A$12,"Order","Group")</f>
        <v>327</v>
      </c>
      <c r="C22" s="206">
        <f>GETPIVOTDATA("Sum of Jul-26",$A$3,"Order","Group")+GETPIVOTDATA("Sum of Jul-26",$A$12,"Order","Group")</f>
        <v>327</v>
      </c>
      <c r="D22" s="206">
        <f>GETPIVOTDATA("Sum of Aug-26",$A$3,"Order","Group")+GETPIVOTDATA("Sum of Aug-26",$A$12,"Order","Group")</f>
        <v>652</v>
      </c>
      <c r="E22" s="206">
        <f>GETPIVOTDATA("Sum of Sep-26",$A$3,"Order","Group")+GETPIVOTDATA("Sum of Sep-26",$A$12,"Order","Group")</f>
        <v>711</v>
      </c>
      <c r="F22" s="206">
        <f>GETPIVOTDATA("Sum of Oct-26",$A$3,"Order","Group")+GETPIVOTDATA("Sum of Oct-26",$A$12,"Order","Group")</f>
        <v>418</v>
      </c>
      <c r="G22" s="206">
        <f>GETPIVOTDATA("Sum of Nov-26",$A$3,"Order","Group")+GETPIVOTDATA("Sum of Nov-26",$A$12,"Order","Group")</f>
        <v>800</v>
      </c>
      <c r="H22" s="206">
        <f>GETPIVOTDATA("Sum of Dec-26",$A$3,"Order","Group")+GETPIVOTDATA("Sum of Dec-26",$A$12,"Order","Group")</f>
        <v>842</v>
      </c>
      <c r="I22" s="206">
        <f>GETPIVOTDATA("Sum of Jan-27",$A$3,"Order","Group")+GETPIVOTDATA("Sum of Jan-27",$A$12,"Order","Group")</f>
        <v>785</v>
      </c>
      <c r="J22" s="206">
        <f>GETPIVOTDATA("Sum of Feb-27",$A$3,"Order","Group")+GETPIVOTDATA("Sum of Feb-27",$A$12,"Order","Group")</f>
        <v>725</v>
      </c>
      <c r="K22" s="206">
        <f>GETPIVOTDATA("Sum of Mar-27",$A$3,"Order","Group")+GETPIVOTDATA("Sum of Mar-27",$A$12,"Order","Group")</f>
        <v>0</v>
      </c>
      <c r="L22" s="206">
        <f>GETPIVOTDATA("Sum of Apr-27",$A$3,"Order","Group")+GETPIVOTDATA("Sum of Apr-27",$A$12,"Order","Group")</f>
        <v>0</v>
      </c>
      <c r="M22" s="206">
        <f>GETPIVOTDATA("Sum of May-27",$A$3,"Order","Group")+GETPIVOTDATA("Sum of May-27",$A$12,"Order","Group")</f>
        <v>0</v>
      </c>
    </row>
    <row r="23" spans="1:13" x14ac:dyDescent="0.3">
      <c r="A23" s="206" t="s">
        <v>518</v>
      </c>
      <c r="B23" s="206">
        <f>GETPIVOTDATA("Sum of Jun-26",$A$3,"Order","OTH")+GETPIVOTDATA("Sum of Jun-26",$A$12,"Order","OTH")</f>
        <v>5035</v>
      </c>
      <c r="C23" s="206">
        <f>GETPIVOTDATA("Sum of Jul-26",$A$3,"Order","OTH")+GETPIVOTDATA("Sum of Jul-26",$A$12,"Order","OTH")</f>
        <v>2557.5</v>
      </c>
      <c r="D23" s="206">
        <f>GETPIVOTDATA("Sum of Aug-26",$A$3,"Order","OTH")+GETPIVOTDATA("Sum of Aug-26",$A$12,"Order","OTH")</f>
        <v>4425</v>
      </c>
      <c r="E23" s="206">
        <f>GETPIVOTDATA("Sum of Sep-26",$A$3,"Order","OTH")+GETPIVOTDATA("Sum of Sep-26",$A$12,"Order","OTH")</f>
        <v>3619</v>
      </c>
      <c r="F23" s="206">
        <f>GETPIVOTDATA("Sum of Oct-26",$A$3,"Order","OTH")+GETPIVOTDATA("Sum of Oct-26",$A$12,"Order","OTH")</f>
        <v>5507</v>
      </c>
      <c r="G23" s="206">
        <f>GETPIVOTDATA("Sum of Nov-26",$A$3,"Order","OTH")+GETPIVOTDATA("Sum of Nov-26",$A$12,"Order","OTH")</f>
        <v>3565</v>
      </c>
      <c r="H23" s="206">
        <f>GETPIVOTDATA("Sum of Dec-26",$A$3,"Order","OTH")+GETPIVOTDATA("Sum of Dec-26",$A$12,"Order","OTH")</f>
        <v>2304</v>
      </c>
      <c r="I23" s="206">
        <f>GETPIVOTDATA("Sum of Jan-27",$A$3,"Order","OTH")+GETPIVOTDATA("Sum of Jan-27",$A$12,"Order","OTH")</f>
        <v>1215</v>
      </c>
      <c r="J23" s="206">
        <f>GETPIVOTDATA("Sum of Feb-27",$A$3,"Order","OTH")+GETPIVOTDATA("Sum of Feb-27",$A$12,"Order","OTH")</f>
        <v>757</v>
      </c>
      <c r="K23" s="206">
        <f>GETPIVOTDATA("Sum of Mar-27",$A$3,"Order","OTH")+GETPIVOTDATA("Sum of Mar-27",$A$12,"Order","OTH")</f>
        <v>0</v>
      </c>
      <c r="L23" s="206">
        <f>GETPIVOTDATA("Sum of Apr-27",$A$3,"Order","OTH")+GETPIVOTDATA("Sum of Apr-27",$A$12,"Order","OTH")</f>
        <v>150</v>
      </c>
      <c r="M23" s="206">
        <f>GETPIVOTDATA("Sum of May-27",$A$3,"Order","OTH")+GETPIVOTDATA("Sum of May-27",$A$12,"Order","OTH")</f>
        <v>0</v>
      </c>
    </row>
    <row r="24" spans="1:13" x14ac:dyDescent="0.3">
      <c r="A24" s="206" t="s">
        <v>474</v>
      </c>
      <c r="B24" s="206">
        <f>GETPIVOTDATA("Sum of Jun-26",$A$3,"Order","TS")+GETPIVOTDATA("Sum of Jun-26",$A$12,"Order","TS")</f>
        <v>1850</v>
      </c>
      <c r="C24" s="206">
        <f>GETPIVOTDATA("Sum of Jul-26",$A$3,"Order","TS")+GETPIVOTDATA("Sum of Jul-26",$A$12,"Order","TS")</f>
        <v>2600</v>
      </c>
      <c r="D24" s="206">
        <f>GETPIVOTDATA("Sum of Aug-26",$A$3,"Order","TS")+GETPIVOTDATA("Sum of Aug-26",$A$12,"Order","TS")</f>
        <v>2600</v>
      </c>
      <c r="E24" s="206">
        <f>GETPIVOTDATA("Sum of Sep-26",$A$3,"Order","TS")+GETPIVOTDATA("Sum of Sep-26",$A$12,"Order","TS")</f>
        <v>1950</v>
      </c>
      <c r="F24" s="206">
        <f>GETPIVOTDATA("Sum of Oct-26",$A$3,"Order","TS")+GETPIVOTDATA("Sum of Oct-26",$A$12,"Order","TS")</f>
        <v>1550</v>
      </c>
      <c r="G24" s="206">
        <f>GETPIVOTDATA("Sum of Nov-26",$A$3,"Order","TS")+GETPIVOTDATA("Sum of Nov-26",$A$12,"Order","TS")</f>
        <v>2000</v>
      </c>
      <c r="H24" s="206">
        <f>GETPIVOTDATA("Sum of Dec-26",$A$3,"Order","TS")+GETPIVOTDATA("Sum of Dec-26",$A$12,"Order","TS")</f>
        <v>2500</v>
      </c>
      <c r="I24" s="206">
        <f>GETPIVOTDATA("Sum of Jan-27",$A$3,"Order","TS")+GETPIVOTDATA("Sum of Jan-27",$A$12,"Order","TS")</f>
        <v>2500</v>
      </c>
      <c r="J24" s="206">
        <f>GETPIVOTDATA("Sum of Feb-27",$A$3,"Order","TS")+GETPIVOTDATA("Sum of Feb-27",$A$12,"Order","TS")</f>
        <v>2500</v>
      </c>
      <c r="K24" s="206">
        <f>GETPIVOTDATA("Sum of Mar-27",$A$3,"Order","TS")+GETPIVOTDATA("Sum of Mar-27",$A$12,"Order","TS")</f>
        <v>2236</v>
      </c>
      <c r="L24" s="206">
        <f>GETPIVOTDATA("Sum of Apr-27",$A$3,"Order","TS")+GETPIVOTDATA("Sum of Apr-27",$A$12,"Order","TS")</f>
        <v>3432</v>
      </c>
      <c r="M24" s="206">
        <f>GETPIVOTDATA("Sum of May-27",$A$3,"Order","TS")+GETPIVOTDATA("Sum of May-27",$A$12,"Order","TS")</f>
        <v>4282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9818-C137-4306-834F-D25D69A0312C}">
  <dimension ref="A3:M10"/>
  <sheetViews>
    <sheetView zoomScale="82" zoomScaleNormal="82" workbookViewId="0">
      <selection activeCell="N32" sqref="N32"/>
    </sheetView>
  </sheetViews>
  <sheetFormatPr defaultRowHeight="14.4" x14ac:dyDescent="0.3"/>
  <cols>
    <col min="1" max="1" width="13.5546875" bestFit="1" customWidth="1"/>
    <col min="2" max="2" width="13.44140625" bestFit="1" customWidth="1"/>
    <col min="3" max="3" width="12.6640625" bestFit="1" customWidth="1"/>
    <col min="4" max="4" width="13.88671875" bestFit="1" customWidth="1"/>
    <col min="5" max="5" width="13.6640625" bestFit="1" customWidth="1"/>
    <col min="6" max="6" width="13.44140625" bestFit="1" customWidth="1"/>
    <col min="7" max="7" width="14" bestFit="1" customWidth="1"/>
    <col min="8" max="8" width="13.6640625" bestFit="1" customWidth="1"/>
    <col min="9" max="9" width="13.33203125" bestFit="1" customWidth="1"/>
    <col min="10" max="10" width="13.6640625" bestFit="1" customWidth="1"/>
    <col min="11" max="11" width="14" bestFit="1" customWidth="1"/>
    <col min="12" max="12" width="13.5546875" bestFit="1" customWidth="1"/>
    <col min="13" max="13" width="14.33203125" bestFit="1" customWidth="1"/>
  </cols>
  <sheetData>
    <row r="3" spans="1:13" x14ac:dyDescent="0.3">
      <c r="A3" s="200" t="s">
        <v>485</v>
      </c>
      <c r="B3" t="s">
        <v>488</v>
      </c>
      <c r="C3" t="s">
        <v>491</v>
      </c>
      <c r="D3" t="s">
        <v>492</v>
      </c>
      <c r="E3" t="s">
        <v>493</v>
      </c>
      <c r="F3" t="s">
        <v>494</v>
      </c>
      <c r="G3" t="s">
        <v>495</v>
      </c>
      <c r="H3" t="s">
        <v>496</v>
      </c>
      <c r="I3" t="s">
        <v>497</v>
      </c>
      <c r="J3" t="s">
        <v>498</v>
      </c>
      <c r="K3" t="s">
        <v>499</v>
      </c>
      <c r="L3" t="s">
        <v>500</v>
      </c>
      <c r="M3" t="s">
        <v>501</v>
      </c>
    </row>
    <row r="4" spans="1:13" x14ac:dyDescent="0.3">
      <c r="A4" s="201" t="s">
        <v>516</v>
      </c>
      <c r="B4">
        <v>1180</v>
      </c>
      <c r="C4">
        <v>1069</v>
      </c>
      <c r="E4">
        <v>50</v>
      </c>
      <c r="F4">
        <v>300</v>
      </c>
      <c r="G4">
        <v>300</v>
      </c>
      <c r="H4">
        <v>300</v>
      </c>
      <c r="I4">
        <v>300</v>
      </c>
      <c r="J4">
        <v>300</v>
      </c>
      <c r="K4">
        <v>300</v>
      </c>
    </row>
    <row r="5" spans="1:13" x14ac:dyDescent="0.3">
      <c r="A5" s="201" t="s">
        <v>517</v>
      </c>
      <c r="F5">
        <v>450</v>
      </c>
      <c r="J5">
        <v>170</v>
      </c>
      <c r="K5">
        <v>160</v>
      </c>
    </row>
    <row r="6" spans="1:13" x14ac:dyDescent="0.3">
      <c r="A6" s="201" t="s">
        <v>518</v>
      </c>
      <c r="B6">
        <v>3308</v>
      </c>
      <c r="C6">
        <v>2224</v>
      </c>
      <c r="D6">
        <v>1928</v>
      </c>
      <c r="E6">
        <v>1754</v>
      </c>
      <c r="F6">
        <v>2302</v>
      </c>
      <c r="G6">
        <v>3775</v>
      </c>
      <c r="H6">
        <v>4265</v>
      </c>
      <c r="I6">
        <v>3090</v>
      </c>
      <c r="J6">
        <v>1470</v>
      </c>
      <c r="K6">
        <v>1060</v>
      </c>
    </row>
    <row r="7" spans="1:13" x14ac:dyDescent="0.3">
      <c r="A7" s="201" t="s">
        <v>486</v>
      </c>
      <c r="B7">
        <v>5418</v>
      </c>
      <c r="C7">
        <v>5533</v>
      </c>
      <c r="D7">
        <v>5528</v>
      </c>
      <c r="E7">
        <v>5604</v>
      </c>
      <c r="F7">
        <v>5532</v>
      </c>
      <c r="G7">
        <v>4775</v>
      </c>
      <c r="H7">
        <v>4765</v>
      </c>
      <c r="I7">
        <v>4160</v>
      </c>
      <c r="J7">
        <v>2540</v>
      </c>
      <c r="K7">
        <v>1620</v>
      </c>
      <c r="L7">
        <v>100</v>
      </c>
      <c r="M7">
        <v>100</v>
      </c>
    </row>
    <row r="8" spans="1:13" x14ac:dyDescent="0.3">
      <c r="A8" s="201" t="s">
        <v>477</v>
      </c>
      <c r="B8">
        <v>900</v>
      </c>
      <c r="C8">
        <v>2200</v>
      </c>
      <c r="D8">
        <v>3350</v>
      </c>
      <c r="E8">
        <v>3500</v>
      </c>
      <c r="F8">
        <v>2200</v>
      </c>
      <c r="G8">
        <v>500</v>
      </c>
      <c r="I8">
        <v>670</v>
      </c>
      <c r="J8">
        <v>500</v>
      </c>
    </row>
    <row r="9" spans="1:13" x14ac:dyDescent="0.3">
      <c r="A9" s="201" t="s">
        <v>474</v>
      </c>
      <c r="B9">
        <v>30</v>
      </c>
      <c r="C9">
        <v>40</v>
      </c>
      <c r="D9">
        <v>250</v>
      </c>
      <c r="E9">
        <v>300</v>
      </c>
      <c r="F9">
        <v>280</v>
      </c>
      <c r="G9">
        <v>200</v>
      </c>
      <c r="H9">
        <v>200</v>
      </c>
      <c r="I9">
        <v>100</v>
      </c>
      <c r="J9">
        <v>100</v>
      </c>
      <c r="K9">
        <v>100</v>
      </c>
      <c r="L9">
        <v>100</v>
      </c>
      <c r="M9">
        <v>100</v>
      </c>
    </row>
    <row r="10" spans="1:13" x14ac:dyDescent="0.3">
      <c r="A10" s="201" t="s">
        <v>487</v>
      </c>
      <c r="B10">
        <v>10836</v>
      </c>
      <c r="C10">
        <v>11066</v>
      </c>
      <c r="D10">
        <v>11056</v>
      </c>
      <c r="E10">
        <v>11208</v>
      </c>
      <c r="F10">
        <v>11064</v>
      </c>
      <c r="G10">
        <v>9550</v>
      </c>
      <c r="H10">
        <v>9530</v>
      </c>
      <c r="I10">
        <v>8320</v>
      </c>
      <c r="J10">
        <v>5080</v>
      </c>
      <c r="K10">
        <v>3240</v>
      </c>
      <c r="L10">
        <v>200</v>
      </c>
      <c r="M10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Z65"/>
  <sheetViews>
    <sheetView zoomScale="80" zoomScaleNormal="80" zoomScaleSheetLayoutView="90" workbookViewId="0">
      <pane xSplit="7" ySplit="2" topLeftCell="N12" activePane="bottomRight" state="frozen"/>
      <selection pane="topRight" activeCell="N1" sqref="N1"/>
      <selection pane="bottomLeft" activeCell="A7" sqref="A7"/>
      <selection pane="bottomRight" activeCell="B17" sqref="B17"/>
    </sheetView>
  </sheetViews>
  <sheetFormatPr defaultColWidth="9.109375" defaultRowHeight="10.199999999999999" outlineLevelCol="1" x14ac:dyDescent="0.2"/>
  <cols>
    <col min="1" max="1" width="5.88671875" style="11" customWidth="1"/>
    <col min="2" max="2" width="30.33203125" style="11" customWidth="1"/>
    <col min="3" max="3" width="32.109375" style="12" customWidth="1"/>
    <col min="4" max="4" width="10.33203125" style="11" customWidth="1" outlineLevel="1"/>
    <col min="5" max="5" width="10.44140625" style="11" customWidth="1" outlineLevel="1"/>
    <col min="6" max="6" width="15.109375" style="11" customWidth="1" outlineLevel="1"/>
    <col min="7" max="7" width="18.33203125" style="11" customWidth="1"/>
    <col min="8" max="8" width="16.6640625" style="11" hidden="1" customWidth="1" outlineLevel="1"/>
    <col min="9" max="9" width="16.109375" style="11" hidden="1" customWidth="1" outlineLevel="1"/>
    <col min="10" max="13" width="15.109375" style="11" hidden="1" customWidth="1" outlineLevel="1"/>
    <col min="14" max="14" width="15.88671875" style="11" customWidth="1" collapsed="1"/>
    <col min="15" max="20" width="16.6640625" style="1" hidden="1" customWidth="1" outlineLevel="1"/>
    <col min="21" max="22" width="16.33203125" style="1" hidden="1" customWidth="1" outlineLevel="1"/>
    <col min="23" max="23" width="12.88671875" style="1" hidden="1" customWidth="1" outlineLevel="1"/>
    <col min="24" max="25" width="17.33203125" style="1" hidden="1" customWidth="1" outlineLevel="1"/>
    <col min="26" max="26" width="18" style="1" customWidth="1" collapsed="1"/>
    <col min="27" max="27" width="12.5546875" style="11" hidden="1" customWidth="1" outlineLevel="1"/>
    <col min="28" max="28" width="17" style="11" hidden="1" customWidth="1" outlineLevel="1"/>
    <col min="29" max="29" width="13.44140625" style="11" hidden="1" customWidth="1" outlineLevel="1"/>
    <col min="30" max="30" width="14.5546875" style="11" hidden="1" customWidth="1" outlineLevel="1"/>
    <col min="31" max="31" width="16.6640625" style="11" hidden="1" customWidth="1" outlineLevel="1"/>
    <col min="32" max="32" width="14.5546875" style="11" hidden="1" customWidth="1" outlineLevel="1"/>
    <col min="33" max="33" width="15.5546875" style="11" hidden="1" customWidth="1" outlineLevel="1"/>
    <col min="34" max="34" width="16.88671875" style="11" customWidth="1" collapsed="1"/>
    <col min="35" max="35" width="12.5546875" style="1" hidden="1" customWidth="1" outlineLevel="1"/>
    <col min="36" max="36" width="16" style="1" hidden="1" customWidth="1" outlineLevel="1"/>
    <col min="37" max="37" width="12.44140625" style="1" hidden="1" customWidth="1" outlineLevel="1"/>
    <col min="38" max="38" width="12.109375" style="1" hidden="1" customWidth="1" outlineLevel="1"/>
    <col min="39" max="39" width="15.33203125" style="1" hidden="1" customWidth="1" outlineLevel="1"/>
    <col min="40" max="40" width="11" style="1" hidden="1" customWidth="1" outlineLevel="1"/>
    <col min="41" max="42" width="15.6640625" style="1" hidden="1" customWidth="1" outlineLevel="1"/>
    <col min="43" max="43" width="14.88671875" style="1" hidden="1" customWidth="1" outlineLevel="1"/>
    <col min="44" max="44" width="16.6640625" style="1" customWidth="1" collapsed="1"/>
    <col min="45" max="45" width="18.5546875" style="1" customWidth="1"/>
    <col min="46" max="46" width="16.44140625" style="1" customWidth="1"/>
    <col min="47" max="47" width="18.109375" style="1" customWidth="1"/>
    <col min="48" max="48" width="18.5546875" style="1" customWidth="1"/>
    <col min="49" max="49" width="17.6640625" style="1" customWidth="1"/>
    <col min="50" max="50" width="16.5546875" style="1" customWidth="1"/>
    <col min="51" max="51" width="10.6640625" style="6" customWidth="1"/>
    <col min="52" max="52" width="39.6640625" style="1" customWidth="1"/>
    <col min="53" max="16384" width="9.109375" style="1"/>
  </cols>
  <sheetData>
    <row r="1" spans="1:52" s="6" customFormat="1" ht="79.8" x14ac:dyDescent="0.3">
      <c r="A1" s="354" t="s">
        <v>0</v>
      </c>
      <c r="B1" s="354" t="s">
        <v>50</v>
      </c>
      <c r="C1" s="354" t="s">
        <v>2</v>
      </c>
      <c r="D1" s="355" t="s">
        <v>42</v>
      </c>
      <c r="E1" s="354" t="s">
        <v>3</v>
      </c>
      <c r="F1" s="356" t="s">
        <v>4</v>
      </c>
      <c r="G1" s="358" t="s">
        <v>33</v>
      </c>
      <c r="H1" s="45" t="s">
        <v>6</v>
      </c>
      <c r="I1" s="45" t="s">
        <v>8</v>
      </c>
      <c r="J1" s="45" t="s">
        <v>7</v>
      </c>
      <c r="K1" s="45" t="s">
        <v>16</v>
      </c>
      <c r="L1" s="45" t="s">
        <v>9</v>
      </c>
      <c r="M1" s="45" t="s">
        <v>10</v>
      </c>
      <c r="N1" s="45" t="s">
        <v>5</v>
      </c>
      <c r="O1" s="46" t="s">
        <v>124</v>
      </c>
      <c r="P1" s="46" t="s">
        <v>122</v>
      </c>
      <c r="Q1" s="46" t="s">
        <v>123</v>
      </c>
      <c r="R1" s="46" t="s">
        <v>125</v>
      </c>
      <c r="S1" s="46" t="s">
        <v>9</v>
      </c>
      <c r="T1" s="46" t="s">
        <v>127</v>
      </c>
      <c r="U1" s="47" t="s">
        <v>68</v>
      </c>
      <c r="V1" s="48" t="s">
        <v>115</v>
      </c>
      <c r="W1" s="48" t="s">
        <v>114</v>
      </c>
      <c r="X1" s="48" t="s">
        <v>126</v>
      </c>
      <c r="Y1" s="49" t="s">
        <v>128</v>
      </c>
      <c r="Z1" s="46" t="s">
        <v>31</v>
      </c>
      <c r="AA1" s="360" t="s">
        <v>11</v>
      </c>
      <c r="AB1" s="360"/>
      <c r="AC1" s="50" t="s">
        <v>46</v>
      </c>
      <c r="AD1" s="50" t="s">
        <v>17</v>
      </c>
      <c r="AE1" s="45" t="s">
        <v>12</v>
      </c>
      <c r="AF1" s="360" t="s">
        <v>13</v>
      </c>
      <c r="AG1" s="360"/>
      <c r="AH1" s="45" t="s">
        <v>18</v>
      </c>
      <c r="AI1" s="361" t="s">
        <v>11</v>
      </c>
      <c r="AJ1" s="361"/>
      <c r="AK1" s="51" t="s">
        <v>71</v>
      </c>
      <c r="AL1" s="52" t="s">
        <v>72</v>
      </c>
      <c r="AM1" s="52" t="s">
        <v>12</v>
      </c>
      <c r="AN1" s="361" t="s">
        <v>13</v>
      </c>
      <c r="AO1" s="361"/>
      <c r="AP1" s="53" t="s">
        <v>129</v>
      </c>
      <c r="AQ1" s="52" t="s">
        <v>14</v>
      </c>
      <c r="AR1" s="52" t="s">
        <v>15</v>
      </c>
      <c r="AS1" s="54" t="s">
        <v>47</v>
      </c>
      <c r="AT1" s="44" t="s">
        <v>38</v>
      </c>
      <c r="AU1" s="55" t="s">
        <v>39</v>
      </c>
      <c r="AV1" s="56" t="s">
        <v>37</v>
      </c>
      <c r="AW1" s="57" t="s">
        <v>40</v>
      </c>
      <c r="AX1" s="58" t="s">
        <v>43</v>
      </c>
      <c r="AY1" s="59" t="s">
        <v>58</v>
      </c>
    </row>
    <row r="2" spans="1:52" s="2" customFormat="1" ht="24" customHeight="1" x14ac:dyDescent="0.3">
      <c r="A2" s="354"/>
      <c r="B2" s="354"/>
      <c r="C2" s="354"/>
      <c r="D2" s="355"/>
      <c r="E2" s="354"/>
      <c r="F2" s="357"/>
      <c r="G2" s="359"/>
      <c r="H2" s="45"/>
      <c r="I2" s="45"/>
      <c r="J2" s="45"/>
      <c r="K2" s="45"/>
      <c r="L2" s="45"/>
      <c r="M2" s="45"/>
      <c r="N2" s="45"/>
      <c r="O2" s="46"/>
      <c r="P2" s="46"/>
      <c r="Q2" s="46"/>
      <c r="R2" s="46"/>
      <c r="S2" s="46"/>
      <c r="T2" s="46"/>
      <c r="U2" s="47"/>
      <c r="V2" s="48"/>
      <c r="W2" s="48"/>
      <c r="X2" s="48"/>
      <c r="Y2" s="49"/>
      <c r="Z2" s="60"/>
      <c r="AA2" s="45" t="s">
        <v>19</v>
      </c>
      <c r="AB2" s="45" t="s">
        <v>20</v>
      </c>
      <c r="AC2" s="45" t="s">
        <v>19</v>
      </c>
      <c r="AD2" s="45" t="s">
        <v>19</v>
      </c>
      <c r="AE2" s="45" t="s">
        <v>20</v>
      </c>
      <c r="AF2" s="45" t="s">
        <v>19</v>
      </c>
      <c r="AG2" s="45" t="s">
        <v>20</v>
      </c>
      <c r="AH2" s="45"/>
      <c r="AI2" s="52" t="s">
        <v>19</v>
      </c>
      <c r="AJ2" s="52" t="s">
        <v>21</v>
      </c>
      <c r="AK2" s="52" t="s">
        <v>19</v>
      </c>
      <c r="AL2" s="52" t="s">
        <v>19</v>
      </c>
      <c r="AM2" s="52" t="s">
        <v>21</v>
      </c>
      <c r="AN2" s="52" t="s">
        <v>19</v>
      </c>
      <c r="AO2" s="52" t="s">
        <v>21</v>
      </c>
      <c r="AP2" s="53" t="s">
        <v>21</v>
      </c>
      <c r="AQ2" s="52"/>
      <c r="AR2" s="52"/>
      <c r="AS2" s="54"/>
      <c r="AT2" s="44"/>
      <c r="AU2" s="55"/>
      <c r="AV2" s="56"/>
      <c r="AW2" s="57"/>
      <c r="AX2" s="58"/>
      <c r="AY2" s="59"/>
    </row>
    <row r="3" spans="1:52" s="6" customFormat="1" ht="27.6" customHeight="1" x14ac:dyDescent="0.3">
      <c r="A3" s="4">
        <v>1</v>
      </c>
      <c r="B3" s="3" t="s">
        <v>82</v>
      </c>
      <c r="C3" s="9" t="s">
        <v>69</v>
      </c>
      <c r="D3" s="4" t="s">
        <v>34</v>
      </c>
      <c r="E3" s="3" t="s">
        <v>24</v>
      </c>
      <c r="F3" s="3" t="s">
        <v>51</v>
      </c>
      <c r="G3" s="61">
        <v>6091915</v>
      </c>
      <c r="H3" s="7">
        <v>3293972</v>
      </c>
      <c r="I3" s="7">
        <v>539981.6</v>
      </c>
      <c r="J3" s="7">
        <v>163818.20000000001</v>
      </c>
      <c r="K3" s="7"/>
      <c r="L3" s="7"/>
      <c r="M3" s="7">
        <v>231527.8</v>
      </c>
      <c r="N3" s="62">
        <f>SUM(H3:M3)</f>
        <v>4229299.6000000006</v>
      </c>
      <c r="O3" s="5">
        <v>4709722.5</v>
      </c>
      <c r="P3" s="5">
        <v>774108.31</v>
      </c>
      <c r="Q3" s="5">
        <v>853077.45999999985</v>
      </c>
      <c r="R3" s="5"/>
      <c r="S3" s="5">
        <v>12957.6</v>
      </c>
      <c r="T3" s="5"/>
      <c r="U3" s="5"/>
      <c r="V3" s="5"/>
      <c r="W3" s="5"/>
      <c r="X3" s="5">
        <v>2124.5</v>
      </c>
      <c r="Y3" s="5"/>
      <c r="Z3" s="63">
        <f>SUM(O3:X3)</f>
        <v>6351990.3700000001</v>
      </c>
      <c r="AA3" s="7">
        <v>998</v>
      </c>
      <c r="AB3" s="7">
        <v>691699.99999999907</v>
      </c>
      <c r="AC3" s="7"/>
      <c r="AD3" s="7">
        <v>43</v>
      </c>
      <c r="AE3" s="7">
        <v>32600</v>
      </c>
      <c r="AF3" s="7"/>
      <c r="AG3" s="7"/>
      <c r="AH3" s="62">
        <f>AB3+AE3+AG3</f>
        <v>724299.99999999907</v>
      </c>
      <c r="AI3" s="63">
        <v>2008.4500000000003</v>
      </c>
      <c r="AJ3" s="63">
        <v>1236788</v>
      </c>
      <c r="AK3" s="63"/>
      <c r="AL3" s="63">
        <v>18.8</v>
      </c>
      <c r="AM3" s="63">
        <v>4360</v>
      </c>
      <c r="AN3" s="63"/>
      <c r="AO3" s="63"/>
      <c r="AP3" s="64"/>
      <c r="AQ3" s="63">
        <f>AI3+AK3+AL3+AN3</f>
        <v>2027.2500000000002</v>
      </c>
      <c r="AR3" s="63">
        <f>AJ3+AM3+AO3</f>
        <v>1241148</v>
      </c>
      <c r="AS3" s="63">
        <f>Z3+AR3</f>
        <v>7593138.3700000001</v>
      </c>
      <c r="AT3" s="63">
        <v>97425.45</v>
      </c>
      <c r="AU3" s="63">
        <f t="shared" ref="AU3:AU13" si="0">AS3+AT3</f>
        <v>7690563.8200000003</v>
      </c>
      <c r="AV3" s="65">
        <f t="shared" ref="AV3:AV28" si="1">G3-AU3+U3</f>
        <v>-1598648.8200000003</v>
      </c>
      <c r="AW3" s="64">
        <f>N3-Z3</f>
        <v>-2122690.7699999996</v>
      </c>
      <c r="AX3" s="64">
        <f>AH3-AR3</f>
        <v>-516848.00000000093</v>
      </c>
      <c r="AY3" s="66">
        <f t="shared" ref="AY3:AY28" si="2">AV3/G3</f>
        <v>-0.26242139294458317</v>
      </c>
    </row>
    <row r="4" spans="1:52" s="6" customFormat="1" ht="27.6" customHeight="1" x14ac:dyDescent="0.3">
      <c r="A4" s="4">
        <v>2</v>
      </c>
      <c r="B4" s="3" t="s">
        <v>83</v>
      </c>
      <c r="C4" s="9" t="s">
        <v>69</v>
      </c>
      <c r="D4" s="4" t="s">
        <v>34</v>
      </c>
      <c r="E4" s="3" t="s">
        <v>24</v>
      </c>
      <c r="F4" s="3" t="s">
        <v>51</v>
      </c>
      <c r="G4" s="61">
        <v>6091915</v>
      </c>
      <c r="H4" s="7">
        <v>3293972</v>
      </c>
      <c r="I4" s="7">
        <v>539981.6</v>
      </c>
      <c r="J4" s="7">
        <v>163818.20000000001</v>
      </c>
      <c r="K4" s="7"/>
      <c r="L4" s="67"/>
      <c r="M4" s="7">
        <v>231527.8</v>
      </c>
      <c r="N4" s="62">
        <f t="shared" ref="N4:N28" si="3">SUM(H4:M4)</f>
        <v>4229299.6000000006</v>
      </c>
      <c r="O4" s="5">
        <v>3998416.3800000004</v>
      </c>
      <c r="P4" s="5">
        <v>387387.3</v>
      </c>
      <c r="Q4" s="5">
        <v>271518.49</v>
      </c>
      <c r="R4" s="5"/>
      <c r="S4" s="5">
        <v>64780.2</v>
      </c>
      <c r="T4" s="5"/>
      <c r="U4" s="5"/>
      <c r="V4" s="5"/>
      <c r="W4" s="5"/>
      <c r="X4" s="5">
        <v>72474.880000000005</v>
      </c>
      <c r="Y4" s="5">
        <v>3540052.92</v>
      </c>
      <c r="Z4" s="63">
        <f t="shared" ref="Z4:Z28" si="4">SUM(O4:X4)</f>
        <v>4794577.2500000009</v>
      </c>
      <c r="AA4" s="7">
        <v>998</v>
      </c>
      <c r="AB4" s="7">
        <v>691699.99999999907</v>
      </c>
      <c r="AC4" s="7"/>
      <c r="AD4" s="7">
        <v>43</v>
      </c>
      <c r="AE4" s="7">
        <v>32600</v>
      </c>
      <c r="AF4" s="7"/>
      <c r="AG4" s="7"/>
      <c r="AH4" s="62">
        <f t="shared" ref="AH4:AH25" si="5">AB4+AE4+AG4</f>
        <v>724299.99999999907</v>
      </c>
      <c r="AI4" s="63">
        <v>12.75</v>
      </c>
      <c r="AJ4" s="63">
        <v>20073</v>
      </c>
      <c r="AK4" s="63"/>
      <c r="AL4" s="63"/>
      <c r="AM4" s="63"/>
      <c r="AN4" s="63"/>
      <c r="AO4" s="63"/>
      <c r="AP4" s="64"/>
      <c r="AQ4" s="63">
        <f t="shared" ref="AQ4:AQ28" si="6">AI4+AK4+AL4+AN4</f>
        <v>12.75</v>
      </c>
      <c r="AR4" s="63">
        <f t="shared" ref="AR4:AR28" si="7">AJ4+AM4+AO4</f>
        <v>20073</v>
      </c>
      <c r="AS4" s="63">
        <f t="shared" ref="AS4:AS28" si="8">Z4+AR4</f>
        <v>4814650.2500000009</v>
      </c>
      <c r="AT4" s="63">
        <v>32951.800000000003</v>
      </c>
      <c r="AU4" s="63">
        <f t="shared" si="0"/>
        <v>4847602.0500000007</v>
      </c>
      <c r="AV4" s="65">
        <f t="shared" si="1"/>
        <v>1244312.9499999993</v>
      </c>
      <c r="AW4" s="64">
        <f t="shared" ref="AW4:AW28" si="9">N4-Z4</f>
        <v>-565277.65000000037</v>
      </c>
      <c r="AX4" s="64">
        <f t="shared" ref="AX4:AX28" si="10">AH4-AR4</f>
        <v>704226.99999999907</v>
      </c>
      <c r="AY4" s="66">
        <f t="shared" si="2"/>
        <v>0.20425645302010931</v>
      </c>
    </row>
    <row r="5" spans="1:52" s="6" customFormat="1" ht="27.6" customHeight="1" x14ac:dyDescent="0.3">
      <c r="A5" s="4">
        <v>3</v>
      </c>
      <c r="B5" s="3" t="s">
        <v>84</v>
      </c>
      <c r="C5" s="9" t="s">
        <v>56</v>
      </c>
      <c r="D5" s="4" t="s">
        <v>62</v>
      </c>
      <c r="E5" s="3" t="s">
        <v>24</v>
      </c>
      <c r="F5" s="3" t="s">
        <v>51</v>
      </c>
      <c r="G5" s="61">
        <v>12716649</v>
      </c>
      <c r="H5" s="7">
        <v>4446345.1175999995</v>
      </c>
      <c r="I5" s="7">
        <v>265376</v>
      </c>
      <c r="J5" s="7">
        <v>918720</v>
      </c>
      <c r="K5" s="7"/>
      <c r="L5" s="7"/>
      <c r="M5" s="7">
        <v>480505.59999999998</v>
      </c>
      <c r="N5" s="62">
        <f t="shared" si="3"/>
        <v>6110946.7175999992</v>
      </c>
      <c r="O5" s="5">
        <v>4464173.7799999993</v>
      </c>
      <c r="P5" s="5">
        <v>540989.43999999994</v>
      </c>
      <c r="Q5" s="5">
        <v>90955.68</v>
      </c>
      <c r="R5" s="5"/>
      <c r="S5" s="5">
        <v>141771</v>
      </c>
      <c r="T5" s="5">
        <v>143127.62</v>
      </c>
      <c r="U5" s="5"/>
      <c r="V5" s="5"/>
      <c r="W5" s="5">
        <v>240000</v>
      </c>
      <c r="X5" s="5">
        <v>100612.98</v>
      </c>
      <c r="Y5" s="5"/>
      <c r="Z5" s="63">
        <f t="shared" si="4"/>
        <v>5721630.4999999991</v>
      </c>
      <c r="AA5" s="7">
        <v>2491</v>
      </c>
      <c r="AB5" s="7">
        <v>1568439.2</v>
      </c>
      <c r="AC5" s="7">
        <v>736</v>
      </c>
      <c r="AD5" s="7">
        <v>120</v>
      </c>
      <c r="AE5" s="7">
        <v>3148800</v>
      </c>
      <c r="AF5" s="7">
        <v>500</v>
      </c>
      <c r="AG5" s="7">
        <v>600000</v>
      </c>
      <c r="AH5" s="62">
        <f t="shared" si="5"/>
        <v>5317239.2</v>
      </c>
      <c r="AI5" s="63">
        <v>1954.5900000000001</v>
      </c>
      <c r="AJ5" s="63">
        <v>1530916.2</v>
      </c>
      <c r="AK5" s="63">
        <v>406.9</v>
      </c>
      <c r="AL5" s="63">
        <v>366.3</v>
      </c>
      <c r="AM5" s="63">
        <v>2528415</v>
      </c>
      <c r="AN5" s="63">
        <v>413.5</v>
      </c>
      <c r="AO5" s="63">
        <v>496200</v>
      </c>
      <c r="AP5" s="64"/>
      <c r="AQ5" s="63">
        <f t="shared" si="6"/>
        <v>3141.2900000000004</v>
      </c>
      <c r="AR5" s="63">
        <f t="shared" si="7"/>
        <v>4555531.2</v>
      </c>
      <c r="AS5" s="63">
        <f t="shared" si="8"/>
        <v>10277161.699999999</v>
      </c>
      <c r="AT5" s="63">
        <v>312316.3</v>
      </c>
      <c r="AU5" s="63">
        <f t="shared" si="0"/>
        <v>10589478</v>
      </c>
      <c r="AV5" s="65">
        <f t="shared" si="1"/>
        <v>2127171</v>
      </c>
      <c r="AW5" s="64">
        <f t="shared" si="9"/>
        <v>389316.21760000009</v>
      </c>
      <c r="AX5" s="64">
        <f t="shared" si="10"/>
        <v>761708</v>
      </c>
      <c r="AY5" s="66">
        <f t="shared" si="2"/>
        <v>0.16727449188854707</v>
      </c>
    </row>
    <row r="6" spans="1:52" s="6" customFormat="1" ht="27.6" customHeight="1" x14ac:dyDescent="0.3">
      <c r="A6" s="4">
        <v>4</v>
      </c>
      <c r="B6" s="8" t="s">
        <v>85</v>
      </c>
      <c r="C6" s="9" t="s">
        <v>52</v>
      </c>
      <c r="D6" s="4" t="s">
        <v>32</v>
      </c>
      <c r="E6" s="3" t="s">
        <v>24</v>
      </c>
      <c r="F6" s="3" t="s">
        <v>51</v>
      </c>
      <c r="G6" s="61">
        <f>7314780+122600</f>
        <v>7437380</v>
      </c>
      <c r="H6" s="7"/>
      <c r="I6" s="7"/>
      <c r="J6" s="7"/>
      <c r="K6" s="7"/>
      <c r="L6" s="7"/>
      <c r="M6" s="7"/>
      <c r="N6" s="62">
        <f t="shared" si="3"/>
        <v>0</v>
      </c>
      <c r="O6" s="5">
        <v>-722649.91999999783</v>
      </c>
      <c r="P6" s="5">
        <v>2923877.07</v>
      </c>
      <c r="Q6" s="5">
        <v>735834.86</v>
      </c>
      <c r="R6" s="5"/>
      <c r="S6" s="5">
        <v>286884.69999999995</v>
      </c>
      <c r="T6" s="5">
        <v>73229.459999999992</v>
      </c>
      <c r="U6" s="5"/>
      <c r="V6" s="5"/>
      <c r="W6" s="5">
        <v>558000</v>
      </c>
      <c r="X6" s="5">
        <v>125652.72999999995</v>
      </c>
      <c r="Y6" s="5">
        <v>-3714130</v>
      </c>
      <c r="Z6" s="63">
        <f t="shared" si="4"/>
        <v>3980828.9000000018</v>
      </c>
      <c r="AA6" s="7">
        <f>5600+32*100</f>
        <v>8800</v>
      </c>
      <c r="AB6" s="7"/>
      <c r="AC6" s="7">
        <f>250+180</f>
        <v>430</v>
      </c>
      <c r="AD6" s="7"/>
      <c r="AE6" s="7"/>
      <c r="AF6" s="7">
        <f>350+200</f>
        <v>550</v>
      </c>
      <c r="AG6" s="7"/>
      <c r="AH6" s="62">
        <f t="shared" si="5"/>
        <v>0</v>
      </c>
      <c r="AI6" s="63">
        <v>2828.24</v>
      </c>
      <c r="AJ6" s="63">
        <v>1628519</v>
      </c>
      <c r="AK6" s="63">
        <v>209.40000000000003</v>
      </c>
      <c r="AL6" s="63">
        <v>201.49999999999994</v>
      </c>
      <c r="AM6" s="63">
        <v>1073037.5</v>
      </c>
      <c r="AN6" s="63">
        <v>368.5</v>
      </c>
      <c r="AO6" s="63">
        <v>442200</v>
      </c>
      <c r="AP6" s="64">
        <v>-312250</v>
      </c>
      <c r="AQ6" s="63">
        <f t="shared" si="6"/>
        <v>3607.64</v>
      </c>
      <c r="AR6" s="63">
        <f t="shared" si="7"/>
        <v>3143756.5</v>
      </c>
      <c r="AS6" s="63">
        <f t="shared" si="8"/>
        <v>7124585.4000000022</v>
      </c>
      <c r="AT6" s="63">
        <v>201270</v>
      </c>
      <c r="AU6" s="63">
        <f t="shared" si="0"/>
        <v>7325855.4000000022</v>
      </c>
      <c r="AV6" s="65">
        <f t="shared" si="1"/>
        <v>111524.59999999776</v>
      </c>
      <c r="AW6" s="64">
        <f t="shared" si="9"/>
        <v>-3980828.9000000018</v>
      </c>
      <c r="AX6" s="64">
        <f t="shared" si="10"/>
        <v>-3143756.5</v>
      </c>
      <c r="AY6" s="66">
        <f t="shared" si="2"/>
        <v>1.4995146140172718E-2</v>
      </c>
    </row>
    <row r="7" spans="1:52" s="6" customFormat="1" ht="36" customHeight="1" x14ac:dyDescent="0.3">
      <c r="A7" s="4">
        <v>5</v>
      </c>
      <c r="B7" s="3" t="s">
        <v>86</v>
      </c>
      <c r="C7" s="9" t="s">
        <v>95</v>
      </c>
      <c r="D7" s="4" t="s">
        <v>26</v>
      </c>
      <c r="E7" s="3" t="s">
        <v>24</v>
      </c>
      <c r="F7" s="3" t="s">
        <v>57</v>
      </c>
      <c r="G7" s="61">
        <v>9213198</v>
      </c>
      <c r="H7" s="7">
        <v>1561587.2999999998</v>
      </c>
      <c r="I7" s="7">
        <v>1812654.9999999998</v>
      </c>
      <c r="J7" s="7">
        <v>39829.999999999993</v>
      </c>
      <c r="K7" s="7"/>
      <c r="L7" s="7"/>
      <c r="M7" s="7">
        <v>124594.93333333332</v>
      </c>
      <c r="N7" s="62">
        <f t="shared" si="3"/>
        <v>3538667.2333333329</v>
      </c>
      <c r="O7" s="5">
        <v>1939236.86</v>
      </c>
      <c r="P7" s="5">
        <v>1796301.8800000004</v>
      </c>
      <c r="Q7" s="5">
        <v>141116.13000000003</v>
      </c>
      <c r="R7" s="5">
        <v>2648319.7800000003</v>
      </c>
      <c r="S7" s="5">
        <v>189070.34</v>
      </c>
      <c r="T7" s="5">
        <v>2403.6000000000004</v>
      </c>
      <c r="U7" s="5"/>
      <c r="V7" s="5">
        <v>98375</v>
      </c>
      <c r="W7" s="5">
        <v>97167</v>
      </c>
      <c r="X7" s="5">
        <v>51006.09</v>
      </c>
      <c r="Y7" s="5">
        <v>-33554.818077395845</v>
      </c>
      <c r="Z7" s="63">
        <f t="shared" si="4"/>
        <v>6962996.6799999997</v>
      </c>
      <c r="AA7" s="7">
        <v>1844</v>
      </c>
      <c r="AB7" s="7">
        <v>1224400</v>
      </c>
      <c r="AC7" s="7">
        <v>243.66666666666666</v>
      </c>
      <c r="AD7" s="7">
        <v>50</v>
      </c>
      <c r="AE7" s="7">
        <v>1141333.3333333333</v>
      </c>
      <c r="AF7" s="7">
        <v>166.66666666666666</v>
      </c>
      <c r="AG7" s="7">
        <v>200000</v>
      </c>
      <c r="AH7" s="62">
        <f t="shared" si="5"/>
        <v>2565733.333333333</v>
      </c>
      <c r="AI7" s="63">
        <v>2184.44</v>
      </c>
      <c r="AJ7" s="63">
        <v>1253734</v>
      </c>
      <c r="AK7" s="63">
        <v>65.3</v>
      </c>
      <c r="AL7" s="63">
        <v>197.6</v>
      </c>
      <c r="AM7" s="63">
        <v>393872.5</v>
      </c>
      <c r="AN7" s="63">
        <v>256.5</v>
      </c>
      <c r="AO7" s="63">
        <v>307800</v>
      </c>
      <c r="AP7" s="64"/>
      <c r="AQ7" s="63">
        <f t="shared" si="6"/>
        <v>2703.84</v>
      </c>
      <c r="AR7" s="63">
        <f t="shared" si="7"/>
        <v>1955406.5</v>
      </c>
      <c r="AS7" s="63">
        <f t="shared" si="8"/>
        <v>8918403.1799999997</v>
      </c>
      <c r="AT7" s="63">
        <v>36017.71</v>
      </c>
      <c r="AU7" s="63">
        <f t="shared" si="0"/>
        <v>8954420.8900000006</v>
      </c>
      <c r="AV7" s="65">
        <f t="shared" si="1"/>
        <v>258777.1099999994</v>
      </c>
      <c r="AW7" s="64">
        <f t="shared" si="9"/>
        <v>-3424329.4466666668</v>
      </c>
      <c r="AX7" s="64">
        <f t="shared" si="10"/>
        <v>610326.83333333302</v>
      </c>
      <c r="AY7" s="66">
        <f t="shared" si="2"/>
        <v>2.808765316885618E-2</v>
      </c>
    </row>
    <row r="8" spans="1:52" s="6" customFormat="1" ht="36" customHeight="1" x14ac:dyDescent="0.3">
      <c r="A8" s="4">
        <v>6</v>
      </c>
      <c r="B8" s="3" t="s">
        <v>87</v>
      </c>
      <c r="C8" s="9" t="s">
        <v>96</v>
      </c>
      <c r="D8" s="4" t="s">
        <v>26</v>
      </c>
      <c r="E8" s="3" t="s">
        <v>24</v>
      </c>
      <c r="F8" s="3" t="s">
        <v>57</v>
      </c>
      <c r="G8" s="61">
        <v>9213198</v>
      </c>
      <c r="H8" s="7">
        <v>1561587.2999999998</v>
      </c>
      <c r="I8" s="7">
        <v>1812654.9999999998</v>
      </c>
      <c r="J8" s="7">
        <v>39829.999999999993</v>
      </c>
      <c r="K8" s="7"/>
      <c r="L8" s="7"/>
      <c r="M8" s="7">
        <v>124594.93333333332</v>
      </c>
      <c r="N8" s="62">
        <f t="shared" si="3"/>
        <v>3538667.2333333329</v>
      </c>
      <c r="O8" s="5">
        <v>1615420.4100000001</v>
      </c>
      <c r="P8" s="5">
        <v>1796301.4800000004</v>
      </c>
      <c r="Q8" s="5">
        <v>39006.079999999994</v>
      </c>
      <c r="R8" s="5">
        <v>2617950.62</v>
      </c>
      <c r="S8" s="5">
        <v>450836.33999999997</v>
      </c>
      <c r="T8" s="5">
        <v>2878.89</v>
      </c>
      <c r="U8" s="5"/>
      <c r="V8" s="5">
        <v>98375</v>
      </c>
      <c r="W8" s="5">
        <v>104166</v>
      </c>
      <c r="X8" s="5">
        <v>44869.679999999993</v>
      </c>
      <c r="Y8" s="5"/>
      <c r="Z8" s="63">
        <f t="shared" si="4"/>
        <v>6769804.5</v>
      </c>
      <c r="AA8" s="7">
        <v>1844</v>
      </c>
      <c r="AB8" s="7">
        <v>1224400</v>
      </c>
      <c r="AC8" s="7">
        <v>243.66666666666666</v>
      </c>
      <c r="AD8" s="7">
        <v>50</v>
      </c>
      <c r="AE8" s="7">
        <v>1141333.3333333333</v>
      </c>
      <c r="AF8" s="7">
        <v>166.66666666666666</v>
      </c>
      <c r="AG8" s="7">
        <v>200000</v>
      </c>
      <c r="AH8" s="62">
        <f t="shared" si="5"/>
        <v>2565733.333333333</v>
      </c>
      <c r="AI8" s="63">
        <v>2166.7399999999998</v>
      </c>
      <c r="AJ8" s="63">
        <v>1224677</v>
      </c>
      <c r="AK8" s="63">
        <v>38.5</v>
      </c>
      <c r="AL8" s="63">
        <v>19.399999999999999</v>
      </c>
      <c r="AM8" s="63">
        <v>211195</v>
      </c>
      <c r="AN8" s="63">
        <v>317</v>
      </c>
      <c r="AO8" s="63">
        <v>380400</v>
      </c>
      <c r="AP8" s="64"/>
      <c r="AQ8" s="63">
        <f t="shared" si="6"/>
        <v>2541.64</v>
      </c>
      <c r="AR8" s="63">
        <f t="shared" si="7"/>
        <v>1816272</v>
      </c>
      <c r="AS8" s="63">
        <f t="shared" si="8"/>
        <v>8586076.5</v>
      </c>
      <c r="AT8" s="63">
        <v>25219.29</v>
      </c>
      <c r="AU8" s="63">
        <f t="shared" si="0"/>
        <v>8611295.7899999991</v>
      </c>
      <c r="AV8" s="65">
        <f t="shared" si="1"/>
        <v>601902.21000000089</v>
      </c>
      <c r="AW8" s="64">
        <f t="shared" si="9"/>
        <v>-3231137.2666666671</v>
      </c>
      <c r="AX8" s="64">
        <f t="shared" si="10"/>
        <v>749461.33333333302</v>
      </c>
      <c r="AY8" s="66">
        <f t="shared" si="2"/>
        <v>6.533043249477552E-2</v>
      </c>
    </row>
    <row r="9" spans="1:52" s="6" customFormat="1" ht="36" customHeight="1" x14ac:dyDescent="0.3">
      <c r="A9" s="4">
        <v>7</v>
      </c>
      <c r="B9" s="3" t="s">
        <v>88</v>
      </c>
      <c r="C9" s="9" t="s">
        <v>97</v>
      </c>
      <c r="D9" s="4" t="s">
        <v>26</v>
      </c>
      <c r="E9" s="3" t="s">
        <v>24</v>
      </c>
      <c r="F9" s="3" t="s">
        <v>57</v>
      </c>
      <c r="G9" s="61">
        <v>9213198</v>
      </c>
      <c r="H9" s="7">
        <v>1561587.2999999998</v>
      </c>
      <c r="I9" s="7">
        <v>1812654.9999999998</v>
      </c>
      <c r="J9" s="7">
        <v>39829.999999999993</v>
      </c>
      <c r="K9" s="7"/>
      <c r="L9" s="7"/>
      <c r="M9" s="7">
        <v>124594.93333333332</v>
      </c>
      <c r="N9" s="62">
        <f t="shared" si="3"/>
        <v>3538667.2333333329</v>
      </c>
      <c r="O9" s="5">
        <v>1678745.12</v>
      </c>
      <c r="P9" s="5">
        <v>1796301.2800000003</v>
      </c>
      <c r="Q9" s="5">
        <v>44567.92</v>
      </c>
      <c r="R9" s="5">
        <v>2618029.12</v>
      </c>
      <c r="S9" s="5">
        <v>161591.32</v>
      </c>
      <c r="T9" s="5">
        <v>2628.87</v>
      </c>
      <c r="U9" s="5"/>
      <c r="V9" s="5">
        <v>873881.39</v>
      </c>
      <c r="W9" s="5">
        <v>96667</v>
      </c>
      <c r="X9" s="5">
        <v>46670.16</v>
      </c>
      <c r="Y9" s="5"/>
      <c r="Z9" s="63">
        <f t="shared" si="4"/>
        <v>7319082.1800000006</v>
      </c>
      <c r="AA9" s="7">
        <v>1844</v>
      </c>
      <c r="AB9" s="7">
        <v>1224400</v>
      </c>
      <c r="AC9" s="7">
        <v>243.66666666666666</v>
      </c>
      <c r="AD9" s="7">
        <v>50</v>
      </c>
      <c r="AE9" s="7">
        <v>1141333.3333333333</v>
      </c>
      <c r="AF9" s="7">
        <v>166.66666666666666</v>
      </c>
      <c r="AG9" s="7">
        <v>200000</v>
      </c>
      <c r="AH9" s="62">
        <f t="shared" si="5"/>
        <v>2565733.333333333</v>
      </c>
      <c r="AI9" s="63">
        <v>2069.7200000000003</v>
      </c>
      <c r="AJ9" s="63">
        <v>1228144</v>
      </c>
      <c r="AK9" s="63">
        <v>45.599999999999994</v>
      </c>
      <c r="AL9" s="63">
        <v>20.100000000000001</v>
      </c>
      <c r="AM9" s="63">
        <v>218455</v>
      </c>
      <c r="AN9" s="63"/>
      <c r="AO9" s="63"/>
      <c r="AP9" s="64"/>
      <c r="AQ9" s="63">
        <f t="shared" si="6"/>
        <v>2135.42</v>
      </c>
      <c r="AR9" s="63">
        <f t="shared" si="7"/>
        <v>1446599</v>
      </c>
      <c r="AS9" s="63">
        <f t="shared" si="8"/>
        <v>8765681.1799999997</v>
      </c>
      <c r="AT9" s="63">
        <v>34587</v>
      </c>
      <c r="AU9" s="63">
        <f t="shared" si="0"/>
        <v>8800268.1799999997</v>
      </c>
      <c r="AV9" s="65">
        <f t="shared" si="1"/>
        <v>412929.8200000003</v>
      </c>
      <c r="AW9" s="64">
        <f t="shared" si="9"/>
        <v>-3780414.9466666677</v>
      </c>
      <c r="AX9" s="64">
        <f t="shared" si="10"/>
        <v>1119134.333333333</v>
      </c>
      <c r="AY9" s="66">
        <f t="shared" si="2"/>
        <v>4.4819379763682526E-2</v>
      </c>
    </row>
    <row r="10" spans="1:52" s="6" customFormat="1" ht="24.6" customHeight="1" x14ac:dyDescent="0.3">
      <c r="A10" s="4">
        <v>8</v>
      </c>
      <c r="B10" s="3" t="s">
        <v>106</v>
      </c>
      <c r="C10" s="9" t="s">
        <v>53</v>
      </c>
      <c r="D10" s="4" t="s">
        <v>45</v>
      </c>
      <c r="E10" s="3" t="s">
        <v>24</v>
      </c>
      <c r="F10" s="3" t="s">
        <v>51</v>
      </c>
      <c r="G10" s="61">
        <v>59100000</v>
      </c>
      <c r="H10" s="7">
        <v>20238237</v>
      </c>
      <c r="I10" s="7">
        <v>14772200</v>
      </c>
      <c r="J10" s="7"/>
      <c r="K10" s="7"/>
      <c r="L10" s="7">
        <v>5697500</v>
      </c>
      <c r="M10" s="7">
        <v>4375600</v>
      </c>
      <c r="N10" s="62">
        <f t="shared" si="3"/>
        <v>45083537</v>
      </c>
      <c r="O10" s="5">
        <v>18959805.82</v>
      </c>
      <c r="P10" s="5">
        <v>44000</v>
      </c>
      <c r="Q10" s="5">
        <v>20247.38</v>
      </c>
      <c r="R10" s="5">
        <v>14255242.260000002</v>
      </c>
      <c r="S10" s="5">
        <v>4953186</v>
      </c>
      <c r="T10" s="5">
        <v>1495.38</v>
      </c>
      <c r="U10" s="5"/>
      <c r="V10" s="5">
        <v>173258</v>
      </c>
      <c r="W10" s="5">
        <v>3312425</v>
      </c>
      <c r="X10" s="5">
        <v>1003041.5600000002</v>
      </c>
      <c r="Y10" s="5">
        <v>448284.2685845294</v>
      </c>
      <c r="Z10" s="63">
        <f t="shared" si="4"/>
        <v>42722701.400000006</v>
      </c>
      <c r="AA10" s="7">
        <v>19177</v>
      </c>
      <c r="AB10" s="7">
        <v>10685368</v>
      </c>
      <c r="AC10" s="7">
        <v>300</v>
      </c>
      <c r="AD10" s="7">
        <v>60</v>
      </c>
      <c r="AE10" s="7">
        <v>1189500</v>
      </c>
      <c r="AF10" s="7"/>
      <c r="AG10" s="7"/>
      <c r="AH10" s="62">
        <f t="shared" si="5"/>
        <v>11874868</v>
      </c>
      <c r="AI10" s="63">
        <v>13175.715</v>
      </c>
      <c r="AJ10" s="63">
        <v>9110413.5</v>
      </c>
      <c r="AK10" s="63">
        <v>106.4</v>
      </c>
      <c r="AL10" s="63">
        <v>43.800000000000004</v>
      </c>
      <c r="AM10" s="63">
        <v>692762.5</v>
      </c>
      <c r="AN10" s="63"/>
      <c r="AO10" s="63"/>
      <c r="AP10" s="64">
        <v>-8325</v>
      </c>
      <c r="AQ10" s="63">
        <f t="shared" si="6"/>
        <v>13325.914999999999</v>
      </c>
      <c r="AR10" s="63">
        <f t="shared" si="7"/>
        <v>9803176</v>
      </c>
      <c r="AS10" s="63">
        <f t="shared" si="8"/>
        <v>52525877.400000006</v>
      </c>
      <c r="AT10" s="63">
        <v>62832.800000000003</v>
      </c>
      <c r="AU10" s="63">
        <f t="shared" si="0"/>
        <v>52588710.200000003</v>
      </c>
      <c r="AV10" s="65">
        <f t="shared" si="1"/>
        <v>6511289.799999997</v>
      </c>
      <c r="AW10" s="64">
        <f t="shared" si="9"/>
        <v>2360835.599999994</v>
      </c>
      <c r="AX10" s="64">
        <f t="shared" si="10"/>
        <v>2071692</v>
      </c>
      <c r="AY10" s="66">
        <f t="shared" si="2"/>
        <v>0.11017410829103209</v>
      </c>
    </row>
    <row r="11" spans="1:52" s="6" customFormat="1" ht="29.4" customHeight="1" x14ac:dyDescent="0.3">
      <c r="A11" s="4">
        <v>9</v>
      </c>
      <c r="B11" s="3" t="s">
        <v>117</v>
      </c>
      <c r="C11" s="9" t="s">
        <v>65</v>
      </c>
      <c r="D11" s="4" t="s">
        <v>27</v>
      </c>
      <c r="E11" s="3" t="s">
        <v>24</v>
      </c>
      <c r="F11" s="3" t="s">
        <v>30</v>
      </c>
      <c r="G11" s="61">
        <f>3667000+599421</f>
        <v>4266421</v>
      </c>
      <c r="H11" s="7">
        <v>1553396</v>
      </c>
      <c r="I11" s="7">
        <v>7358</v>
      </c>
      <c r="J11" s="7">
        <v>149404</v>
      </c>
      <c r="K11" s="7"/>
      <c r="L11" s="7">
        <v>42105</v>
      </c>
      <c r="M11" s="7">
        <f>120000+33220</f>
        <v>153220</v>
      </c>
      <c r="N11" s="62">
        <f t="shared" si="3"/>
        <v>1905483</v>
      </c>
      <c r="O11" s="5">
        <v>1235754.0499999998</v>
      </c>
      <c r="P11" s="5">
        <v>131371.04999999999</v>
      </c>
      <c r="Q11" s="5">
        <v>132373.97</v>
      </c>
      <c r="R11" s="5">
        <v>510082.65999999992</v>
      </c>
      <c r="S11" s="5">
        <v>98729.299999999988</v>
      </c>
      <c r="T11" s="5"/>
      <c r="U11" s="5"/>
      <c r="V11" s="5"/>
      <c r="W11" s="5">
        <v>67000</v>
      </c>
      <c r="X11" s="5">
        <v>4502.32</v>
      </c>
      <c r="Y11" s="5"/>
      <c r="Z11" s="63">
        <f t="shared" si="4"/>
        <v>2179813.3499999996</v>
      </c>
      <c r="AA11" s="7">
        <v>2704</v>
      </c>
      <c r="AB11" s="7">
        <v>1561800</v>
      </c>
      <c r="AC11" s="7"/>
      <c r="AD11" s="7">
        <v>50</v>
      </c>
      <c r="AE11" s="7">
        <v>10000</v>
      </c>
      <c r="AF11" s="7"/>
      <c r="AG11" s="7"/>
      <c r="AH11" s="62">
        <f t="shared" si="5"/>
        <v>1571800</v>
      </c>
      <c r="AI11" s="63">
        <v>3321.0299999999993</v>
      </c>
      <c r="AJ11" s="63">
        <v>1941993.12</v>
      </c>
      <c r="AK11" s="63"/>
      <c r="AL11" s="63">
        <v>79</v>
      </c>
      <c r="AM11" s="63">
        <v>17775</v>
      </c>
      <c r="AN11" s="63"/>
      <c r="AO11" s="63"/>
      <c r="AP11" s="64"/>
      <c r="AQ11" s="63">
        <f t="shared" si="6"/>
        <v>3400.0299999999993</v>
      </c>
      <c r="AR11" s="63">
        <f t="shared" si="7"/>
        <v>1959768.12</v>
      </c>
      <c r="AS11" s="63">
        <f t="shared" si="8"/>
        <v>4139581.4699999997</v>
      </c>
      <c r="AT11" s="63">
        <v>58909</v>
      </c>
      <c r="AU11" s="63">
        <f t="shared" si="0"/>
        <v>4198490.47</v>
      </c>
      <c r="AV11" s="65">
        <f t="shared" si="1"/>
        <v>67930.530000000261</v>
      </c>
      <c r="AW11" s="64">
        <f t="shared" si="9"/>
        <v>-274330.34999999963</v>
      </c>
      <c r="AX11" s="64">
        <f t="shared" si="10"/>
        <v>-387968.12000000011</v>
      </c>
      <c r="AY11" s="66">
        <f t="shared" si="2"/>
        <v>1.5922134735414123E-2</v>
      </c>
    </row>
    <row r="12" spans="1:52" s="6" customFormat="1" ht="28.95" customHeight="1" x14ac:dyDescent="0.3">
      <c r="A12" s="4">
        <v>10</v>
      </c>
      <c r="B12" s="3" t="s">
        <v>90</v>
      </c>
      <c r="C12" s="9" t="s">
        <v>59</v>
      </c>
      <c r="D12" s="4" t="s">
        <v>45</v>
      </c>
      <c r="E12" s="3" t="s">
        <v>24</v>
      </c>
      <c r="F12" s="3" t="s">
        <v>36</v>
      </c>
      <c r="G12" s="61">
        <v>48336000</v>
      </c>
      <c r="H12" s="7">
        <v>32125600</v>
      </c>
      <c r="I12" s="7"/>
      <c r="J12" s="7"/>
      <c r="K12" s="7"/>
      <c r="L12" s="7">
        <v>1834700</v>
      </c>
      <c r="M12" s="7">
        <v>717600</v>
      </c>
      <c r="N12" s="62">
        <f t="shared" si="3"/>
        <v>34677900</v>
      </c>
      <c r="O12" s="5">
        <v>33747495.629999995</v>
      </c>
      <c r="P12" s="5"/>
      <c r="Q12" s="5">
        <v>310832.53000000003</v>
      </c>
      <c r="R12" s="5"/>
      <c r="S12" s="5">
        <v>3214776.8600000003</v>
      </c>
      <c r="T12" s="5">
        <v>321234.13</v>
      </c>
      <c r="U12" s="5"/>
      <c r="V12" s="5"/>
      <c r="W12" s="5">
        <v>3839758</v>
      </c>
      <c r="X12" s="5">
        <v>851645.15</v>
      </c>
      <c r="Y12" s="5">
        <v>2472882.4837766164</v>
      </c>
      <c r="Z12" s="63">
        <f>SUM(O12:X12)</f>
        <v>42285742.299999997</v>
      </c>
      <c r="AA12" s="7">
        <v>12703.333333333334</v>
      </c>
      <c r="AB12" s="7">
        <v>7046300</v>
      </c>
      <c r="AC12" s="7"/>
      <c r="AD12" s="7">
        <v>130</v>
      </c>
      <c r="AE12" s="7">
        <v>72666.666666666672</v>
      </c>
      <c r="AF12" s="7"/>
      <c r="AG12" s="7"/>
      <c r="AH12" s="62">
        <f t="shared" si="5"/>
        <v>7118966.666666667</v>
      </c>
      <c r="AI12" s="63">
        <v>10585.050000000005</v>
      </c>
      <c r="AJ12" s="63">
        <v>6220659.7999999998</v>
      </c>
      <c r="AK12" s="63">
        <v>17</v>
      </c>
      <c r="AL12" s="63">
        <v>30</v>
      </c>
      <c r="AM12" s="63">
        <v>118100</v>
      </c>
      <c r="AN12" s="63"/>
      <c r="AO12" s="63"/>
      <c r="AP12" s="64"/>
      <c r="AQ12" s="63">
        <f t="shared" si="6"/>
        <v>10632.050000000005</v>
      </c>
      <c r="AR12" s="63">
        <f t="shared" si="7"/>
        <v>6338759.7999999998</v>
      </c>
      <c r="AS12" s="63">
        <f t="shared" si="8"/>
        <v>48624502.099999994</v>
      </c>
      <c r="AT12" s="63">
        <v>18809.02</v>
      </c>
      <c r="AU12" s="63">
        <f t="shared" si="0"/>
        <v>48643311.119999997</v>
      </c>
      <c r="AV12" s="65">
        <f t="shared" si="1"/>
        <v>-307311.11999999732</v>
      </c>
      <c r="AW12" s="64">
        <f t="shared" si="9"/>
        <v>-7607842.299999997</v>
      </c>
      <c r="AX12" s="64">
        <f t="shared" si="10"/>
        <v>780206.86666666716</v>
      </c>
      <c r="AY12" s="66">
        <f t="shared" si="2"/>
        <v>-6.3578103277060023E-3</v>
      </c>
    </row>
    <row r="13" spans="1:52" s="6" customFormat="1" ht="28.95" customHeight="1" x14ac:dyDescent="0.3">
      <c r="A13" s="4">
        <v>11</v>
      </c>
      <c r="B13" s="3" t="s">
        <v>105</v>
      </c>
      <c r="C13" s="9" t="s">
        <v>104</v>
      </c>
      <c r="D13" s="4" t="s">
        <v>45</v>
      </c>
      <c r="E13" s="3" t="s">
        <v>24</v>
      </c>
      <c r="F13" s="3" t="s">
        <v>36</v>
      </c>
      <c r="G13" s="61">
        <v>2555667</v>
      </c>
      <c r="H13" s="7">
        <v>2014683.3333333333</v>
      </c>
      <c r="I13" s="7">
        <v>0</v>
      </c>
      <c r="J13" s="7">
        <v>266666.66666666669</v>
      </c>
      <c r="K13" s="7"/>
      <c r="L13" s="7"/>
      <c r="M13" s="7">
        <f>(200000+70185)/3</f>
        <v>90061.666666666672</v>
      </c>
      <c r="N13" s="62">
        <f t="shared" si="3"/>
        <v>2371411.6666666665</v>
      </c>
      <c r="O13" s="5">
        <v>1686617.69</v>
      </c>
      <c r="P13" s="5"/>
      <c r="Q13" s="5">
        <v>257220.01</v>
      </c>
      <c r="R13" s="5"/>
      <c r="S13" s="5"/>
      <c r="T13" s="5"/>
      <c r="U13" s="5"/>
      <c r="V13" s="5"/>
      <c r="W13" s="5"/>
      <c r="X13" s="5">
        <v>38876.76</v>
      </c>
      <c r="Y13" s="5"/>
      <c r="Z13" s="63">
        <f t="shared" si="4"/>
        <v>1982714.46</v>
      </c>
      <c r="AA13" s="7">
        <v>27.666666666666668</v>
      </c>
      <c r="AB13" s="7">
        <v>87900</v>
      </c>
      <c r="AC13" s="7">
        <v>21.333333333333332</v>
      </c>
      <c r="AD13" s="7">
        <v>0</v>
      </c>
      <c r="AE13" s="7">
        <v>60800</v>
      </c>
      <c r="AF13" s="7"/>
      <c r="AG13" s="7"/>
      <c r="AH13" s="62">
        <f t="shared" si="5"/>
        <v>148700</v>
      </c>
      <c r="AI13" s="63">
        <v>35.870000000000005</v>
      </c>
      <c r="AJ13" s="63">
        <v>82619</v>
      </c>
      <c r="AK13" s="63">
        <v>51.6</v>
      </c>
      <c r="AL13" s="63"/>
      <c r="AM13" s="63">
        <v>337980</v>
      </c>
      <c r="AN13" s="63"/>
      <c r="AO13" s="63"/>
      <c r="AP13" s="64"/>
      <c r="AQ13" s="63">
        <f t="shared" si="6"/>
        <v>87.47</v>
      </c>
      <c r="AR13" s="63">
        <f t="shared" si="7"/>
        <v>420599</v>
      </c>
      <c r="AS13" s="63">
        <f t="shared" si="8"/>
        <v>2403313.46</v>
      </c>
      <c r="AT13" s="63"/>
      <c r="AU13" s="63">
        <f t="shared" si="0"/>
        <v>2403313.46</v>
      </c>
      <c r="AV13" s="65">
        <f t="shared" si="1"/>
        <v>152353.54000000004</v>
      </c>
      <c r="AW13" s="64">
        <f t="shared" si="9"/>
        <v>388697.20666666655</v>
      </c>
      <c r="AX13" s="64">
        <f t="shared" si="10"/>
        <v>-271899</v>
      </c>
      <c r="AY13" s="66">
        <f t="shared" si="2"/>
        <v>5.9614002919785733E-2</v>
      </c>
    </row>
    <row r="14" spans="1:52" s="6" customFormat="1" ht="30" customHeight="1" x14ac:dyDescent="0.3">
      <c r="A14" s="4">
        <v>12</v>
      </c>
      <c r="B14" s="3" t="s">
        <v>101</v>
      </c>
      <c r="C14" s="9" t="s">
        <v>55</v>
      </c>
      <c r="D14" s="4" t="s">
        <v>45</v>
      </c>
      <c r="E14" s="3" t="s">
        <v>24</v>
      </c>
      <c r="F14" s="3" t="s">
        <v>54</v>
      </c>
      <c r="G14" s="61">
        <v>42685992</v>
      </c>
      <c r="H14" s="7">
        <v>18908162</v>
      </c>
      <c r="I14" s="7">
        <v>12684140</v>
      </c>
      <c r="J14" s="7"/>
      <c r="K14" s="7"/>
      <c r="L14" s="7">
        <v>5630000</v>
      </c>
      <c r="M14" s="7">
        <v>608800</v>
      </c>
      <c r="N14" s="62">
        <f t="shared" si="3"/>
        <v>37831102</v>
      </c>
      <c r="O14" s="5">
        <v>17254657.850000005</v>
      </c>
      <c r="P14" s="5">
        <v>159051.32000000091</v>
      </c>
      <c r="Q14" s="5">
        <v>20424.010000000002</v>
      </c>
      <c r="R14" s="5"/>
      <c r="S14" s="5">
        <v>5392590.2999999998</v>
      </c>
      <c r="T14" s="5">
        <v>210468.86000000002</v>
      </c>
      <c r="U14" s="5"/>
      <c r="V14" s="5">
        <v>95450</v>
      </c>
      <c r="W14" s="5">
        <v>765425</v>
      </c>
      <c r="X14" s="5">
        <v>429452.08</v>
      </c>
      <c r="Y14" s="5">
        <v>-931978.09264720138</v>
      </c>
      <c r="Z14" s="63">
        <f t="shared" si="4"/>
        <v>24327519.420000006</v>
      </c>
      <c r="AA14" s="7">
        <v>17694</v>
      </c>
      <c r="AB14" s="7">
        <v>9815040</v>
      </c>
      <c r="AC14" s="7">
        <v>300</v>
      </c>
      <c r="AD14" s="7">
        <v>60</v>
      </c>
      <c r="AE14" s="7">
        <v>1189500</v>
      </c>
      <c r="AF14" s="7"/>
      <c r="AG14" s="7"/>
      <c r="AH14" s="62">
        <f t="shared" si="5"/>
        <v>11004540</v>
      </c>
      <c r="AI14" s="63">
        <v>10164.877</v>
      </c>
      <c r="AJ14" s="63">
        <v>7387354.5</v>
      </c>
      <c r="AK14" s="63">
        <v>171.5</v>
      </c>
      <c r="AL14" s="63">
        <v>180.5</v>
      </c>
      <c r="AM14" s="63">
        <v>1084795</v>
      </c>
      <c r="AN14" s="63"/>
      <c r="AO14" s="63"/>
      <c r="AP14" s="64"/>
      <c r="AQ14" s="63">
        <f t="shared" si="6"/>
        <v>10516.877</v>
      </c>
      <c r="AR14" s="63">
        <f t="shared" si="7"/>
        <v>8472149.5</v>
      </c>
      <c r="AS14" s="63">
        <f t="shared" si="8"/>
        <v>32799668.920000006</v>
      </c>
      <c r="AT14" s="63">
        <v>450000</v>
      </c>
      <c r="AU14" s="63">
        <f>AS14+AT14</f>
        <v>33249668.920000006</v>
      </c>
      <c r="AV14" s="65">
        <f t="shared" si="1"/>
        <v>9436323.0799999945</v>
      </c>
      <c r="AW14" s="64">
        <f t="shared" si="9"/>
        <v>13503582.579999994</v>
      </c>
      <c r="AX14" s="64">
        <f t="shared" si="10"/>
        <v>2532390.5</v>
      </c>
      <c r="AY14" s="66">
        <f t="shared" si="2"/>
        <v>0.22106369415053057</v>
      </c>
    </row>
    <row r="15" spans="1:52" s="6" customFormat="1" ht="30" customHeight="1" x14ac:dyDescent="0.3">
      <c r="A15" s="4">
        <v>13</v>
      </c>
      <c r="B15" s="3" t="s">
        <v>99</v>
      </c>
      <c r="C15" s="9" t="s">
        <v>102</v>
      </c>
      <c r="D15" s="4" t="s">
        <v>45</v>
      </c>
      <c r="E15" s="3" t="s">
        <v>24</v>
      </c>
      <c r="F15" s="3" t="s">
        <v>54</v>
      </c>
      <c r="G15" s="61">
        <v>7423341</v>
      </c>
      <c r="H15" s="7"/>
      <c r="I15" s="7"/>
      <c r="J15" s="7"/>
      <c r="K15" s="7"/>
      <c r="L15" s="7"/>
      <c r="M15" s="7"/>
      <c r="N15" s="62">
        <f t="shared" si="3"/>
        <v>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3">
        <f t="shared" si="4"/>
        <v>0</v>
      </c>
      <c r="AA15" s="7"/>
      <c r="AB15" s="7"/>
      <c r="AC15" s="7"/>
      <c r="AD15" s="7"/>
      <c r="AE15" s="7"/>
      <c r="AF15" s="7"/>
      <c r="AG15" s="7"/>
      <c r="AH15" s="62">
        <f t="shared" si="5"/>
        <v>0</v>
      </c>
      <c r="AI15" s="63">
        <v>2005</v>
      </c>
      <c r="AJ15" s="63">
        <v>1050620</v>
      </c>
      <c r="AK15" s="63"/>
      <c r="AL15" s="63">
        <v>95.7</v>
      </c>
      <c r="AM15" s="63">
        <v>62205</v>
      </c>
      <c r="AN15" s="63"/>
      <c r="AO15" s="63"/>
      <c r="AP15" s="64">
        <v>62205</v>
      </c>
      <c r="AQ15" s="63">
        <f t="shared" si="6"/>
        <v>2100.6999999999998</v>
      </c>
      <c r="AR15" s="63">
        <f t="shared" si="7"/>
        <v>1112825</v>
      </c>
      <c r="AS15" s="63">
        <f t="shared" si="8"/>
        <v>1112825</v>
      </c>
      <c r="AT15" s="63"/>
      <c r="AU15" s="63">
        <f>AS15+AT15</f>
        <v>1112825</v>
      </c>
      <c r="AV15" s="65">
        <f t="shared" si="1"/>
        <v>6310516</v>
      </c>
      <c r="AW15" s="64">
        <f t="shared" si="9"/>
        <v>0</v>
      </c>
      <c r="AX15" s="64">
        <f t="shared" si="10"/>
        <v>-1112825</v>
      </c>
      <c r="AY15" s="66">
        <f t="shared" si="2"/>
        <v>0.85009108432443015</v>
      </c>
    </row>
    <row r="16" spans="1:52" s="6" customFormat="1" ht="30" customHeight="1" x14ac:dyDescent="0.3">
      <c r="A16" s="4">
        <v>14</v>
      </c>
      <c r="B16" s="3" t="s">
        <v>100</v>
      </c>
      <c r="C16" s="9" t="s">
        <v>103</v>
      </c>
      <c r="D16" s="4" t="s">
        <v>45</v>
      </c>
      <c r="E16" s="3" t="s">
        <v>24</v>
      </c>
      <c r="F16" s="3" t="s">
        <v>54</v>
      </c>
      <c r="G16" s="61">
        <v>4840666</v>
      </c>
      <c r="H16" s="7"/>
      <c r="I16" s="7"/>
      <c r="J16" s="7"/>
      <c r="K16" s="7"/>
      <c r="L16" s="7"/>
      <c r="M16" s="7"/>
      <c r="N16" s="62">
        <f t="shared" si="3"/>
        <v>0</v>
      </c>
      <c r="O16" s="5">
        <v>2686776.81</v>
      </c>
      <c r="P16" s="5"/>
      <c r="Q16" s="5"/>
      <c r="R16" s="5"/>
      <c r="S16" s="5"/>
      <c r="T16" s="5"/>
      <c r="U16" s="5"/>
      <c r="V16" s="5"/>
      <c r="W16" s="5"/>
      <c r="X16" s="5">
        <v>53735.54</v>
      </c>
      <c r="Y16" s="5">
        <v>2686776.81</v>
      </c>
      <c r="Z16" s="63">
        <f t="shared" si="4"/>
        <v>2740512.35</v>
      </c>
      <c r="AA16" s="7"/>
      <c r="AB16" s="7"/>
      <c r="AC16" s="7"/>
      <c r="AD16" s="7"/>
      <c r="AE16" s="7"/>
      <c r="AF16" s="7"/>
      <c r="AG16" s="7"/>
      <c r="AH16" s="62">
        <f t="shared" si="5"/>
        <v>0</v>
      </c>
      <c r="AI16" s="63">
        <v>1999</v>
      </c>
      <c r="AJ16" s="63">
        <v>1047476</v>
      </c>
      <c r="AK16" s="63"/>
      <c r="AL16" s="63"/>
      <c r="AM16" s="63"/>
      <c r="AN16" s="63"/>
      <c r="AO16" s="63"/>
      <c r="AP16" s="64"/>
      <c r="AQ16" s="63">
        <f t="shared" si="6"/>
        <v>1999</v>
      </c>
      <c r="AR16" s="63">
        <f t="shared" si="7"/>
        <v>1047476</v>
      </c>
      <c r="AS16" s="63">
        <f t="shared" si="8"/>
        <v>3787988.35</v>
      </c>
      <c r="AT16" s="63"/>
      <c r="AU16" s="63">
        <f>AS16+AT16</f>
        <v>3787988.35</v>
      </c>
      <c r="AV16" s="65">
        <f t="shared" si="1"/>
        <v>1052677.6499999999</v>
      </c>
      <c r="AW16" s="64">
        <f t="shared" si="9"/>
        <v>-2740512.35</v>
      </c>
      <c r="AX16" s="64">
        <f t="shared" si="10"/>
        <v>-1047476</v>
      </c>
      <c r="AY16" s="66">
        <f t="shared" si="2"/>
        <v>0.21746545826545355</v>
      </c>
      <c r="AZ16" s="6">
        <v>6031770233</v>
      </c>
    </row>
    <row r="17" spans="1:51" s="6" customFormat="1" ht="50.4" customHeight="1" x14ac:dyDescent="0.3">
      <c r="A17" s="4">
        <v>15</v>
      </c>
      <c r="B17" s="3" t="s">
        <v>118</v>
      </c>
      <c r="C17" s="9" t="s">
        <v>108</v>
      </c>
      <c r="D17" s="4" t="s">
        <v>26</v>
      </c>
      <c r="E17" s="3" t="s">
        <v>22</v>
      </c>
      <c r="F17" s="3" t="s">
        <v>35</v>
      </c>
      <c r="G17" s="61">
        <v>11415816</v>
      </c>
      <c r="H17" s="7">
        <v>3590130</v>
      </c>
      <c r="I17" s="7">
        <v>1200000</v>
      </c>
      <c r="J17" s="7">
        <v>184000</v>
      </c>
      <c r="K17" s="7"/>
      <c r="L17" s="7"/>
      <c r="M17" s="7">
        <v>402272</v>
      </c>
      <c r="N17" s="62">
        <f t="shared" si="3"/>
        <v>5376402</v>
      </c>
      <c r="O17" s="13">
        <v>4298689</v>
      </c>
      <c r="P17" s="13">
        <v>12220</v>
      </c>
      <c r="Q17" s="13">
        <v>72656.310000000012</v>
      </c>
      <c r="R17" s="13">
        <v>0</v>
      </c>
      <c r="S17" s="13">
        <v>384467.74000000005</v>
      </c>
      <c r="T17" s="13">
        <v>47836.99</v>
      </c>
      <c r="U17" s="13"/>
      <c r="V17" s="13">
        <v>0</v>
      </c>
      <c r="W17" s="14">
        <v>0</v>
      </c>
      <c r="X17" s="43">
        <v>7185.62</v>
      </c>
      <c r="Y17" s="5">
        <v>-263686.31999999995</v>
      </c>
      <c r="Z17" s="63">
        <f t="shared" si="4"/>
        <v>4823055.66</v>
      </c>
      <c r="AA17" s="7">
        <v>4353</v>
      </c>
      <c r="AB17" s="7">
        <v>2888380</v>
      </c>
      <c r="AC17" s="7">
        <v>314</v>
      </c>
      <c r="AD17" s="7">
        <v>75</v>
      </c>
      <c r="AE17" s="7">
        <v>1585000</v>
      </c>
      <c r="AF17" s="7">
        <v>200</v>
      </c>
      <c r="AG17" s="7">
        <v>240000</v>
      </c>
      <c r="AH17" s="62">
        <f t="shared" si="5"/>
        <v>4713380</v>
      </c>
      <c r="AI17" s="63">
        <v>6765.5269999999982</v>
      </c>
      <c r="AJ17" s="63">
        <v>3779387.5</v>
      </c>
      <c r="AK17" s="63">
        <v>6.7000000000000739</v>
      </c>
      <c r="AL17" s="63">
        <v>102.5</v>
      </c>
      <c r="AM17" s="63">
        <v>70338.75</v>
      </c>
      <c r="AN17" s="63"/>
      <c r="AO17" s="63"/>
      <c r="AP17" s="68">
        <v>-2741200</v>
      </c>
      <c r="AQ17" s="63">
        <f t="shared" si="6"/>
        <v>6874.726999999998</v>
      </c>
      <c r="AR17" s="63">
        <f t="shared" si="7"/>
        <v>3849726.25</v>
      </c>
      <c r="AS17" s="63">
        <f t="shared" si="8"/>
        <v>8672781.9100000001</v>
      </c>
      <c r="AT17" s="63"/>
      <c r="AU17" s="63">
        <f t="shared" ref="AU17:AU28" si="11">AS17+AT17</f>
        <v>8672781.9100000001</v>
      </c>
      <c r="AV17" s="65">
        <f t="shared" si="1"/>
        <v>2743034.09</v>
      </c>
      <c r="AW17" s="64">
        <f t="shared" si="9"/>
        <v>553346.33999999985</v>
      </c>
      <c r="AX17" s="64">
        <f t="shared" si="10"/>
        <v>863653.75</v>
      </c>
      <c r="AY17" s="66">
        <f t="shared" si="2"/>
        <v>0.24028366347180086</v>
      </c>
    </row>
    <row r="18" spans="1:51" s="6" customFormat="1" ht="30" customHeight="1" x14ac:dyDescent="0.3">
      <c r="A18" s="4">
        <v>16</v>
      </c>
      <c r="B18" s="3" t="s">
        <v>91</v>
      </c>
      <c r="C18" s="9" t="s">
        <v>66</v>
      </c>
      <c r="D18" s="4" t="s">
        <v>34</v>
      </c>
      <c r="E18" s="3" t="s">
        <v>22</v>
      </c>
      <c r="F18" s="3" t="s">
        <v>67</v>
      </c>
      <c r="G18" s="61">
        <v>2042884.399999999</v>
      </c>
      <c r="H18" s="7"/>
      <c r="I18" s="7"/>
      <c r="J18" s="7"/>
      <c r="K18" s="7"/>
      <c r="L18" s="7"/>
      <c r="M18" s="7"/>
      <c r="N18" s="62">
        <f t="shared" si="3"/>
        <v>0</v>
      </c>
      <c r="O18" s="13"/>
      <c r="P18" s="13">
        <v>120752</v>
      </c>
      <c r="Q18" s="13">
        <v>393724.2</v>
      </c>
      <c r="R18" s="13"/>
      <c r="S18" s="13"/>
      <c r="T18" s="13"/>
      <c r="U18" s="13"/>
      <c r="V18" s="13">
        <v>12950</v>
      </c>
      <c r="W18" s="14"/>
      <c r="X18" s="43"/>
      <c r="Y18" s="5"/>
      <c r="Z18" s="63">
        <f t="shared" si="4"/>
        <v>527426.19999999995</v>
      </c>
      <c r="AA18" s="7"/>
      <c r="AB18" s="7"/>
      <c r="AC18" s="7"/>
      <c r="AD18" s="7"/>
      <c r="AE18" s="7"/>
      <c r="AF18" s="7"/>
      <c r="AG18" s="7"/>
      <c r="AH18" s="62">
        <f t="shared" si="5"/>
        <v>0</v>
      </c>
      <c r="AI18" s="63"/>
      <c r="AJ18" s="63"/>
      <c r="AK18" s="63"/>
      <c r="AL18" s="63"/>
      <c r="AM18" s="63"/>
      <c r="AN18" s="63"/>
      <c r="AO18" s="63"/>
      <c r="AP18" s="68"/>
      <c r="AQ18" s="63">
        <f t="shared" si="6"/>
        <v>0</v>
      </c>
      <c r="AR18" s="63">
        <f t="shared" si="7"/>
        <v>0</v>
      </c>
      <c r="AS18" s="63">
        <f t="shared" si="8"/>
        <v>527426.19999999995</v>
      </c>
      <c r="AT18" s="63">
        <v>11261.6</v>
      </c>
      <c r="AU18" s="63">
        <f t="shared" si="11"/>
        <v>538687.79999999993</v>
      </c>
      <c r="AV18" s="65">
        <f t="shared" si="1"/>
        <v>1504196.5999999992</v>
      </c>
      <c r="AW18" s="64">
        <f t="shared" si="9"/>
        <v>-527426.19999999995</v>
      </c>
      <c r="AX18" s="64">
        <f t="shared" si="10"/>
        <v>0</v>
      </c>
      <c r="AY18" s="66">
        <f t="shared" si="2"/>
        <v>0.73631018965145556</v>
      </c>
    </row>
    <row r="19" spans="1:51" s="6" customFormat="1" ht="30" customHeight="1" x14ac:dyDescent="0.3">
      <c r="A19" s="4">
        <v>17</v>
      </c>
      <c r="B19" s="3" t="s">
        <v>130</v>
      </c>
      <c r="C19" s="9" t="s">
        <v>109</v>
      </c>
      <c r="D19" s="4" t="s">
        <v>26</v>
      </c>
      <c r="E19" s="3" t="s">
        <v>22</v>
      </c>
      <c r="F19" s="3" t="s">
        <v>35</v>
      </c>
      <c r="G19" s="61">
        <v>10446265.879999999</v>
      </c>
      <c r="H19" s="7">
        <v>2000000</v>
      </c>
      <c r="I19" s="7">
        <v>2000000</v>
      </c>
      <c r="J19" s="7"/>
      <c r="K19" s="7"/>
      <c r="L19" s="7">
        <v>400000</v>
      </c>
      <c r="M19" s="7">
        <v>150000</v>
      </c>
      <c r="N19" s="62">
        <f t="shared" si="3"/>
        <v>4550000</v>
      </c>
      <c r="O19" s="13">
        <v>1670629.1300000006</v>
      </c>
      <c r="P19" s="13">
        <v>1368200.58</v>
      </c>
      <c r="Q19" s="13">
        <v>2169692.3899999997</v>
      </c>
      <c r="R19" s="13">
        <v>0</v>
      </c>
      <c r="S19" s="13">
        <v>476620.3</v>
      </c>
      <c r="T19" s="13">
        <v>232497.97999999998</v>
      </c>
      <c r="U19" s="13"/>
      <c r="V19" s="13">
        <v>2480</v>
      </c>
      <c r="W19" s="14">
        <v>0</v>
      </c>
      <c r="X19" s="43">
        <v>12783.43</v>
      </c>
      <c r="Y19" s="5">
        <v>-1643232.3374999999</v>
      </c>
      <c r="Z19" s="63">
        <f t="shared" si="4"/>
        <v>5932903.8100000005</v>
      </c>
      <c r="AA19" s="7">
        <v>2274.4</v>
      </c>
      <c r="AB19" s="7">
        <v>1515770.4</v>
      </c>
      <c r="AC19" s="7">
        <v>509.6</v>
      </c>
      <c r="AD19" s="7">
        <v>150</v>
      </c>
      <c r="AE19" s="7">
        <v>2454630.3999999999</v>
      </c>
      <c r="AF19" s="7">
        <v>250</v>
      </c>
      <c r="AG19" s="7">
        <v>300000</v>
      </c>
      <c r="AH19" s="62">
        <f t="shared" si="5"/>
        <v>4270400.8</v>
      </c>
      <c r="AI19" s="63">
        <v>3141.9199999999992</v>
      </c>
      <c r="AJ19" s="63">
        <v>1871735</v>
      </c>
      <c r="AK19" s="63">
        <v>30.499999999999957</v>
      </c>
      <c r="AL19" s="63">
        <v>578.20000000000005</v>
      </c>
      <c r="AM19" s="63">
        <v>403732.5</v>
      </c>
      <c r="AN19" s="63"/>
      <c r="AO19" s="63"/>
      <c r="AP19" s="68">
        <v>-4399100</v>
      </c>
      <c r="AQ19" s="63">
        <f t="shared" si="6"/>
        <v>3750.619999999999</v>
      </c>
      <c r="AR19" s="63">
        <f t="shared" si="7"/>
        <v>2275467.5</v>
      </c>
      <c r="AS19" s="63">
        <f t="shared" si="8"/>
        <v>8208371.3100000005</v>
      </c>
      <c r="AT19" s="63"/>
      <c r="AU19" s="63">
        <f t="shared" si="11"/>
        <v>8208371.3100000005</v>
      </c>
      <c r="AV19" s="65">
        <f t="shared" si="1"/>
        <v>2237894.5699999984</v>
      </c>
      <c r="AW19" s="64">
        <f t="shared" si="9"/>
        <v>-1382903.8100000005</v>
      </c>
      <c r="AX19" s="64">
        <f t="shared" si="10"/>
        <v>1994933.2999999998</v>
      </c>
      <c r="AY19" s="66">
        <f t="shared" si="2"/>
        <v>0.21422914137046631</v>
      </c>
    </row>
    <row r="20" spans="1:51" s="6" customFormat="1" ht="30" customHeight="1" x14ac:dyDescent="0.3">
      <c r="A20" s="4">
        <v>18</v>
      </c>
      <c r="B20" s="3" t="s">
        <v>89</v>
      </c>
      <c r="C20" s="9" t="s">
        <v>109</v>
      </c>
      <c r="D20" s="4" t="s">
        <v>26</v>
      </c>
      <c r="E20" s="3" t="s">
        <v>22</v>
      </c>
      <c r="F20" s="3" t="s">
        <v>35</v>
      </c>
      <c r="G20" s="61">
        <v>2341667</v>
      </c>
      <c r="H20" s="7">
        <v>982812</v>
      </c>
      <c r="I20" s="7">
        <v>410905</v>
      </c>
      <c r="J20" s="7"/>
      <c r="K20" s="7"/>
      <c r="L20" s="7">
        <v>200000</v>
      </c>
      <c r="M20" s="7">
        <v>100000</v>
      </c>
      <c r="N20" s="62">
        <f t="shared" si="3"/>
        <v>1693717</v>
      </c>
      <c r="O20" s="13">
        <v>954.24</v>
      </c>
      <c r="P20" s="13"/>
      <c r="Q20" s="13"/>
      <c r="R20" s="13"/>
      <c r="S20" s="13">
        <v>5050</v>
      </c>
      <c r="T20" s="13"/>
      <c r="U20" s="13"/>
      <c r="V20" s="13"/>
      <c r="W20" s="14">
        <v>1200</v>
      </c>
      <c r="X20" s="43">
        <v>4150</v>
      </c>
      <c r="Y20" s="5"/>
      <c r="Z20" s="63">
        <f t="shared" si="4"/>
        <v>11354.24</v>
      </c>
      <c r="AA20" s="7">
        <v>568.59999999999991</v>
      </c>
      <c r="AB20" s="7">
        <v>378942.60000000003</v>
      </c>
      <c r="AC20" s="7">
        <v>127.39999999999998</v>
      </c>
      <c r="AD20" s="7">
        <v>63</v>
      </c>
      <c r="AE20" s="7">
        <v>613657.60000000009</v>
      </c>
      <c r="AF20" s="7">
        <v>100</v>
      </c>
      <c r="AG20" s="7">
        <v>120000</v>
      </c>
      <c r="AH20" s="62">
        <f t="shared" si="5"/>
        <v>1112600.2000000002</v>
      </c>
      <c r="AI20" s="63">
        <v>0.09</v>
      </c>
      <c r="AJ20" s="63">
        <v>315</v>
      </c>
      <c r="AK20" s="63"/>
      <c r="AL20" s="63">
        <v>135.9</v>
      </c>
      <c r="AM20" s="63">
        <v>202335</v>
      </c>
      <c r="AN20" s="63">
        <v>504.5</v>
      </c>
      <c r="AO20" s="63">
        <v>605400</v>
      </c>
      <c r="AP20" s="68">
        <v>62335</v>
      </c>
      <c r="AQ20" s="63">
        <f t="shared" si="6"/>
        <v>640.49</v>
      </c>
      <c r="AR20" s="63">
        <f t="shared" si="7"/>
        <v>808050</v>
      </c>
      <c r="AS20" s="63">
        <f t="shared" si="8"/>
        <v>819404.24</v>
      </c>
      <c r="AT20" s="63"/>
      <c r="AU20" s="63">
        <f t="shared" si="11"/>
        <v>819404.24</v>
      </c>
      <c r="AV20" s="65">
        <f t="shared" si="1"/>
        <v>1522262.76</v>
      </c>
      <c r="AW20" s="64">
        <f t="shared" si="9"/>
        <v>1682362.76</v>
      </c>
      <c r="AX20" s="64">
        <f t="shared" si="10"/>
        <v>304550.20000000019</v>
      </c>
      <c r="AY20" s="66">
        <f t="shared" si="2"/>
        <v>0.65007653094995999</v>
      </c>
    </row>
    <row r="21" spans="1:51" s="6" customFormat="1" ht="30" customHeight="1" x14ac:dyDescent="0.3">
      <c r="A21" s="4">
        <v>19</v>
      </c>
      <c r="B21" s="3" t="s">
        <v>119</v>
      </c>
      <c r="C21" s="9" t="s">
        <v>78</v>
      </c>
      <c r="D21" s="4" t="s">
        <v>34</v>
      </c>
      <c r="E21" s="3" t="s">
        <v>22</v>
      </c>
      <c r="F21" s="3" t="s">
        <v>51</v>
      </c>
      <c r="G21" s="61">
        <v>5753599.0600000015</v>
      </c>
      <c r="H21" s="7">
        <v>1056400</v>
      </c>
      <c r="I21" s="7">
        <v>238080</v>
      </c>
      <c r="J21" s="7"/>
      <c r="K21" s="7"/>
      <c r="L21" s="7"/>
      <c r="M21" s="7">
        <v>150000</v>
      </c>
      <c r="N21" s="62">
        <f t="shared" si="3"/>
        <v>1444480</v>
      </c>
      <c r="O21" s="13">
        <v>468194.72999999992</v>
      </c>
      <c r="P21" s="13">
        <v>461880</v>
      </c>
      <c r="Q21" s="13">
        <v>43493.359999999993</v>
      </c>
      <c r="R21" s="13"/>
      <c r="S21" s="13"/>
      <c r="T21" s="13">
        <v>14301.82</v>
      </c>
      <c r="U21" s="13"/>
      <c r="V21" s="13"/>
      <c r="W21" s="14"/>
      <c r="X21" s="43"/>
      <c r="Y21" s="5"/>
      <c r="Z21" s="63">
        <f t="shared" si="4"/>
        <v>987869.90999999992</v>
      </c>
      <c r="AA21" s="7">
        <v>910</v>
      </c>
      <c r="AB21" s="7">
        <v>519000</v>
      </c>
      <c r="AC21" s="7">
        <v>160</v>
      </c>
      <c r="AD21" s="7">
        <v>50</v>
      </c>
      <c r="AE21" s="7">
        <v>1058000</v>
      </c>
      <c r="AF21" s="7">
        <v>64</v>
      </c>
      <c r="AG21" s="7">
        <v>76800</v>
      </c>
      <c r="AH21" s="62">
        <f t="shared" si="5"/>
        <v>1653800</v>
      </c>
      <c r="AI21" s="63">
        <v>172.17000000000002</v>
      </c>
      <c r="AJ21" s="63">
        <v>223368</v>
      </c>
      <c r="AK21" s="63">
        <v>90</v>
      </c>
      <c r="AL21" s="63">
        <v>52</v>
      </c>
      <c r="AM21" s="63">
        <v>604612.5</v>
      </c>
      <c r="AN21" s="63">
        <v>276</v>
      </c>
      <c r="AO21" s="63">
        <v>331200</v>
      </c>
      <c r="AP21" s="68"/>
      <c r="AQ21" s="63">
        <f t="shared" si="6"/>
        <v>590.17000000000007</v>
      </c>
      <c r="AR21" s="63">
        <f t="shared" si="7"/>
        <v>1159180.5</v>
      </c>
      <c r="AS21" s="63">
        <f t="shared" si="8"/>
        <v>2147050.41</v>
      </c>
      <c r="AT21" s="63">
        <v>181830.9</v>
      </c>
      <c r="AU21" s="63">
        <f t="shared" si="11"/>
        <v>2328881.31</v>
      </c>
      <c r="AV21" s="65">
        <f t="shared" si="1"/>
        <v>3424717.7500000014</v>
      </c>
      <c r="AW21" s="64">
        <f t="shared" si="9"/>
        <v>456610.09000000008</v>
      </c>
      <c r="AX21" s="64">
        <f t="shared" si="10"/>
        <v>494619.5</v>
      </c>
      <c r="AY21" s="66">
        <f t="shared" si="2"/>
        <v>0.5952305182002029</v>
      </c>
    </row>
    <row r="22" spans="1:51" s="6" customFormat="1" ht="30" customHeight="1" x14ac:dyDescent="0.3">
      <c r="A22" s="4">
        <v>20</v>
      </c>
      <c r="B22" s="3" t="s">
        <v>92</v>
      </c>
      <c r="C22" s="9" t="s">
        <v>70</v>
      </c>
      <c r="D22" s="4" t="s">
        <v>62</v>
      </c>
      <c r="E22" s="3" t="s">
        <v>22</v>
      </c>
      <c r="F22" s="3" t="s">
        <v>25</v>
      </c>
      <c r="G22" s="61">
        <v>12916000</v>
      </c>
      <c r="H22" s="7">
        <v>3950000</v>
      </c>
      <c r="I22" s="7">
        <v>2212382</v>
      </c>
      <c r="J22" s="7">
        <v>664200</v>
      </c>
      <c r="K22" s="7"/>
      <c r="L22" s="7"/>
      <c r="M22" s="7">
        <v>65000</v>
      </c>
      <c r="N22" s="62">
        <f t="shared" si="3"/>
        <v>6891582</v>
      </c>
      <c r="O22" s="13">
        <v>5838669.0900000008</v>
      </c>
      <c r="P22" s="13">
        <v>1164715</v>
      </c>
      <c r="Q22" s="13">
        <v>736251.79999999993</v>
      </c>
      <c r="R22" s="13"/>
      <c r="S22" s="13">
        <v>219864.2</v>
      </c>
      <c r="T22" s="13">
        <v>176737.23999999996</v>
      </c>
      <c r="U22" s="13"/>
      <c r="V22" s="13"/>
      <c r="W22" s="14"/>
      <c r="X22" s="43">
        <v>293.27999999999997</v>
      </c>
      <c r="Y22" s="5">
        <v>-31983.119999999995</v>
      </c>
      <c r="Z22" s="63">
        <f t="shared" si="4"/>
        <v>8136530.6100000013</v>
      </c>
      <c r="AA22" s="7">
        <v>3080</v>
      </c>
      <c r="AB22" s="7">
        <v>1889600</v>
      </c>
      <c r="AC22" s="7">
        <v>200</v>
      </c>
      <c r="AD22" s="7">
        <v>894.5454545454545</v>
      </c>
      <c r="AE22" s="7">
        <v>1210818.1818181816</v>
      </c>
      <c r="AF22" s="7">
        <v>600</v>
      </c>
      <c r="AG22" s="7">
        <v>720000</v>
      </c>
      <c r="AH22" s="62">
        <f t="shared" si="5"/>
        <v>3820418.1818181816</v>
      </c>
      <c r="AI22" s="63">
        <v>3407.0029999999979</v>
      </c>
      <c r="AJ22" s="63">
        <v>1991712</v>
      </c>
      <c r="AK22" s="63">
        <v>142.89999999999975</v>
      </c>
      <c r="AL22" s="63">
        <v>957.90000000000043</v>
      </c>
      <c r="AM22" s="63">
        <v>1122548.5</v>
      </c>
      <c r="AN22" s="63">
        <v>114.5</v>
      </c>
      <c r="AO22" s="63">
        <v>137400</v>
      </c>
      <c r="AP22" s="68">
        <v>-2934205</v>
      </c>
      <c r="AQ22" s="63">
        <f t="shared" si="6"/>
        <v>4622.3029999999981</v>
      </c>
      <c r="AR22" s="63">
        <f t="shared" si="7"/>
        <v>3251660.5</v>
      </c>
      <c r="AS22" s="63">
        <f t="shared" si="8"/>
        <v>11388191.110000001</v>
      </c>
      <c r="AT22" s="63">
        <v>50775.06</v>
      </c>
      <c r="AU22" s="63">
        <f t="shared" si="11"/>
        <v>11438966.170000002</v>
      </c>
      <c r="AV22" s="65">
        <f t="shared" si="1"/>
        <v>1477033.8299999982</v>
      </c>
      <c r="AW22" s="64">
        <f t="shared" si="9"/>
        <v>-1244948.6100000013</v>
      </c>
      <c r="AX22" s="64">
        <f t="shared" si="10"/>
        <v>568757.68181818165</v>
      </c>
      <c r="AY22" s="66">
        <f t="shared" si="2"/>
        <v>0.11435690848559912</v>
      </c>
    </row>
    <row r="23" spans="1:51" s="6" customFormat="1" ht="30" customHeight="1" x14ac:dyDescent="0.3">
      <c r="A23" s="4">
        <v>21</v>
      </c>
      <c r="B23" s="3" t="s">
        <v>94</v>
      </c>
      <c r="C23" s="9" t="s">
        <v>76</v>
      </c>
      <c r="D23" s="4" t="s">
        <v>32</v>
      </c>
      <c r="E23" s="3" t="s">
        <v>22</v>
      </c>
      <c r="F23" s="3" t="s">
        <v>75</v>
      </c>
      <c r="G23" s="61">
        <v>8401287.6099999994</v>
      </c>
      <c r="H23" s="7">
        <v>3132000</v>
      </c>
      <c r="I23" s="7"/>
      <c r="J23" s="7"/>
      <c r="K23" s="7"/>
      <c r="L23" s="7"/>
      <c r="M23" s="7">
        <v>830000</v>
      </c>
      <c r="N23" s="62">
        <f t="shared" si="3"/>
        <v>3962000</v>
      </c>
      <c r="O23" s="13">
        <v>1769990.9200000004</v>
      </c>
      <c r="P23" s="13"/>
      <c r="Q23" s="13">
        <v>23029.9</v>
      </c>
      <c r="R23" s="13"/>
      <c r="S23" s="13">
        <v>206874</v>
      </c>
      <c r="T23" s="13">
        <v>3791.0099999999998</v>
      </c>
      <c r="U23" s="5"/>
      <c r="V23" s="13"/>
      <c r="W23" s="14">
        <v>225000</v>
      </c>
      <c r="X23" s="43">
        <v>36955.919999999998</v>
      </c>
      <c r="Y23" s="5">
        <v>-1100000</v>
      </c>
      <c r="Z23" s="63">
        <f t="shared" si="4"/>
        <v>2265641.75</v>
      </c>
      <c r="AA23" s="7">
        <v>3715</v>
      </c>
      <c r="AB23" s="7">
        <v>2210250</v>
      </c>
      <c r="AC23" s="7">
        <v>30</v>
      </c>
      <c r="AD23" s="7">
        <v>120</v>
      </c>
      <c r="AE23" s="7">
        <v>174000</v>
      </c>
      <c r="AF23" s="7"/>
      <c r="AG23" s="7"/>
      <c r="AH23" s="62">
        <f t="shared" si="5"/>
        <v>2384250</v>
      </c>
      <c r="AI23" s="63">
        <v>4053.05</v>
      </c>
      <c r="AJ23" s="63">
        <v>2266976</v>
      </c>
      <c r="AK23" s="63">
        <v>155</v>
      </c>
      <c r="AL23" s="63">
        <v>190.2</v>
      </c>
      <c r="AM23" s="63">
        <v>555670</v>
      </c>
      <c r="AN23" s="63"/>
      <c r="AO23" s="63"/>
      <c r="AP23" s="68">
        <v>465000</v>
      </c>
      <c r="AQ23" s="63">
        <f t="shared" si="6"/>
        <v>4398.25</v>
      </c>
      <c r="AR23" s="63">
        <f t="shared" si="7"/>
        <v>2822646</v>
      </c>
      <c r="AS23" s="63">
        <f t="shared" si="8"/>
        <v>5088287.75</v>
      </c>
      <c r="AT23" s="63">
        <v>400000</v>
      </c>
      <c r="AU23" s="63">
        <f t="shared" si="11"/>
        <v>5488287.75</v>
      </c>
      <c r="AV23" s="65">
        <f t="shared" si="1"/>
        <v>2912999.8599999994</v>
      </c>
      <c r="AW23" s="64">
        <f t="shared" si="9"/>
        <v>1696358.25</v>
      </c>
      <c r="AX23" s="64">
        <f t="shared" si="10"/>
        <v>-438396</v>
      </c>
      <c r="AY23" s="66">
        <f t="shared" si="2"/>
        <v>0.34673254805997528</v>
      </c>
    </row>
    <row r="24" spans="1:51" s="6" customFormat="1" ht="30" customHeight="1" x14ac:dyDescent="0.3">
      <c r="A24" s="4">
        <v>22</v>
      </c>
      <c r="B24" s="3" t="s">
        <v>98</v>
      </c>
      <c r="C24" s="9" t="s">
        <v>79</v>
      </c>
      <c r="D24" s="4" t="s">
        <v>26</v>
      </c>
      <c r="E24" s="3" t="s">
        <v>22</v>
      </c>
      <c r="F24" s="3" t="s">
        <v>74</v>
      </c>
      <c r="G24" s="61">
        <v>816423.81</v>
      </c>
      <c r="H24" s="7"/>
      <c r="I24" s="7">
        <v>504000</v>
      </c>
      <c r="J24" s="7">
        <v>168000</v>
      </c>
      <c r="K24" s="7"/>
      <c r="L24" s="7"/>
      <c r="M24" s="7">
        <v>12000</v>
      </c>
      <c r="N24" s="62">
        <f t="shared" si="3"/>
        <v>684000</v>
      </c>
      <c r="O24" s="13"/>
      <c r="P24" s="13">
        <v>546000</v>
      </c>
      <c r="Q24" s="13">
        <v>284651.32999999996</v>
      </c>
      <c r="R24" s="13"/>
      <c r="S24" s="13"/>
      <c r="T24" s="13"/>
      <c r="U24" s="5"/>
      <c r="V24" s="13"/>
      <c r="W24" s="14"/>
      <c r="X24" s="43">
        <v>10920</v>
      </c>
      <c r="Y24" s="5"/>
      <c r="Z24" s="63">
        <f t="shared" si="4"/>
        <v>841571.33</v>
      </c>
      <c r="AA24" s="7"/>
      <c r="AB24" s="7"/>
      <c r="AC24" s="7"/>
      <c r="AD24" s="7"/>
      <c r="AE24" s="7"/>
      <c r="AF24" s="7"/>
      <c r="AG24" s="7"/>
      <c r="AH24" s="62">
        <f t="shared" si="5"/>
        <v>0</v>
      </c>
      <c r="AI24" s="63">
        <v>5</v>
      </c>
      <c r="AJ24" s="63">
        <v>15325</v>
      </c>
      <c r="AK24" s="63"/>
      <c r="AL24" s="63"/>
      <c r="AM24" s="63"/>
      <c r="AN24" s="63"/>
      <c r="AO24" s="63"/>
      <c r="AP24" s="68"/>
      <c r="AQ24" s="63">
        <f t="shared" si="6"/>
        <v>5</v>
      </c>
      <c r="AR24" s="63">
        <f t="shared" si="7"/>
        <v>15325</v>
      </c>
      <c r="AS24" s="63">
        <f t="shared" si="8"/>
        <v>856896.33</v>
      </c>
      <c r="AT24" s="63"/>
      <c r="AU24" s="63">
        <f t="shared" si="11"/>
        <v>856896.33</v>
      </c>
      <c r="AV24" s="65">
        <f t="shared" si="1"/>
        <v>-40472.519999999902</v>
      </c>
      <c r="AW24" s="64">
        <f t="shared" si="9"/>
        <v>-157571.32999999996</v>
      </c>
      <c r="AX24" s="64">
        <f t="shared" si="10"/>
        <v>-15325</v>
      </c>
      <c r="AY24" s="66">
        <f t="shared" si="2"/>
        <v>-4.9572929530313309E-2</v>
      </c>
    </row>
    <row r="25" spans="1:51" s="6" customFormat="1" ht="30" customHeight="1" x14ac:dyDescent="0.3">
      <c r="A25" s="4">
        <v>23</v>
      </c>
      <c r="B25" s="3" t="s">
        <v>120</v>
      </c>
      <c r="C25" s="9" t="s">
        <v>77</v>
      </c>
      <c r="D25" s="4" t="s">
        <v>26</v>
      </c>
      <c r="E25" s="3" t="s">
        <v>22</v>
      </c>
      <c r="F25" s="3" t="s">
        <v>30</v>
      </c>
      <c r="G25" s="61">
        <v>2750000</v>
      </c>
      <c r="H25" s="7"/>
      <c r="I25" s="7"/>
      <c r="J25" s="7"/>
      <c r="K25" s="7"/>
      <c r="L25" s="7"/>
      <c r="M25" s="7"/>
      <c r="N25" s="62">
        <f t="shared" si="3"/>
        <v>0</v>
      </c>
      <c r="O25" s="13">
        <v>31912.089999999997</v>
      </c>
      <c r="P25" s="13">
        <v>965.79</v>
      </c>
      <c r="Q25" s="13"/>
      <c r="R25" s="13"/>
      <c r="S25" s="13">
        <v>2500</v>
      </c>
      <c r="T25" s="13"/>
      <c r="U25" s="13"/>
      <c r="V25" s="13"/>
      <c r="W25" s="14"/>
      <c r="X25" s="43">
        <v>707.56</v>
      </c>
      <c r="Y25" s="5"/>
      <c r="Z25" s="63">
        <f t="shared" si="4"/>
        <v>36085.439999999995</v>
      </c>
      <c r="AA25" s="7"/>
      <c r="AB25" s="7"/>
      <c r="AC25" s="7">
        <v>172.5</v>
      </c>
      <c r="AD25" s="7">
        <v>112</v>
      </c>
      <c r="AE25" s="7">
        <v>901300</v>
      </c>
      <c r="AF25" s="7">
        <v>900</v>
      </c>
      <c r="AG25" s="7">
        <v>1080000</v>
      </c>
      <c r="AH25" s="62">
        <f t="shared" si="5"/>
        <v>1981300</v>
      </c>
      <c r="AI25" s="63">
        <v>69.289999999999992</v>
      </c>
      <c r="AJ25" s="63">
        <v>242665</v>
      </c>
      <c r="AK25" s="63"/>
      <c r="AL25" s="63"/>
      <c r="AM25" s="63"/>
      <c r="AN25" s="63">
        <v>791.5</v>
      </c>
      <c r="AO25" s="63">
        <v>949800</v>
      </c>
      <c r="AP25" s="68"/>
      <c r="AQ25" s="63">
        <f t="shared" si="6"/>
        <v>860.79</v>
      </c>
      <c r="AR25" s="63">
        <f t="shared" si="7"/>
        <v>1192465</v>
      </c>
      <c r="AS25" s="63">
        <f t="shared" si="8"/>
        <v>1228550.44</v>
      </c>
      <c r="AT25" s="63">
        <v>110000</v>
      </c>
      <c r="AU25" s="63">
        <f t="shared" si="11"/>
        <v>1338550.44</v>
      </c>
      <c r="AV25" s="65">
        <f t="shared" si="1"/>
        <v>1411449.56</v>
      </c>
      <c r="AW25" s="64">
        <f t="shared" si="9"/>
        <v>-36085.439999999995</v>
      </c>
      <c r="AX25" s="64">
        <f t="shared" si="10"/>
        <v>788835</v>
      </c>
      <c r="AY25" s="66">
        <f t="shared" si="2"/>
        <v>0.51325438545454549</v>
      </c>
    </row>
    <row r="26" spans="1:51" s="6" customFormat="1" ht="30" customHeight="1" x14ac:dyDescent="0.3">
      <c r="A26" s="4">
        <v>24</v>
      </c>
      <c r="B26" s="3" t="s">
        <v>110</v>
      </c>
      <c r="C26" s="9" t="s">
        <v>111</v>
      </c>
      <c r="D26" s="4" t="s">
        <v>107</v>
      </c>
      <c r="E26" s="3" t="s">
        <v>23</v>
      </c>
      <c r="F26" s="3" t="s">
        <v>30</v>
      </c>
      <c r="G26" s="61">
        <v>789000</v>
      </c>
      <c r="H26" s="15"/>
      <c r="I26" s="15"/>
      <c r="J26" s="15"/>
      <c r="K26" s="15"/>
      <c r="L26" s="15"/>
      <c r="M26" s="16"/>
      <c r="N26" s="62">
        <f t="shared" si="3"/>
        <v>0</v>
      </c>
      <c r="O26" s="13">
        <v>274122.88</v>
      </c>
      <c r="P26" s="13"/>
      <c r="Q26" s="13">
        <v>241971.15000000002</v>
      </c>
      <c r="R26" s="13"/>
      <c r="S26" s="13"/>
      <c r="T26" s="13"/>
      <c r="U26" s="13">
        <v>4166.4399999999996</v>
      </c>
      <c r="V26" s="13"/>
      <c r="W26" s="14">
        <v>30000</v>
      </c>
      <c r="X26" s="43"/>
      <c r="Y26" s="5"/>
      <c r="Z26" s="63">
        <f t="shared" si="4"/>
        <v>550260.47</v>
      </c>
      <c r="AA26" s="7"/>
      <c r="AB26" s="7"/>
      <c r="AC26" s="7"/>
      <c r="AD26" s="7"/>
      <c r="AE26" s="7"/>
      <c r="AF26" s="7"/>
      <c r="AG26" s="7"/>
      <c r="AH26" s="69"/>
      <c r="AI26" s="63">
        <v>116.5</v>
      </c>
      <c r="AJ26" s="63">
        <v>143100.4</v>
      </c>
      <c r="AK26" s="63"/>
      <c r="AL26" s="63"/>
      <c r="AM26" s="63"/>
      <c r="AN26" s="63">
        <v>279</v>
      </c>
      <c r="AO26" s="63">
        <v>334800</v>
      </c>
      <c r="AP26" s="68"/>
      <c r="AQ26" s="63">
        <f t="shared" si="6"/>
        <v>395.5</v>
      </c>
      <c r="AR26" s="63">
        <f t="shared" si="7"/>
        <v>477900.4</v>
      </c>
      <c r="AS26" s="70">
        <f t="shared" si="8"/>
        <v>1028160.87</v>
      </c>
      <c r="AT26" s="63">
        <v>11137.78</v>
      </c>
      <c r="AU26" s="63">
        <f t="shared" si="11"/>
        <v>1039298.65</v>
      </c>
      <c r="AV26" s="65">
        <f t="shared" si="1"/>
        <v>-246132.21000000002</v>
      </c>
      <c r="AW26" s="64">
        <f t="shared" si="9"/>
        <v>-550260.47</v>
      </c>
      <c r="AX26" s="64">
        <f t="shared" si="10"/>
        <v>-477900.4</v>
      </c>
      <c r="AY26" s="66">
        <f t="shared" si="2"/>
        <v>-0.31195463878327001</v>
      </c>
    </row>
    <row r="27" spans="1:51" s="6" customFormat="1" ht="30" customHeight="1" x14ac:dyDescent="0.3">
      <c r="A27" s="4">
        <v>25</v>
      </c>
      <c r="B27" s="3" t="s">
        <v>60</v>
      </c>
      <c r="C27" s="9" t="s">
        <v>61</v>
      </c>
      <c r="D27" s="4" t="s">
        <v>27</v>
      </c>
      <c r="E27" s="3" t="s">
        <v>23</v>
      </c>
      <c r="F27" s="3" t="s">
        <v>29</v>
      </c>
      <c r="G27" s="61">
        <v>2195296</v>
      </c>
      <c r="H27" s="15">
        <v>567031</v>
      </c>
      <c r="I27" s="15">
        <v>15018</v>
      </c>
      <c r="J27" s="15">
        <v>209902</v>
      </c>
      <c r="K27" s="15"/>
      <c r="L27" s="15">
        <v>222580</v>
      </c>
      <c r="M27" s="15">
        <v>184870</v>
      </c>
      <c r="N27" s="62">
        <f t="shared" si="3"/>
        <v>1199401</v>
      </c>
      <c r="O27" s="13">
        <v>962327.02000000037</v>
      </c>
      <c r="P27" s="13">
        <v>66902.66</v>
      </c>
      <c r="Q27" s="13">
        <v>330310.25999999978</v>
      </c>
      <c r="R27" s="13"/>
      <c r="S27" s="13">
        <v>426163.03</v>
      </c>
      <c r="T27" s="13"/>
      <c r="U27" s="13">
        <v>56196.67</v>
      </c>
      <c r="V27" s="13"/>
      <c r="W27" s="14">
        <v>110000</v>
      </c>
      <c r="X27" s="43"/>
      <c r="Y27" s="5">
        <v>-346600.80000000005</v>
      </c>
      <c r="Z27" s="63">
        <f t="shared" si="4"/>
        <v>1951899.6400000001</v>
      </c>
      <c r="AA27" s="7"/>
      <c r="AB27" s="7"/>
      <c r="AC27" s="7"/>
      <c r="AD27" s="7"/>
      <c r="AE27" s="7"/>
      <c r="AF27" s="7"/>
      <c r="AG27" s="7"/>
      <c r="AH27" s="69"/>
      <c r="AI27" s="63">
        <v>420</v>
      </c>
      <c r="AJ27" s="63">
        <v>264480</v>
      </c>
      <c r="AK27" s="63"/>
      <c r="AL27" s="63"/>
      <c r="AM27" s="63"/>
      <c r="AN27" s="63"/>
      <c r="AO27" s="63"/>
      <c r="AP27" s="68">
        <v>180000</v>
      </c>
      <c r="AQ27" s="63">
        <f t="shared" si="6"/>
        <v>420</v>
      </c>
      <c r="AR27" s="63">
        <f t="shared" si="7"/>
        <v>264480</v>
      </c>
      <c r="AS27" s="70">
        <f t="shared" si="8"/>
        <v>2216379.64</v>
      </c>
      <c r="AT27" s="63">
        <v>16650.5</v>
      </c>
      <c r="AU27" s="63">
        <f t="shared" si="11"/>
        <v>2233030.14</v>
      </c>
      <c r="AV27" s="65">
        <f t="shared" si="1"/>
        <v>18462.529999999868</v>
      </c>
      <c r="AW27" s="64">
        <f t="shared" si="9"/>
        <v>-752498.64000000013</v>
      </c>
      <c r="AX27" s="64">
        <f t="shared" si="10"/>
        <v>-264480</v>
      </c>
      <c r="AY27" s="66">
        <f t="shared" si="2"/>
        <v>8.4100412882817926E-3</v>
      </c>
    </row>
    <row r="28" spans="1:51" s="6" customFormat="1" ht="30" customHeight="1" x14ac:dyDescent="0.3">
      <c r="A28" s="4">
        <v>26</v>
      </c>
      <c r="B28" s="35" t="s">
        <v>113</v>
      </c>
      <c r="C28" s="9" t="s">
        <v>112</v>
      </c>
      <c r="D28" s="4" t="s">
        <v>27</v>
      </c>
      <c r="E28" s="3" t="s">
        <v>23</v>
      </c>
      <c r="F28" s="3" t="s">
        <v>116</v>
      </c>
      <c r="G28" s="61">
        <v>819000</v>
      </c>
      <c r="H28" s="15"/>
      <c r="I28" s="15"/>
      <c r="J28" s="15"/>
      <c r="K28" s="15"/>
      <c r="L28" s="15"/>
      <c r="M28" s="16"/>
      <c r="N28" s="62">
        <f t="shared" si="3"/>
        <v>0</v>
      </c>
      <c r="O28" s="13">
        <v>116544.53000000003</v>
      </c>
      <c r="P28" s="13"/>
      <c r="Q28" s="13">
        <v>9666.5300000000007</v>
      </c>
      <c r="R28" s="13"/>
      <c r="S28" s="13">
        <v>850</v>
      </c>
      <c r="T28" s="13"/>
      <c r="U28" s="13">
        <v>22924.22</v>
      </c>
      <c r="V28" s="13"/>
      <c r="W28" s="14"/>
      <c r="X28" s="43"/>
      <c r="Y28" s="5"/>
      <c r="Z28" s="63">
        <f t="shared" si="4"/>
        <v>149985.28000000003</v>
      </c>
      <c r="AA28" s="7"/>
      <c r="AB28" s="7"/>
      <c r="AC28" s="7"/>
      <c r="AD28" s="7"/>
      <c r="AE28" s="7"/>
      <c r="AF28" s="7"/>
      <c r="AG28" s="7"/>
      <c r="AH28" s="69"/>
      <c r="AI28" s="63">
        <v>826</v>
      </c>
      <c r="AJ28" s="63">
        <v>644168</v>
      </c>
      <c r="AK28" s="63"/>
      <c r="AL28" s="63"/>
      <c r="AM28" s="63"/>
      <c r="AN28" s="63"/>
      <c r="AO28" s="63"/>
      <c r="AP28" s="68">
        <v>480088</v>
      </c>
      <c r="AQ28" s="63">
        <f t="shared" si="6"/>
        <v>826</v>
      </c>
      <c r="AR28" s="63">
        <f t="shared" si="7"/>
        <v>644168</v>
      </c>
      <c r="AS28" s="70">
        <f t="shared" si="8"/>
        <v>794153.28</v>
      </c>
      <c r="AT28" s="63">
        <v>945</v>
      </c>
      <c r="AU28" s="63">
        <f t="shared" si="11"/>
        <v>795098.28</v>
      </c>
      <c r="AV28" s="65">
        <f t="shared" si="1"/>
        <v>46825.939999999973</v>
      </c>
      <c r="AW28" s="64">
        <f t="shared" si="9"/>
        <v>-149985.28000000003</v>
      </c>
      <c r="AX28" s="64">
        <f t="shared" si="10"/>
        <v>-644168</v>
      </c>
      <c r="AY28" s="66">
        <f t="shared" si="2"/>
        <v>5.7174529914529884E-2</v>
      </c>
    </row>
    <row r="29" spans="1:51" s="6" customFormat="1" ht="30" customHeight="1" x14ac:dyDescent="0.3">
      <c r="A29" s="4"/>
      <c r="B29" s="3"/>
      <c r="C29" s="9"/>
      <c r="D29" s="4"/>
      <c r="E29" s="3"/>
      <c r="F29" s="3"/>
      <c r="G29" s="61"/>
      <c r="H29" s="15"/>
      <c r="I29" s="15"/>
      <c r="J29" s="15"/>
      <c r="K29" s="15"/>
      <c r="L29" s="15"/>
      <c r="M29" s="16"/>
      <c r="N29" s="6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3"/>
      <c r="AA29" s="7"/>
      <c r="AB29" s="7"/>
      <c r="AC29" s="7"/>
      <c r="AD29" s="7"/>
      <c r="AE29" s="7"/>
      <c r="AF29" s="7"/>
      <c r="AG29" s="7"/>
      <c r="AH29" s="62"/>
      <c r="AI29" s="63"/>
      <c r="AJ29" s="63"/>
      <c r="AK29" s="63"/>
      <c r="AL29" s="63"/>
      <c r="AM29" s="63"/>
      <c r="AN29" s="63"/>
      <c r="AO29" s="63"/>
      <c r="AP29" s="64"/>
      <c r="AQ29" s="63"/>
      <c r="AR29" s="63"/>
      <c r="AS29" s="63"/>
      <c r="AT29" s="63"/>
      <c r="AU29" s="63"/>
      <c r="AV29" s="65"/>
      <c r="AW29" s="64"/>
      <c r="AX29" s="64"/>
      <c r="AY29" s="66"/>
    </row>
    <row r="30" spans="1:51" s="6" customFormat="1" ht="11.4" x14ac:dyDescent="0.3">
      <c r="A30" s="4"/>
      <c r="B30" s="3"/>
      <c r="C30" s="9"/>
      <c r="D30" s="4"/>
      <c r="E30" s="3"/>
      <c r="F30" s="40"/>
      <c r="G30" s="71"/>
      <c r="H30" s="7"/>
      <c r="I30" s="7"/>
      <c r="J30" s="7"/>
      <c r="K30" s="7"/>
      <c r="L30" s="7"/>
      <c r="M30" s="7"/>
      <c r="N30" s="6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3"/>
      <c r="AA30" s="7"/>
      <c r="AB30" s="7"/>
      <c r="AC30" s="7"/>
      <c r="AD30" s="7"/>
      <c r="AE30" s="7"/>
      <c r="AF30" s="7"/>
      <c r="AG30" s="7"/>
      <c r="AH30" s="62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4"/>
      <c r="AW30" s="64"/>
      <c r="AX30" s="64"/>
      <c r="AY30" s="66"/>
    </row>
    <row r="31" spans="1:51" s="6" customFormat="1" ht="11.4" x14ac:dyDescent="0.3">
      <c r="A31" s="4"/>
      <c r="B31" s="3"/>
      <c r="C31" s="9"/>
      <c r="D31" s="4"/>
      <c r="E31" s="3"/>
      <c r="F31" s="3"/>
      <c r="G31" s="71"/>
      <c r="H31" s="7"/>
      <c r="I31" s="7"/>
      <c r="J31" s="7"/>
      <c r="K31" s="7"/>
      <c r="L31" s="7"/>
      <c r="M31" s="7"/>
      <c r="N31" s="6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3"/>
      <c r="AA31" s="7"/>
      <c r="AB31" s="7"/>
      <c r="AC31" s="7"/>
      <c r="AD31" s="7"/>
      <c r="AE31" s="7"/>
      <c r="AF31" s="7"/>
      <c r="AG31" s="7"/>
      <c r="AH31" s="62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4"/>
      <c r="AW31" s="64"/>
      <c r="AX31" s="64"/>
      <c r="AY31" s="66"/>
    </row>
    <row r="32" spans="1:51" s="6" customFormat="1" ht="11.4" x14ac:dyDescent="0.3">
      <c r="A32" s="4"/>
      <c r="B32" s="3"/>
      <c r="C32" s="9"/>
      <c r="D32" s="4"/>
      <c r="E32" s="3"/>
      <c r="F32" s="3"/>
      <c r="G32" s="71"/>
      <c r="H32" s="7"/>
      <c r="I32" s="7"/>
      <c r="J32" s="7"/>
      <c r="K32" s="7"/>
      <c r="L32" s="7"/>
      <c r="M32" s="7"/>
      <c r="N32" s="6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3"/>
      <c r="AA32" s="7"/>
      <c r="AB32" s="7"/>
      <c r="AC32" s="7"/>
      <c r="AD32" s="7"/>
      <c r="AE32" s="7"/>
      <c r="AF32" s="7"/>
      <c r="AG32" s="7"/>
      <c r="AH32" s="62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4"/>
      <c r="AW32" s="64"/>
      <c r="AX32" s="64"/>
      <c r="AY32" s="66"/>
    </row>
    <row r="33" spans="1:51" s="10" customFormat="1" ht="15.75" customHeight="1" x14ac:dyDescent="0.3">
      <c r="A33" s="353" t="s">
        <v>28</v>
      </c>
      <c r="B33" s="353"/>
      <c r="C33" s="353"/>
      <c r="D33" s="353"/>
      <c r="E33" s="353"/>
      <c r="F33" s="353"/>
      <c r="G33" s="72">
        <f t="shared" ref="G33:AX33" si="12">SUBTOTAL(9,G3:G32)</f>
        <v>289872779.76000005</v>
      </c>
      <c r="H33" s="72">
        <f t="shared" si="12"/>
        <v>105837502.35093333</v>
      </c>
      <c r="I33" s="72">
        <f t="shared" si="12"/>
        <v>40827387.200000003</v>
      </c>
      <c r="J33" s="72">
        <f t="shared" si="12"/>
        <v>3008019.0666666664</v>
      </c>
      <c r="K33" s="72">
        <f t="shared" si="12"/>
        <v>0</v>
      </c>
      <c r="L33" s="72">
        <f t="shared" si="12"/>
        <v>14026885</v>
      </c>
      <c r="M33" s="72">
        <f t="shared" si="12"/>
        <v>9156769.6666666679</v>
      </c>
      <c r="N33" s="72">
        <f t="shared" si="12"/>
        <v>172856563.28426665</v>
      </c>
      <c r="O33" s="72">
        <f t="shared" si="12"/>
        <v>108686206.61</v>
      </c>
      <c r="P33" s="72">
        <f t="shared" si="12"/>
        <v>14091325.160000002</v>
      </c>
      <c r="Q33" s="72">
        <f t="shared" si="12"/>
        <v>7222621.7500000009</v>
      </c>
      <c r="R33" s="72">
        <f t="shared" si="12"/>
        <v>22649624.440000001</v>
      </c>
      <c r="S33" s="72">
        <f t="shared" si="12"/>
        <v>16689563.23</v>
      </c>
      <c r="T33" s="72">
        <f t="shared" si="12"/>
        <v>1232631.8499999999</v>
      </c>
      <c r="U33" s="72">
        <f t="shared" si="12"/>
        <v>83287.33</v>
      </c>
      <c r="V33" s="72">
        <f t="shared" si="12"/>
        <v>1354769.3900000001</v>
      </c>
      <c r="W33" s="72">
        <f t="shared" si="12"/>
        <v>9446808</v>
      </c>
      <c r="X33" s="72">
        <f t="shared" si="12"/>
        <v>2897660.24</v>
      </c>
      <c r="Y33" s="72">
        <f>SUBTOTAL(9,Y3:Y32)</f>
        <v>1082830.9941365479</v>
      </c>
      <c r="Z33" s="72">
        <f t="shared" si="12"/>
        <v>184354498</v>
      </c>
      <c r="AA33" s="72">
        <f t="shared" si="12"/>
        <v>86026</v>
      </c>
      <c r="AB33" s="72">
        <f t="shared" si="12"/>
        <v>45223390.200000003</v>
      </c>
      <c r="AC33" s="72">
        <f t="shared" si="12"/>
        <v>4031.8333333333335</v>
      </c>
      <c r="AD33" s="72">
        <f t="shared" si="12"/>
        <v>2120.5454545454545</v>
      </c>
      <c r="AE33" s="72">
        <f t="shared" si="12"/>
        <v>17157872.848484848</v>
      </c>
      <c r="AF33" s="72">
        <f t="shared" si="12"/>
        <v>3664</v>
      </c>
      <c r="AG33" s="72">
        <f t="shared" si="12"/>
        <v>3736800</v>
      </c>
      <c r="AH33" s="72">
        <f t="shared" si="12"/>
        <v>66118063.048484839</v>
      </c>
      <c r="AI33" s="72">
        <f t="shared" si="12"/>
        <v>73488.021999999997</v>
      </c>
      <c r="AJ33" s="72">
        <f t="shared" si="12"/>
        <v>46407219.020000003</v>
      </c>
      <c r="AK33" s="72">
        <f t="shared" si="12"/>
        <v>1537.2999999999997</v>
      </c>
      <c r="AL33" s="72">
        <f t="shared" si="12"/>
        <v>3269.4000000000005</v>
      </c>
      <c r="AM33" s="72">
        <f t="shared" si="12"/>
        <v>9702189.75</v>
      </c>
      <c r="AN33" s="72">
        <f t="shared" si="12"/>
        <v>3321</v>
      </c>
      <c r="AO33" s="72">
        <f t="shared" si="12"/>
        <v>3985200</v>
      </c>
      <c r="AP33" s="72">
        <f t="shared" si="12"/>
        <v>-9145452</v>
      </c>
      <c r="AQ33" s="72">
        <f t="shared" si="12"/>
        <v>81615.721999999994</v>
      </c>
      <c r="AR33" s="72">
        <f t="shared" si="12"/>
        <v>60094608.770000003</v>
      </c>
      <c r="AS33" s="72">
        <f t="shared" si="12"/>
        <v>244449106.77000004</v>
      </c>
      <c r="AT33" s="72">
        <f t="shared" si="12"/>
        <v>2112939.21</v>
      </c>
      <c r="AU33" s="72">
        <f t="shared" si="12"/>
        <v>246562045.98000005</v>
      </c>
      <c r="AV33" s="72">
        <f t="shared" si="12"/>
        <v>43394021.109999977</v>
      </c>
      <c r="AW33" s="72">
        <f t="shared" si="12"/>
        <v>-11497934.715733346</v>
      </c>
      <c r="AX33" s="72">
        <f t="shared" si="12"/>
        <v>6023454.2784848455</v>
      </c>
      <c r="AY33" s="72"/>
    </row>
    <row r="34" spans="1:51" x14ac:dyDescent="0.2">
      <c r="A34" s="12"/>
      <c r="B34" s="12"/>
      <c r="D34" s="12"/>
      <c r="E34" s="12"/>
      <c r="F34" s="12"/>
      <c r="G34" s="17"/>
      <c r="AS34" s="22"/>
    </row>
    <row r="35" spans="1:51" ht="14.4" x14ac:dyDescent="0.3">
      <c r="G35" s="26"/>
      <c r="O35" s="19"/>
      <c r="P35" s="19"/>
      <c r="Q35" s="19"/>
      <c r="R35" s="19"/>
      <c r="S35" s="19"/>
      <c r="T35" s="19"/>
      <c r="U35" s="19"/>
      <c r="V35" s="19"/>
      <c r="Z35" s="19"/>
      <c r="AA35" s="17"/>
      <c r="AI35" s="19"/>
      <c r="AL35" s="19"/>
      <c r="AN35" s="19"/>
      <c r="AQ35" s="19"/>
      <c r="AR35" s="19"/>
      <c r="AS35" s="22"/>
      <c r="AT35" s="22"/>
      <c r="AU35" s="22"/>
    </row>
    <row r="36" spans="1:51" x14ac:dyDescent="0.2">
      <c r="G36" s="37"/>
      <c r="O36" s="19"/>
      <c r="P36" s="19"/>
      <c r="Q36" s="19"/>
      <c r="R36" s="19"/>
      <c r="S36" s="19"/>
      <c r="T36" s="19"/>
      <c r="U36" s="22"/>
      <c r="V36" s="22"/>
      <c r="Z36" s="29"/>
      <c r="AI36" s="19"/>
      <c r="AJ36" s="19"/>
      <c r="AQ36" s="22"/>
      <c r="AR36" s="22"/>
      <c r="AS36" s="31"/>
      <c r="AT36" s="24"/>
      <c r="AU36" s="39"/>
      <c r="AV36" s="42"/>
    </row>
    <row r="37" spans="1:51" x14ac:dyDescent="0.2">
      <c r="G37" s="34"/>
      <c r="O37" s="19"/>
      <c r="P37" s="19"/>
      <c r="Q37" s="19"/>
      <c r="R37" s="19"/>
      <c r="S37" s="19"/>
      <c r="T37" s="19"/>
      <c r="U37" s="29"/>
      <c r="V37" s="29"/>
      <c r="Z37" s="19"/>
      <c r="AQ37" s="28"/>
      <c r="AR37" s="28"/>
      <c r="AS37" s="19"/>
      <c r="AT37" s="19"/>
      <c r="AU37" s="19"/>
    </row>
    <row r="38" spans="1:51" x14ac:dyDescent="0.2">
      <c r="G38" s="38"/>
      <c r="H38" s="38"/>
      <c r="I38" s="38"/>
      <c r="J38" s="38"/>
      <c r="K38" s="38"/>
      <c r="L38" s="38"/>
      <c r="M38" s="38"/>
      <c r="N38" s="38"/>
      <c r="U38" s="28"/>
      <c r="V38" s="28"/>
      <c r="AA38" s="38"/>
      <c r="AB38" s="38"/>
      <c r="AC38" s="38"/>
      <c r="AD38" s="38"/>
      <c r="AE38" s="38"/>
      <c r="AF38" s="38"/>
      <c r="AG38" s="38"/>
      <c r="AH38" s="38"/>
      <c r="AL38" s="22"/>
      <c r="AQ38" s="19"/>
      <c r="AR38" s="19"/>
      <c r="AS38" s="28"/>
      <c r="AT38" s="21"/>
      <c r="AU38" s="19"/>
      <c r="AV38" s="41"/>
    </row>
    <row r="39" spans="1:51" x14ac:dyDescent="0.2">
      <c r="G39" s="38"/>
      <c r="H39" s="38"/>
      <c r="I39" s="38"/>
      <c r="J39" s="38"/>
      <c r="K39" s="38"/>
      <c r="L39" s="38"/>
      <c r="M39" s="38"/>
      <c r="N39" s="38"/>
      <c r="U39" s="33"/>
      <c r="V39" s="33"/>
      <c r="Z39" s="22"/>
      <c r="AA39" s="38"/>
      <c r="AB39" s="38"/>
      <c r="AC39" s="38"/>
      <c r="AD39" s="38"/>
      <c r="AE39" s="38"/>
      <c r="AF39" s="38"/>
      <c r="AG39" s="38"/>
      <c r="AH39" s="38"/>
      <c r="AJ39" s="22"/>
      <c r="AL39" s="22"/>
      <c r="AR39" s="22"/>
      <c r="AS39" s="19"/>
      <c r="AT39" s="28"/>
      <c r="AU39" s="20"/>
      <c r="AV39" s="22"/>
    </row>
    <row r="40" spans="1:51" x14ac:dyDescent="0.2">
      <c r="D40" s="18"/>
      <c r="G40" s="38"/>
      <c r="H40" s="38"/>
      <c r="I40" s="38"/>
      <c r="J40" s="38"/>
      <c r="K40" s="38"/>
      <c r="L40" s="38"/>
      <c r="M40" s="38"/>
      <c r="N40" s="38"/>
      <c r="Z40" s="22"/>
      <c r="AA40" s="38"/>
      <c r="AB40" s="38"/>
      <c r="AC40" s="38"/>
      <c r="AD40" s="38"/>
      <c r="AE40" s="38"/>
      <c r="AF40" s="38"/>
      <c r="AG40" s="38"/>
      <c r="AH40" s="38"/>
      <c r="AJ40" s="22"/>
      <c r="AL40" s="22"/>
      <c r="AS40" s="32"/>
      <c r="AT40" s="22"/>
      <c r="AU40" s="20"/>
      <c r="AV40" s="22"/>
    </row>
    <row r="41" spans="1:51" x14ac:dyDescent="0.2">
      <c r="D41" s="18"/>
      <c r="G41" s="38"/>
      <c r="H41" s="38"/>
      <c r="I41" s="38"/>
      <c r="J41" s="38"/>
      <c r="K41" s="38"/>
      <c r="L41" s="38"/>
      <c r="M41" s="38"/>
      <c r="N41" s="38"/>
      <c r="Z41" s="22"/>
      <c r="AA41" s="38"/>
      <c r="AB41" s="38"/>
      <c r="AC41" s="38"/>
      <c r="AD41" s="38"/>
      <c r="AE41" s="38"/>
      <c r="AF41" s="38"/>
      <c r="AG41" s="38"/>
      <c r="AH41" s="38"/>
      <c r="AJ41" s="22"/>
      <c r="AL41" s="22"/>
      <c r="AO41" s="22"/>
      <c r="AP41" s="22"/>
      <c r="AR41" s="22"/>
      <c r="AS41" s="27"/>
      <c r="AT41" s="22"/>
      <c r="AU41" s="20"/>
    </row>
    <row r="42" spans="1:51" x14ac:dyDescent="0.2">
      <c r="D42" s="18"/>
      <c r="G42" s="38"/>
      <c r="H42" s="38"/>
      <c r="I42" s="38"/>
      <c r="J42" s="38"/>
      <c r="K42" s="38"/>
      <c r="L42" s="38"/>
      <c r="M42" s="38"/>
      <c r="N42" s="38"/>
      <c r="Z42" s="22"/>
      <c r="AA42" s="38"/>
      <c r="AB42" s="38"/>
      <c r="AC42" s="38"/>
      <c r="AD42" s="38"/>
      <c r="AE42" s="38"/>
      <c r="AF42" s="38"/>
      <c r="AG42" s="38"/>
      <c r="AH42" s="38"/>
      <c r="AJ42" s="22"/>
      <c r="AL42" s="22"/>
      <c r="AO42" s="22"/>
      <c r="AP42" s="22"/>
      <c r="AS42" s="23"/>
      <c r="AT42" s="22"/>
    </row>
    <row r="43" spans="1:51" x14ac:dyDescent="0.2">
      <c r="D43" s="18"/>
      <c r="G43" s="38"/>
      <c r="H43" s="38"/>
      <c r="I43" s="38"/>
      <c r="J43" s="38"/>
      <c r="K43" s="38"/>
      <c r="L43" s="38"/>
      <c r="M43" s="38"/>
      <c r="N43" s="38"/>
      <c r="Z43" s="22"/>
      <c r="AA43" s="38"/>
      <c r="AB43" s="38"/>
      <c r="AC43" s="38"/>
      <c r="AD43" s="38"/>
      <c r="AE43" s="38"/>
      <c r="AF43" s="38"/>
      <c r="AG43" s="38"/>
      <c r="AH43" s="38"/>
      <c r="AJ43" s="22"/>
      <c r="AL43" s="22"/>
      <c r="AO43" s="22"/>
      <c r="AP43" s="22"/>
      <c r="AS43" s="27"/>
      <c r="AT43" s="22"/>
    </row>
    <row r="44" spans="1:51" x14ac:dyDescent="0.2">
      <c r="G44" s="38"/>
      <c r="H44" s="38"/>
      <c r="I44" s="38"/>
      <c r="J44" s="38"/>
      <c r="K44" s="38"/>
      <c r="L44" s="38"/>
      <c r="M44" s="38"/>
      <c r="N44" s="38"/>
      <c r="Z44" s="22"/>
      <c r="AA44" s="38"/>
      <c r="AB44" s="38"/>
      <c r="AC44" s="38"/>
      <c r="AD44" s="38"/>
      <c r="AE44" s="38"/>
      <c r="AF44" s="38"/>
      <c r="AG44" s="38"/>
      <c r="AH44" s="38"/>
      <c r="AJ44" s="22"/>
      <c r="AL44" s="22"/>
      <c r="AO44" s="22"/>
      <c r="AP44" s="22"/>
      <c r="AS44" s="27"/>
    </row>
    <row r="45" spans="1:51" x14ac:dyDescent="0.2">
      <c r="G45" s="38"/>
      <c r="H45" s="38"/>
      <c r="I45" s="38"/>
      <c r="J45" s="38"/>
      <c r="K45" s="38"/>
      <c r="L45" s="38"/>
      <c r="M45" s="38"/>
      <c r="N45" s="38"/>
      <c r="Z45" s="22"/>
      <c r="AA45" s="38"/>
      <c r="AB45" s="38"/>
      <c r="AC45" s="38"/>
      <c r="AD45" s="38"/>
      <c r="AE45" s="38"/>
      <c r="AF45" s="38"/>
      <c r="AG45" s="38"/>
      <c r="AH45" s="38"/>
      <c r="AJ45" s="22"/>
      <c r="AL45" s="22"/>
      <c r="AS45" s="23"/>
    </row>
    <row r="46" spans="1:51" x14ac:dyDescent="0.2">
      <c r="G46" s="38"/>
      <c r="H46" s="38"/>
      <c r="I46" s="38"/>
      <c r="J46" s="38"/>
      <c r="K46" s="38"/>
      <c r="L46" s="38"/>
      <c r="M46" s="38"/>
      <c r="N46" s="38"/>
      <c r="Z46" s="22"/>
      <c r="AA46" s="38"/>
      <c r="AB46" s="38"/>
      <c r="AC46" s="38"/>
      <c r="AD46" s="38"/>
      <c r="AE46" s="38"/>
      <c r="AF46" s="38"/>
      <c r="AG46" s="38"/>
      <c r="AH46" s="38"/>
      <c r="AJ46" s="22"/>
      <c r="AL46" s="22"/>
      <c r="AR46" s="22"/>
      <c r="AS46" s="25"/>
    </row>
    <row r="47" spans="1:51" x14ac:dyDescent="0.2">
      <c r="G47" s="38"/>
      <c r="H47" s="38"/>
      <c r="I47" s="38"/>
      <c r="J47" s="38"/>
      <c r="K47" s="38"/>
      <c r="L47" s="38"/>
      <c r="M47" s="38"/>
      <c r="N47" s="38"/>
      <c r="Z47" s="22"/>
      <c r="AA47" s="38"/>
      <c r="AB47" s="38"/>
      <c r="AC47" s="38"/>
      <c r="AD47" s="38"/>
      <c r="AE47" s="38"/>
      <c r="AF47" s="38"/>
      <c r="AG47" s="38"/>
      <c r="AH47" s="38"/>
      <c r="AJ47" s="22"/>
      <c r="AL47" s="22"/>
      <c r="AS47" s="21"/>
    </row>
    <row r="48" spans="1:51" x14ac:dyDescent="0.2">
      <c r="G48" s="38"/>
      <c r="H48" s="38"/>
      <c r="I48" s="38"/>
      <c r="J48" s="38"/>
      <c r="K48" s="38"/>
      <c r="L48" s="38"/>
      <c r="M48" s="38"/>
      <c r="N48" s="38"/>
      <c r="Z48" s="22"/>
      <c r="AA48" s="38"/>
      <c r="AB48" s="38"/>
      <c r="AC48" s="38"/>
      <c r="AD48" s="38"/>
      <c r="AE48" s="38"/>
      <c r="AF48" s="38"/>
      <c r="AG48" s="38"/>
      <c r="AH48" s="38"/>
      <c r="AJ48" s="22"/>
      <c r="AL48" s="22"/>
      <c r="AS48" s="22"/>
    </row>
    <row r="49" spans="3:51" x14ac:dyDescent="0.2">
      <c r="G49" s="38"/>
      <c r="H49" s="38"/>
      <c r="I49" s="38"/>
      <c r="J49" s="38"/>
      <c r="K49" s="38"/>
      <c r="L49" s="38"/>
      <c r="M49" s="38"/>
      <c r="N49" s="38"/>
      <c r="AA49" s="38"/>
      <c r="AB49" s="38"/>
      <c r="AC49" s="38"/>
      <c r="AD49" s="38"/>
      <c r="AE49" s="38"/>
      <c r="AF49" s="38"/>
      <c r="AG49" s="38"/>
      <c r="AH49" s="38"/>
      <c r="AJ49" s="22"/>
      <c r="AL49" s="22"/>
      <c r="AS49" s="25"/>
    </row>
    <row r="50" spans="3:51" x14ac:dyDescent="0.2">
      <c r="G50" s="38"/>
      <c r="H50" s="38"/>
      <c r="I50" s="38"/>
      <c r="J50" s="38"/>
      <c r="K50" s="38"/>
      <c r="L50" s="38"/>
      <c r="M50" s="38"/>
      <c r="N50" s="38"/>
      <c r="AA50" s="38"/>
      <c r="AB50" s="38"/>
      <c r="AC50" s="38"/>
      <c r="AD50" s="38"/>
      <c r="AE50" s="38"/>
      <c r="AF50" s="38"/>
      <c r="AG50" s="38"/>
      <c r="AH50" s="38"/>
      <c r="AJ50" s="22"/>
    </row>
    <row r="51" spans="3:51" x14ac:dyDescent="0.2">
      <c r="E51" s="30"/>
      <c r="G51" s="38"/>
      <c r="H51" s="38"/>
      <c r="I51" s="38"/>
      <c r="J51" s="38"/>
      <c r="K51" s="38"/>
      <c r="L51" s="38"/>
      <c r="M51" s="38"/>
      <c r="N51" s="38"/>
      <c r="AA51" s="38"/>
      <c r="AB51" s="38"/>
      <c r="AC51" s="38"/>
      <c r="AD51" s="38"/>
      <c r="AE51" s="38"/>
      <c r="AF51" s="38"/>
      <c r="AG51" s="38"/>
      <c r="AH51" s="38"/>
      <c r="AJ51" s="22"/>
    </row>
    <row r="52" spans="3:51" x14ac:dyDescent="0.2">
      <c r="G52" s="38"/>
      <c r="H52" s="38"/>
      <c r="I52" s="38"/>
      <c r="J52" s="38"/>
      <c r="K52" s="38"/>
      <c r="L52" s="38"/>
      <c r="M52" s="38"/>
      <c r="N52" s="38"/>
      <c r="AA52" s="38"/>
      <c r="AB52" s="38"/>
      <c r="AC52" s="38"/>
      <c r="AD52" s="38"/>
      <c r="AE52" s="38"/>
      <c r="AF52" s="38"/>
      <c r="AG52" s="38"/>
      <c r="AH52" s="38"/>
      <c r="AJ52" s="22"/>
    </row>
    <row r="53" spans="3:51" x14ac:dyDescent="0.2">
      <c r="G53" s="38"/>
      <c r="H53" s="38"/>
      <c r="I53" s="38"/>
      <c r="J53" s="38"/>
      <c r="K53" s="38"/>
      <c r="L53" s="38"/>
      <c r="M53" s="38"/>
      <c r="N53" s="38"/>
      <c r="AA53" s="38"/>
      <c r="AB53" s="38"/>
      <c r="AC53" s="38"/>
      <c r="AD53" s="38"/>
      <c r="AE53" s="38"/>
      <c r="AF53" s="38"/>
      <c r="AG53" s="38"/>
      <c r="AH53" s="38"/>
      <c r="AJ53" s="22"/>
      <c r="AS53" s="1" t="s">
        <v>121</v>
      </c>
    </row>
    <row r="54" spans="3:51" x14ac:dyDescent="0.2">
      <c r="G54" s="38"/>
      <c r="H54" s="38"/>
      <c r="I54" s="38"/>
      <c r="J54" s="38"/>
      <c r="K54" s="38"/>
      <c r="L54" s="38"/>
      <c r="M54" s="38"/>
      <c r="N54" s="38"/>
      <c r="AA54" s="38"/>
      <c r="AB54" s="38"/>
      <c r="AC54" s="38"/>
      <c r="AD54" s="38"/>
      <c r="AE54" s="38"/>
      <c r="AF54" s="38"/>
      <c r="AG54" s="38"/>
      <c r="AH54" s="38"/>
      <c r="AJ54" s="22"/>
    </row>
    <row r="55" spans="3:51" s="11" customFormat="1" x14ac:dyDescent="0.2">
      <c r="C55" s="12"/>
      <c r="G55" s="38"/>
      <c r="H55" s="38"/>
      <c r="I55" s="38"/>
      <c r="J55" s="38"/>
      <c r="K55" s="38"/>
      <c r="L55" s="38"/>
      <c r="M55" s="38"/>
      <c r="N55" s="3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8"/>
      <c r="AB55" s="38"/>
      <c r="AC55" s="38"/>
      <c r="AD55" s="38"/>
      <c r="AE55" s="38"/>
      <c r="AF55" s="38"/>
      <c r="AG55" s="38"/>
      <c r="AH55" s="38"/>
      <c r="AI55" s="1"/>
      <c r="AJ55" s="22"/>
      <c r="AK55" s="1"/>
      <c r="AL55" s="1"/>
      <c r="AM55" s="1"/>
      <c r="AN55" s="1"/>
      <c r="AO55" s="1"/>
      <c r="AP55" s="1"/>
      <c r="AQ55" s="1"/>
      <c r="AS55" s="1"/>
      <c r="AT55" s="1"/>
      <c r="AU55" s="1"/>
      <c r="AV55" s="1"/>
      <c r="AW55" s="1"/>
      <c r="AX55" s="1"/>
      <c r="AY55" s="6"/>
    </row>
    <row r="56" spans="3:51" x14ac:dyDescent="0.2">
      <c r="G56" s="38"/>
      <c r="H56" s="38"/>
      <c r="I56" s="38"/>
      <c r="J56" s="38"/>
      <c r="K56" s="38"/>
      <c r="L56" s="38"/>
      <c r="M56" s="38"/>
      <c r="N56" s="38"/>
      <c r="AA56" s="38"/>
      <c r="AB56" s="38"/>
      <c r="AC56" s="38"/>
      <c r="AD56" s="38"/>
      <c r="AE56" s="38"/>
      <c r="AF56" s="38"/>
      <c r="AG56" s="38"/>
      <c r="AH56" s="38"/>
      <c r="AJ56" s="22"/>
    </row>
    <row r="57" spans="3:51" x14ac:dyDescent="0.2">
      <c r="G57" s="38"/>
      <c r="H57" s="38"/>
      <c r="I57" s="38"/>
      <c r="J57" s="38"/>
      <c r="K57" s="38"/>
      <c r="L57" s="38"/>
      <c r="M57" s="38"/>
      <c r="N57" s="38"/>
      <c r="AA57" s="38"/>
      <c r="AB57" s="38"/>
      <c r="AC57" s="38"/>
      <c r="AD57" s="38"/>
      <c r="AE57" s="38"/>
      <c r="AF57" s="38"/>
      <c r="AG57" s="38"/>
      <c r="AH57" s="38"/>
      <c r="AJ57" s="22"/>
    </row>
    <row r="58" spans="3:51" x14ac:dyDescent="0.2">
      <c r="G58" s="38"/>
      <c r="H58" s="38"/>
      <c r="I58" s="38"/>
      <c r="J58" s="38"/>
      <c r="K58" s="38"/>
      <c r="L58" s="38"/>
      <c r="M58" s="38"/>
      <c r="N58" s="38"/>
      <c r="AA58" s="38"/>
      <c r="AB58" s="38"/>
      <c r="AC58" s="38"/>
      <c r="AD58" s="38"/>
      <c r="AE58" s="38"/>
      <c r="AF58" s="38"/>
      <c r="AG58" s="38"/>
      <c r="AH58" s="38"/>
      <c r="AJ58" s="22"/>
    </row>
    <row r="59" spans="3:51" x14ac:dyDescent="0.2">
      <c r="G59" s="38"/>
      <c r="H59" s="38"/>
      <c r="I59" s="38"/>
      <c r="J59" s="38"/>
      <c r="K59" s="38"/>
      <c r="L59" s="38"/>
      <c r="M59" s="38"/>
      <c r="N59" s="38"/>
      <c r="AA59" s="38"/>
      <c r="AB59" s="38"/>
      <c r="AC59" s="38"/>
      <c r="AD59" s="38"/>
      <c r="AE59" s="38"/>
      <c r="AF59" s="38"/>
      <c r="AG59" s="38"/>
      <c r="AH59" s="38"/>
      <c r="AJ59" s="22"/>
    </row>
    <row r="60" spans="3:51" x14ac:dyDescent="0.2">
      <c r="G60" s="38"/>
      <c r="H60" s="38"/>
      <c r="I60" s="38"/>
      <c r="J60" s="38"/>
      <c r="K60" s="38"/>
      <c r="L60" s="38"/>
      <c r="M60" s="38"/>
      <c r="N60" s="38"/>
      <c r="AA60" s="38"/>
      <c r="AB60" s="38"/>
      <c r="AC60" s="38"/>
      <c r="AD60" s="38"/>
      <c r="AE60" s="38"/>
      <c r="AF60" s="38"/>
      <c r="AG60" s="38"/>
      <c r="AH60" s="38"/>
      <c r="AJ60" s="22"/>
    </row>
    <row r="61" spans="3:51" x14ac:dyDescent="0.2">
      <c r="G61" s="38"/>
      <c r="H61" s="38"/>
      <c r="I61" s="38"/>
      <c r="J61" s="38"/>
      <c r="K61" s="38"/>
      <c r="L61" s="38"/>
      <c r="M61" s="38"/>
      <c r="N61" s="38"/>
      <c r="AA61" s="38"/>
      <c r="AB61" s="38"/>
      <c r="AC61" s="38"/>
      <c r="AD61" s="38"/>
      <c r="AE61" s="38"/>
      <c r="AF61" s="38"/>
      <c r="AG61" s="38"/>
      <c r="AH61" s="38"/>
      <c r="AJ61" s="22"/>
    </row>
    <row r="62" spans="3:51" x14ac:dyDescent="0.2">
      <c r="G62" s="38"/>
      <c r="H62" s="38"/>
      <c r="I62" s="38"/>
      <c r="J62" s="38"/>
      <c r="K62" s="38"/>
      <c r="L62" s="38"/>
      <c r="M62" s="38"/>
      <c r="N62" s="38"/>
      <c r="AA62" s="38"/>
      <c r="AB62" s="38"/>
      <c r="AC62" s="38"/>
      <c r="AD62" s="38"/>
      <c r="AE62" s="38"/>
      <c r="AF62" s="38"/>
      <c r="AG62" s="38"/>
      <c r="AH62" s="38"/>
    </row>
    <row r="63" spans="3:51" x14ac:dyDescent="0.2">
      <c r="G63" s="38"/>
      <c r="H63" s="38"/>
      <c r="I63" s="38"/>
      <c r="J63" s="38"/>
      <c r="K63" s="38"/>
      <c r="L63" s="38"/>
      <c r="M63" s="38"/>
      <c r="N63" s="38"/>
      <c r="AA63" s="38"/>
      <c r="AB63" s="38"/>
      <c r="AC63" s="38"/>
      <c r="AD63" s="38"/>
      <c r="AE63" s="38"/>
      <c r="AF63" s="38"/>
      <c r="AG63" s="38"/>
      <c r="AH63" s="38"/>
    </row>
    <row r="64" spans="3:51" x14ac:dyDescent="0.2">
      <c r="G64" s="38"/>
      <c r="H64" s="38"/>
      <c r="I64" s="38"/>
      <c r="J64" s="38"/>
      <c r="K64" s="38"/>
      <c r="L64" s="38"/>
      <c r="M64" s="38"/>
      <c r="N64" s="38"/>
      <c r="AA64" s="38"/>
      <c r="AB64" s="38"/>
      <c r="AC64" s="38"/>
      <c r="AD64" s="38"/>
      <c r="AE64" s="38"/>
      <c r="AF64" s="38"/>
      <c r="AG64" s="38"/>
      <c r="AH64" s="38"/>
    </row>
    <row r="65" spans="7:34" x14ac:dyDescent="0.2">
      <c r="G65" s="38"/>
      <c r="H65" s="38"/>
      <c r="I65" s="38"/>
      <c r="J65" s="38"/>
      <c r="K65" s="38"/>
      <c r="L65" s="38"/>
      <c r="M65" s="38"/>
      <c r="N65" s="38"/>
      <c r="AA65" s="38"/>
      <c r="AB65" s="38"/>
      <c r="AC65" s="38"/>
      <c r="AD65" s="38"/>
      <c r="AE65" s="38"/>
      <c r="AF65" s="38"/>
      <c r="AG65" s="38"/>
      <c r="AH65" s="38"/>
    </row>
  </sheetData>
  <autoFilter ref="A2:AY25" xr:uid="{00000000-0009-0000-0000-000004000000}"/>
  <mergeCells count="12">
    <mergeCell ref="G1:G2"/>
    <mergeCell ref="AA1:AB1"/>
    <mergeCell ref="AF1:AG1"/>
    <mergeCell ref="AI1:AJ1"/>
    <mergeCell ref="AN1:AO1"/>
    <mergeCell ref="A33:F33"/>
    <mergeCell ref="A1:A2"/>
    <mergeCell ref="B1:B2"/>
    <mergeCell ref="C1:C2"/>
    <mergeCell ref="D1:D2"/>
    <mergeCell ref="E1:E2"/>
    <mergeCell ref="F1:F2"/>
  </mergeCells>
  <conditionalFormatting sqref="B3">
    <cfRule type="duplicateValues" dxfId="176" priority="145"/>
    <cfRule type="duplicateValues" dxfId="175" priority="144"/>
    <cfRule type="duplicateValues" dxfId="174" priority="143"/>
    <cfRule type="duplicateValues" dxfId="173" priority="142"/>
    <cfRule type="duplicateValues" dxfId="172" priority="141"/>
    <cfRule type="duplicateValues" dxfId="171" priority="140"/>
    <cfRule type="duplicateValues" dxfId="170" priority="147"/>
    <cfRule type="duplicateValues" dxfId="169" priority="146"/>
    <cfRule type="duplicateValues" dxfId="168" priority="139"/>
  </conditionalFormatting>
  <conditionalFormatting sqref="B4">
    <cfRule type="duplicateValues" dxfId="167" priority="152"/>
    <cfRule type="duplicateValues" dxfId="166" priority="156"/>
    <cfRule type="duplicateValues" dxfId="165" priority="155"/>
    <cfRule type="duplicateValues" dxfId="164" priority="154"/>
    <cfRule type="duplicateValues" dxfId="163" priority="153"/>
    <cfRule type="duplicateValues" dxfId="162" priority="151"/>
    <cfRule type="duplicateValues" dxfId="161" priority="150"/>
    <cfRule type="duplicateValues" dxfId="160" priority="149"/>
    <cfRule type="duplicateValues" dxfId="159" priority="148"/>
  </conditionalFormatting>
  <conditionalFormatting sqref="B5">
    <cfRule type="duplicateValues" dxfId="158" priority="160"/>
    <cfRule type="duplicateValues" dxfId="157" priority="159"/>
    <cfRule type="duplicateValues" dxfId="156" priority="158"/>
    <cfRule type="duplicateValues" dxfId="155" priority="162"/>
    <cfRule type="duplicateValues" dxfId="154" priority="157"/>
    <cfRule type="duplicateValues" dxfId="153" priority="164"/>
    <cfRule type="duplicateValues" dxfId="152" priority="161"/>
    <cfRule type="duplicateValues" dxfId="151" priority="163"/>
    <cfRule type="duplicateValues" dxfId="150" priority="165"/>
  </conditionalFormatting>
  <conditionalFormatting sqref="B6">
    <cfRule type="duplicateValues" dxfId="149" priority="118"/>
    <cfRule type="duplicateValues" dxfId="148" priority="116"/>
    <cfRule type="duplicateValues" dxfId="147" priority="115"/>
    <cfRule type="duplicateValues" dxfId="146" priority="114"/>
    <cfRule type="duplicateValues" dxfId="145" priority="113"/>
    <cfRule type="duplicateValues" dxfId="144" priority="112"/>
    <cfRule type="duplicateValues" dxfId="143" priority="111"/>
    <cfRule type="duplicateValues" dxfId="142" priority="117"/>
    <cfRule type="duplicateValues" dxfId="141" priority="119"/>
  </conditionalFormatting>
  <conditionalFormatting sqref="B7:B9">
    <cfRule type="duplicateValues" dxfId="140" priority="109"/>
    <cfRule type="duplicateValues" dxfId="139" priority="107"/>
    <cfRule type="duplicateValues" dxfId="138" priority="106"/>
    <cfRule type="duplicateValues" dxfId="137" priority="105"/>
    <cfRule type="duplicateValues" dxfId="136" priority="104"/>
    <cfRule type="duplicateValues" dxfId="135" priority="108"/>
    <cfRule type="duplicateValues" dxfId="134" priority="102"/>
    <cfRule type="duplicateValues" dxfId="133" priority="101"/>
    <cfRule type="duplicateValues" dxfId="132" priority="100"/>
    <cfRule type="duplicateValues" dxfId="131" priority="103"/>
  </conditionalFormatting>
  <conditionalFormatting sqref="B10">
    <cfRule type="duplicateValues" dxfId="130" priority="97"/>
    <cfRule type="duplicateValues" dxfId="129" priority="98"/>
    <cfRule type="duplicateValues" dxfId="128" priority="99"/>
    <cfRule type="duplicateValues" dxfId="127" priority="90"/>
    <cfRule type="duplicateValues" dxfId="126" priority="91"/>
    <cfRule type="duplicateValues" dxfId="125" priority="92"/>
    <cfRule type="duplicateValues" dxfId="124" priority="93"/>
    <cfRule type="duplicateValues" dxfId="123" priority="94"/>
    <cfRule type="duplicateValues" dxfId="122" priority="95"/>
    <cfRule type="duplicateValues" dxfId="121" priority="96"/>
  </conditionalFormatting>
  <conditionalFormatting sqref="B11">
    <cfRule type="duplicateValues" dxfId="120" priority="81"/>
    <cfRule type="duplicateValues" dxfId="119" priority="80"/>
    <cfRule type="duplicateValues" dxfId="118" priority="86"/>
    <cfRule type="duplicateValues" dxfId="117" priority="85"/>
    <cfRule type="duplicateValues" dxfId="116" priority="89"/>
    <cfRule type="duplicateValues" dxfId="115" priority="88"/>
    <cfRule type="duplicateValues" dxfId="114" priority="84"/>
    <cfRule type="duplicateValues" dxfId="113" priority="83"/>
    <cfRule type="duplicateValues" dxfId="112" priority="87"/>
    <cfRule type="duplicateValues" dxfId="111" priority="82"/>
  </conditionalFormatting>
  <conditionalFormatting sqref="B12">
    <cfRule type="duplicateValues" dxfId="110" priority="47"/>
    <cfRule type="duplicateValues" dxfId="109" priority="42"/>
    <cfRule type="duplicateValues" dxfId="108" priority="43"/>
    <cfRule type="duplicateValues" dxfId="107" priority="44"/>
    <cfRule type="duplicateValues" dxfId="106" priority="45"/>
    <cfRule type="duplicateValues" dxfId="105" priority="46"/>
    <cfRule type="duplicateValues" dxfId="104" priority="48"/>
    <cfRule type="duplicateValues" dxfId="103" priority="49"/>
    <cfRule type="duplicateValues" dxfId="102" priority="50"/>
    <cfRule type="duplicateValues" dxfId="101" priority="41"/>
  </conditionalFormatting>
  <conditionalFormatting sqref="B13">
    <cfRule type="duplicateValues" dxfId="100" priority="77"/>
    <cfRule type="duplicateValues" dxfId="99" priority="72"/>
    <cfRule type="duplicateValues" dxfId="98" priority="73"/>
    <cfRule type="duplicateValues" dxfId="97" priority="71"/>
    <cfRule type="duplicateValues" dxfId="96" priority="74"/>
    <cfRule type="duplicateValues" dxfId="95" priority="75"/>
    <cfRule type="duplicateValues" dxfId="94" priority="76"/>
    <cfRule type="duplicateValues" dxfId="93" priority="78"/>
    <cfRule type="duplicateValues" dxfId="92" priority="79"/>
    <cfRule type="duplicateValues" dxfId="91" priority="70"/>
  </conditionalFormatting>
  <conditionalFormatting sqref="B14:B15">
    <cfRule type="duplicateValues" dxfId="90" priority="69"/>
    <cfRule type="duplicateValues" dxfId="89" priority="67"/>
    <cfRule type="duplicateValues" dxfId="88" priority="66"/>
    <cfRule type="duplicateValues" dxfId="87" priority="65"/>
    <cfRule type="duplicateValues" dxfId="86" priority="64"/>
    <cfRule type="duplicateValues" dxfId="85" priority="63"/>
    <cfRule type="duplicateValues" dxfId="84" priority="62"/>
    <cfRule type="duplicateValues" dxfId="83" priority="61"/>
    <cfRule type="duplicateValues" dxfId="82" priority="60"/>
    <cfRule type="duplicateValues" dxfId="81" priority="68"/>
  </conditionalFormatting>
  <conditionalFormatting sqref="B16:B25">
    <cfRule type="duplicateValues" dxfId="80" priority="181"/>
    <cfRule type="duplicateValues" dxfId="79" priority="182"/>
    <cfRule type="duplicateValues" dxfId="78" priority="183"/>
    <cfRule type="duplicateValues" dxfId="77" priority="184"/>
    <cfRule type="duplicateValues" dxfId="76" priority="185"/>
    <cfRule type="duplicateValues" dxfId="75" priority="186"/>
    <cfRule type="duplicateValues" dxfId="74" priority="177"/>
    <cfRule type="duplicateValues" dxfId="73" priority="178"/>
    <cfRule type="duplicateValues" dxfId="72" priority="179"/>
    <cfRule type="duplicateValues" dxfId="71" priority="180"/>
  </conditionalFormatting>
  <conditionalFormatting sqref="B26">
    <cfRule type="duplicateValues" dxfId="70" priority="38"/>
    <cfRule type="duplicateValues" dxfId="69" priority="39"/>
    <cfRule type="duplicateValues" dxfId="68" priority="40"/>
    <cfRule type="duplicateValues" dxfId="67" priority="36"/>
    <cfRule type="duplicateValues" dxfId="66" priority="34"/>
    <cfRule type="duplicateValues" dxfId="65" priority="37"/>
    <cfRule type="duplicateValues" dxfId="64" priority="35"/>
    <cfRule type="duplicateValues" dxfId="63" priority="33"/>
    <cfRule type="duplicateValues" dxfId="62" priority="32"/>
    <cfRule type="duplicateValues" dxfId="61" priority="31"/>
  </conditionalFormatting>
  <conditionalFormatting sqref="B27">
    <cfRule type="duplicateValues" dxfId="60" priority="24"/>
    <cfRule type="duplicateValues" dxfId="59" priority="23"/>
    <cfRule type="duplicateValues" dxfId="58" priority="30"/>
    <cfRule type="duplicateValues" dxfId="57" priority="29"/>
    <cfRule type="duplicateValues" dxfId="56" priority="28"/>
    <cfRule type="duplicateValues" dxfId="55" priority="27"/>
    <cfRule type="duplicateValues" dxfId="54" priority="26"/>
    <cfRule type="duplicateValues" dxfId="53" priority="25"/>
    <cfRule type="duplicateValues" dxfId="52" priority="22"/>
    <cfRule type="duplicateValues" dxfId="51" priority="21"/>
  </conditionalFormatting>
  <conditionalFormatting sqref="B28">
    <cfRule type="duplicateValues" dxfId="50" priority="15"/>
    <cfRule type="duplicateValues" dxfId="49" priority="14"/>
    <cfRule type="duplicateValues" dxfId="48" priority="13"/>
    <cfRule type="duplicateValues" dxfId="47" priority="11"/>
    <cfRule type="duplicateValues" dxfId="46" priority="12"/>
    <cfRule type="duplicateValues" dxfId="45" priority="20"/>
    <cfRule type="duplicateValues" dxfId="44" priority="17"/>
    <cfRule type="duplicateValues" dxfId="43" priority="19"/>
    <cfRule type="duplicateValues" dxfId="42" priority="18"/>
    <cfRule type="duplicateValues" dxfId="41" priority="16"/>
  </conditionalFormatting>
  <conditionalFormatting sqref="B29">
    <cfRule type="duplicateValues" dxfId="40" priority="5"/>
    <cfRule type="duplicateValues" dxfId="39" priority="4"/>
    <cfRule type="duplicateValues" dxfId="38" priority="3"/>
    <cfRule type="duplicateValues" dxfId="37" priority="10"/>
    <cfRule type="duplicateValues" dxfId="36" priority="9"/>
    <cfRule type="duplicateValues" dxfId="35" priority="1"/>
    <cfRule type="duplicateValues" dxfId="34" priority="8"/>
    <cfRule type="duplicateValues" dxfId="33" priority="6"/>
    <cfRule type="duplicateValues" dxfId="32" priority="7"/>
    <cfRule type="duplicateValues" dxfId="31" priority="2"/>
  </conditionalFormatting>
  <conditionalFormatting sqref="B30:B31">
    <cfRule type="duplicateValues" dxfId="30" priority="120"/>
    <cfRule type="duplicateValues" dxfId="29" priority="121"/>
    <cfRule type="duplicateValues" dxfId="28" priority="122"/>
    <cfRule type="duplicateValues" dxfId="27" priority="123"/>
    <cfRule type="duplicateValues" dxfId="26" priority="124"/>
    <cfRule type="duplicateValues" dxfId="25" priority="125"/>
    <cfRule type="duplicateValues" dxfId="24" priority="126"/>
    <cfRule type="duplicateValues" dxfId="23" priority="127"/>
    <cfRule type="duplicateValues" dxfId="22" priority="128"/>
  </conditionalFormatting>
  <conditionalFormatting sqref="B30:B1048576 B1 B3:B6">
    <cfRule type="duplicateValues" dxfId="21" priority="110"/>
  </conditionalFormatting>
  <conditionalFormatting sqref="B32">
    <cfRule type="duplicateValues" dxfId="20" priority="129"/>
    <cfRule type="duplicateValues" dxfId="19" priority="130"/>
    <cfRule type="duplicateValues" dxfId="18" priority="131"/>
    <cfRule type="duplicateValues" dxfId="17" priority="132"/>
    <cfRule type="duplicateValues" dxfId="16" priority="133"/>
    <cfRule type="duplicateValues" dxfId="15" priority="134"/>
    <cfRule type="duplicateValues" dxfId="14" priority="135"/>
    <cfRule type="duplicateValues" dxfId="13" priority="136"/>
    <cfRule type="duplicateValues" dxfId="12" priority="137"/>
    <cfRule type="duplicateValues" dxfId="11" priority="138"/>
  </conditionalFormatting>
  <conditionalFormatting sqref="B33:B1048576">
    <cfRule type="duplicateValues" dxfId="10" priority="166"/>
  </conditionalFormatting>
  <conditionalFormatting sqref="B35:B1048576">
    <cfRule type="duplicateValues" dxfId="9" priority="167"/>
    <cfRule type="duplicateValues" dxfId="8" priority="168"/>
    <cfRule type="duplicateValues" dxfId="7" priority="169"/>
    <cfRule type="duplicateValues" dxfId="6" priority="170"/>
    <cfRule type="duplicateValues" dxfId="5" priority="172"/>
    <cfRule type="duplicateValues" dxfId="4" priority="173"/>
    <cfRule type="duplicateValues" dxfId="3" priority="174"/>
    <cfRule type="duplicateValues" dxfId="2" priority="175"/>
    <cfRule type="duplicateValues" dxfId="1" priority="176"/>
    <cfRule type="duplicateValues" dxfId="0" priority="171"/>
  </conditionalFormatting>
  <pageMargins left="0.7" right="0.7" top="0.75" bottom="0.75" header="0.3" footer="0.3"/>
  <pageSetup paperSize="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" id="{C303E8DE-CEA7-407C-8DB7-7DD2C6D5E56E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AY7:AY9</xm:sqref>
        </x14:conditionalFormatting>
        <x14:conditionalFormatting xmlns:xm="http://schemas.microsoft.com/office/excel/2006/main">
          <x14:cfRule type="iconSet" priority="55" id="{66F7814D-938B-426C-909C-AE8269E49A14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AY10</xm:sqref>
        </x14:conditionalFormatting>
        <x14:conditionalFormatting xmlns:xm="http://schemas.microsoft.com/office/excel/2006/main">
          <x14:cfRule type="iconSet" priority="54" id="{CEAA986A-2F49-4E17-A667-9C63A0D0BD15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AY11</xm:sqref>
        </x14:conditionalFormatting>
        <x14:conditionalFormatting xmlns:xm="http://schemas.microsoft.com/office/excel/2006/main">
          <x14:cfRule type="iconSet" priority="53" id="{F54A524E-66FC-45D2-BCD0-E7A77E2392AD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AY12</xm:sqref>
        </x14:conditionalFormatting>
        <x14:conditionalFormatting xmlns:xm="http://schemas.microsoft.com/office/excel/2006/main">
          <x14:cfRule type="iconSet" priority="52" id="{A42FE599-F14A-4C86-B11E-838F9CBB1B62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AY13</xm:sqref>
        </x14:conditionalFormatting>
        <x14:conditionalFormatting xmlns:xm="http://schemas.microsoft.com/office/excel/2006/main">
          <x14:cfRule type="iconSet" priority="187" id="{A251DD3F-4626-4D46-A57F-F9E2A27CC43B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AY16:AY28</xm:sqref>
        </x14:conditionalFormatting>
        <x14:conditionalFormatting xmlns:xm="http://schemas.microsoft.com/office/excel/2006/main">
          <x14:cfRule type="iconSet" priority="51" id="{83ECF8B0-102D-4C61-8111-EFC49BE5C785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AY29 AY14:AY15</xm:sqref>
        </x14:conditionalFormatting>
        <x14:conditionalFormatting xmlns:xm="http://schemas.microsoft.com/office/excel/2006/main">
          <x14:cfRule type="iconSet" priority="57" id="{214D7FBB-4313-4780-BD86-76AFBE6D53FC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AY30 AY3:AY6</xm:sqref>
        </x14:conditionalFormatting>
        <x14:conditionalFormatting xmlns:xm="http://schemas.microsoft.com/office/excel/2006/main">
          <x14:cfRule type="iconSet" priority="58" id="{06EC8B14-6937-4BC1-BAE9-FBD8F1C13312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AY31</xm:sqref>
        </x14:conditionalFormatting>
        <x14:conditionalFormatting xmlns:xm="http://schemas.microsoft.com/office/excel/2006/main">
          <x14:cfRule type="iconSet" priority="59" id="{0A5C1C8C-C32B-4928-B189-8FF5AAEE2A0E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iangles" iconId="0"/>
              <x14:cfIcon iconSet="3Triangles" iconId="2"/>
              <x14:cfIcon iconSet="3Triangles" iconId="0"/>
            </x14:iconSet>
          </x14:cfRule>
          <xm:sqref>AY32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SCB-CP</vt:lpstr>
      <vt:lpstr>SUMMARY-CP</vt:lpstr>
      <vt:lpstr>SCB ACTUAL</vt:lpstr>
      <vt:lpstr>SCB PLAN</vt:lpstr>
      <vt:lpstr>TS</vt:lpstr>
      <vt:lpstr>NPK</vt:lpstr>
      <vt:lpstr>Welding</vt:lpstr>
      <vt:lpstr>Machining</vt:lpstr>
      <vt:lpstr>Assembly</vt:lpstr>
      <vt:lpstr>Plan Vs Actual</vt:lpstr>
    </vt:vector>
  </TitlesOfParts>
  <Company>SMS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Paikaray, Pramod (SMS India Pvt. Ltd.)</dc:creator>
  <cp:lastModifiedBy>Bibhudendra Nayak</cp:lastModifiedBy>
  <cp:lastPrinted>2025-04-23T10:15:37Z</cp:lastPrinted>
  <dcterms:created xsi:type="dcterms:W3CDTF">2020-09-08T06:45:05Z</dcterms:created>
  <dcterms:modified xsi:type="dcterms:W3CDTF">2026-07-28T06:09:46Z</dcterms:modified>
</cp:coreProperties>
</file>