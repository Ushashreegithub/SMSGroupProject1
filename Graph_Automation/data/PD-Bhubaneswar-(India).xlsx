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DieseArbeitsmappe" hidePivotFieldList="1"/>
  <mc:AlternateContent xmlns:mc="http://schemas.openxmlformats.org/markup-compatibility/2006">
    <mc:Choice Requires="x15">
      <x15ac:absPath xmlns:x15ac="http://schemas.microsoft.com/office/spreadsheetml/2010/11/ac" url="C:\Users\nayak\Downloads\"/>
    </mc:Choice>
  </mc:AlternateContent>
  <xr:revisionPtr revIDLastSave="0" documentId="13_ncr:1_{69321DBF-A0B3-4CC1-A1B8-A4B5C7B8D42B}" xr6:coauthVersionLast="47" xr6:coauthVersionMax="47" xr10:uidLastSave="{00000000-0000-0000-0000-000000000000}"/>
  <bookViews>
    <workbookView xWindow="-108" yWindow="-108" windowWidth="23256" windowHeight="12456" tabRatio="744" activeTab="7" xr2:uid="{00000000-000D-0000-FFFF-FFFF00000000}"/>
  </bookViews>
  <sheets>
    <sheet name="Tab. Welding" sheetId="71" r:id="rId1"/>
    <sheet name="Tab. Machining" sheetId="6" r:id="rId2"/>
    <sheet name="Tab. Assembly" sheetId="67" r:id="rId3"/>
    <sheet name="Service Machining" sheetId="121" r:id="rId4"/>
    <sheet name="Tab. RR" sheetId="118" r:id="rId5"/>
    <sheet name="Tab. Plating" sheetId="119" r:id="rId6"/>
    <sheet name="Tab. Production" sheetId="69" r:id="rId7"/>
    <sheet name="Charts" sheetId="100" r:id="rId8"/>
    <sheet name="Sheet1" sheetId="126" r:id="rId9"/>
    <sheet name="Orders not planned" sheetId="113" state="hidden" r:id="rId10"/>
    <sheet name="LOI not planned" sheetId="114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2000_0630100000_Umsatzerlöse" localSheetId="4">#REF!</definedName>
    <definedName name="_2000_0630100000_Umsatzerlöse">#REF!</definedName>
    <definedName name="_2000_0630160000_Konsortialanteile_Umsatzerlöse__UPL__verb." localSheetId="4">#REF!</definedName>
    <definedName name="_2000_0630160000_Konsortialanteile_Umsatzerlöse__UPL__verb.">#REF!</definedName>
    <definedName name="_2000_0630160100_Untervergabe_an_verb._Unternehmen__UPL" localSheetId="4">#REF!</definedName>
    <definedName name="_2000_0630160100_Untervergabe_an_verb._Unternehmen__UPL">#REF!</definedName>
    <definedName name="_2000_0630180000_Umsatzerlöse__UPL" localSheetId="4">#REF!</definedName>
    <definedName name="_2000_0630180000_Umsatzerlöse__UPL">#REF!</definedName>
    <definedName name="_2000_0630440000_Auftragskosten__UKV" localSheetId="4">#REF!</definedName>
    <definedName name="_2000_0630440000_Auftragskosten__UKV">#REF!</definedName>
    <definedName name="_2000_0630440010_Auftragskosten_des_Umsatzes__UKV" localSheetId="4">#REF!</definedName>
    <definedName name="_2000_0630440010_Auftragskosten_des_Umsatzes__UKV">#REF!</definedName>
    <definedName name="_2000_0630440020_Konsortialanteile_in_Auftragskosten__UKV" localSheetId="4">#REF!</definedName>
    <definedName name="_2000_0630440020_Konsortialanteile_in_Auftragskosten__UKV">#REF!</definedName>
    <definedName name="_2000_0630440021_Untervergabe_an_verb._Unternehmen__UKV" localSheetId="4">#REF!</definedName>
    <definedName name="_2000_0630440021_Untervergabe_an_verb._Unternehmen__UKV">#REF!</definedName>
    <definedName name="_2000_0630440030_Auftragskosten_des_Umsatzes_für_ZG__UKV" localSheetId="4">#REF!</definedName>
    <definedName name="_2000_0630440030_Auftragskosten_des_Umsatzes_für_ZG__UKV">#REF!</definedName>
    <definedName name="_2000_0630450000_Auflösung_Rückst._Nachlaufkosten__UKV" localSheetId="4">#REF!</definedName>
    <definedName name="_2000_0630450000_Auflösung_Rückst._Nachlaufkosten__UKV">#REF!</definedName>
    <definedName name="_2000_0630460000_Deckungsabweichung__UKV" localSheetId="4">#REF!</definedName>
    <definedName name="_2000_0630460000_Deckungsabweichung__UKV">#REF!</definedName>
    <definedName name="_2000_0630470000_Garantiekosten__UKV" localSheetId="4">#REF!</definedName>
    <definedName name="_2000_0630470000_Garantiekosten__UKV">#REF!</definedName>
    <definedName name="_2000_0630480000_Forschung_und_Entwicklung__UKV" localSheetId="4">#REF!</definedName>
    <definedName name="_2000_0630480000_Forschung_und_Entwicklung__UKV">#REF!</definedName>
    <definedName name="_2000_0630490000_Vertriebskosten__UKV" localSheetId="4">#REF!</definedName>
    <definedName name="_2000_0630490000_Vertriebskosten__UKV">#REF!</definedName>
    <definedName name="_2000_0630500000_Sonstige_betriebliche_Erträge" localSheetId="4">#REF!</definedName>
    <definedName name="_2000_0630500000_Sonstige_betriebliche_Erträge">#REF!</definedName>
    <definedName name="_2000_0630500010_Ertr.aus_dem_Abgang_von_Gegenst._des_AV" localSheetId="4">#REF!</definedName>
    <definedName name="_2000_0630500010_Ertr.aus_dem_Abgang_von_Gegenst._des_AV">#REF!</definedName>
    <definedName name="_2000_0630500022_Ertr.aus_der_Zuschreib._zu_Gegenst._d._Finanz" localSheetId="4">#REF!</definedName>
    <definedName name="_2000_0630500022_Ertr.aus_der_Zuschreib._zu_Gegenst._d._Finanz">#REF!</definedName>
    <definedName name="_2000_0630500023_Ertr.aus_der_Zuschreib._Goodwill" localSheetId="4">#REF!</definedName>
    <definedName name="_2000_0630500023_Ertr.aus_der_Zuschreib._Goodwill">#REF!</definedName>
    <definedName name="_2000_0630500030_Ertr.aus_der_Aufl.von_Rückstellungen" localSheetId="4">#REF!</definedName>
    <definedName name="_2000_0630500030_Ertr.aus_der_Aufl.von_Rückstellungen">#REF!</definedName>
    <definedName name="_2000_0630500040_Ertr.aus_der_Aufl.des_Sonderp.mit_Rueckl.Ant." localSheetId="4">#REF!</definedName>
    <definedName name="_2000_0630500040_Ertr.aus_der_Aufl.des_Sonderp.mit_Rueckl.Ant.">#REF!</definedName>
    <definedName name="_2000_0630500300_Ertr.aus_dem_Abgang_von_Gegenst._des_AV__UKV" localSheetId="4">#REF!</definedName>
    <definedName name="_2000_0630500300_Ertr.aus_dem_Abgang_von_Gegenst._des_AV__UKV">#REF!</definedName>
    <definedName name="_2000_0630500305_Ertr.aus_dem_Abgang_von_Finanzanlagever._UKV" localSheetId="4">#REF!</definedName>
    <definedName name="_2000_0630500305_Ertr.aus_dem_Abgang_von_Finanzanlagever._UKV">#REF!</definedName>
    <definedName name="_2000_0630500310_Ertr.aus_Wertaufholung_Anlageverm.__UKV" localSheetId="4">#REF!</definedName>
    <definedName name="_2000_0630500310_Ertr.aus_Wertaufholung_Anlageverm.__UKV">#REF!</definedName>
    <definedName name="_2000_0630500320_Garantierückstellung_Auflösung__UKV" localSheetId="4">#REF!</definedName>
    <definedName name="_2000_0630500320_Garantierückstellung_Auflösung__UKV">#REF!</definedName>
    <definedName name="_2000_0630500330_Auflösung_sonstige_Rückstellung__UKV" localSheetId="4">#REF!</definedName>
    <definedName name="_2000_0630500330_Auflösung_sonstige_Rückstellung__UKV">#REF!</definedName>
    <definedName name="_2000_0630500335_Auflösung_poc_Rückstellung__UKV" localSheetId="4">#REF!</definedName>
    <definedName name="_2000_0630500335_Auflösung_poc_Rückstellung__UKV">#REF!</definedName>
    <definedName name="_2000_0630500340_Kursgewinne_Ford._und_Verb._UKV" localSheetId="4">#REF!</definedName>
    <definedName name="_2000_0630500340_Kursgewinne_Ford._und_Verb._UKV">#REF!</definedName>
    <definedName name="_2000_0630500350_WB_auf_Forderungen_Auflösung__UKV" localSheetId="4">#REF!</definedName>
    <definedName name="_2000_0630500350_WB_auf_Forderungen_Auflösung__UKV">#REF!</definedName>
    <definedName name="_2000_0630500360_Ertr._aus_Änderungen_Bewertungsmeth.__UKV" localSheetId="4">#REF!</definedName>
    <definedName name="_2000_0630500360_Ertr._aus_Änderungen_Bewertungsmeth.__UKV">#REF!</definedName>
    <definedName name="_2000_0630500370_Management_fees_Ertrag__UKV" localSheetId="4">#REF!</definedName>
    <definedName name="_2000_0630500370_Management_fees_Ertrag__UKV">#REF!</definedName>
    <definedName name="_2000_0630500380_Ertr._aus_Umlagen__UKV" localSheetId="4">#REF!</definedName>
    <definedName name="_2000_0630500380_Ertr._aus_Umlagen__UKV">#REF!</definedName>
    <definedName name="_2000_0630500390_Umlagen_KöSt.__Solz__UKV" localSheetId="4">#REF!</definedName>
    <definedName name="_2000_0630500390_Umlagen_KöSt.__Solz__UKV">#REF!</definedName>
    <definedName name="_2000_0630500400_Umlagen_Gewerbeertragsteuer__UKV" localSheetId="4">#REF!</definedName>
    <definedName name="_2000_0630500400_Umlagen_Gewerbeertragsteuer__UKV">#REF!</definedName>
    <definedName name="_2000_0630500410_Umlagen_im_Ausland_gez._Steuern__UKV" localSheetId="4">#REF!</definedName>
    <definedName name="_2000_0630500410_Umlagen_im_Ausland_gez._Steuern__UKV">#REF!</definedName>
    <definedName name="_2000_0630500420_sonst._Erträge_aus_Steuerumlagen__UKV" localSheetId="4">#REF!</definedName>
    <definedName name="_2000_0630500420_sonst._Erträge_aus_Steuerumlagen__UKV">#REF!</definedName>
    <definedName name="_2000_0630500430_Erh._Zuschüsse__Verlustausgl.__UKV" localSheetId="4">#REF!</definedName>
    <definedName name="_2000_0630500430_Erh._Zuschüsse__Verlustausgl.__UKV">#REF!</definedName>
    <definedName name="_2000_0630500440_Ertr._aus_WP_und_Ausleihungen_FAV__UKV" localSheetId="4">#REF!</definedName>
    <definedName name="_2000_0630500440_Ertr._aus_WP_und_Ausleihungen_FAV__UKV">#REF!</definedName>
    <definedName name="_2000_0630500450_Ertr._aus_Ford._LieLei__Wechseldiskont__UKV" localSheetId="4">#REF!</definedName>
    <definedName name="_2000_0630500450_Ertr._aus_Ford._LieLei__Wechseldiskont__UKV">#REF!</definedName>
    <definedName name="_2000_0630500460_Ertr._aus_Steuerzinsen__UKV" localSheetId="4">#REF!</definedName>
    <definedName name="_2000_0630500460_Ertr._aus_Steuerzinsen__UKV">#REF!</definedName>
    <definedName name="_2000_0630500470_kalkulatorische_Zinsen__UKV" localSheetId="4">#REF!</definedName>
    <definedName name="_2000_0630500470_kalkulatorische_Zinsen__UKV">#REF!</definedName>
    <definedName name="_2000_0630500480_übriger_neutraler_Ertrag__UKV" localSheetId="4">#REF!</definedName>
    <definedName name="_2000_0630500480_übriger_neutraler_Ertrag__UKV">#REF!</definedName>
    <definedName name="_2000_0630510000_Erträge_Umrechnung_währungsbedingt" localSheetId="4">#REF!</definedName>
    <definedName name="_2000_0630510000_Erträge_Umrechnung_währungsbedingt">#REF!</definedName>
    <definedName name="_2000_0630520000_Erträge_Umrechnung_zeitl._oder_sachlich" localSheetId="4">#REF!</definedName>
    <definedName name="_2000_0630520000_Erträge_Umrechnung_zeitl._oder_sachlich">#REF!</definedName>
    <definedName name="_2000_0630610070_Veränderung_Rückst._f._drohende_Verluste" localSheetId="4">#REF!</definedName>
    <definedName name="_2000_0630610070_Veränderung_Rückst._f._drohende_Verluste">#REF!</definedName>
    <definedName name="_2000_0630610100_UMRECHNUNGSDIFFER._AUFWANDSKONSOLIDIERUNG" localSheetId="4">#REF!</definedName>
    <definedName name="_2000_0630610100_UMRECHNUNGSDIFFER._AUFWANDSKONSOLIDIERUNG">#REF!</definedName>
    <definedName name="_2000_0630811000_AfA_auf_immaterielle_Verm.gegenst._planmäßig" localSheetId="4">#REF!</definedName>
    <definedName name="_2000_0630811000_AfA_auf_immaterielle_Verm.gegenst._planmäßig">#REF!</definedName>
    <definedName name="_2000_0630821000_AfA_auf_Sachanlagen__planmäßig" localSheetId="4">#REF!</definedName>
    <definedName name="_2000_0630821000_AfA_auf_Sachanlagen__planmäßig">#REF!</definedName>
    <definedName name="_2000_0630890000_AfA_auf_imm._VG_und_Sachanlagen__für_UPL" localSheetId="4">#REF!</definedName>
    <definedName name="_2000_0630890000_AfA_auf_imm._VG_und_Sachanlagen__für_UPL">#REF!</definedName>
    <definedName name="_2000_0630900000_Sonstige_betriebliche_Aufwendungen" localSheetId="4">#REF!</definedName>
    <definedName name="_2000_0630900000_Sonstige_betriebliche_Aufwendungen">#REF!</definedName>
    <definedName name="_2000_0630910000_Sonstige_betriebliche_Aufwendungen" localSheetId="4">#REF!</definedName>
    <definedName name="_2000_0630910000_Sonstige_betriebliche_Aufwendungen">#REF!</definedName>
    <definedName name="_2000_0630910600_Einstellung_in_Sonderposten_mit_Rücklageant." localSheetId="4">#REF!</definedName>
    <definedName name="_2000_0630910600_Einstellung_in_Sonderposten_mit_Rücklageant.">#REF!</definedName>
    <definedName name="_2000_0630910700_Verluste_aus_dem_Abgang_von_Gegenständen_AV." localSheetId="4">#REF!</definedName>
    <definedName name="_2000_0630910700_Verluste_aus_dem_Abgang_von_Gegenständen_AV.">#REF!</definedName>
    <definedName name="_2000_0630911900_Zuf.zu_Rückst._die_n.anderen_GUV_Pos.zugeordn" localSheetId="4">#REF!</definedName>
    <definedName name="_2000_0630911900_Zuf.zu_Rückst._die_n.anderen_GUV_Pos.zugeordn">#REF!</definedName>
    <definedName name="_2000_0630919900_Sonstige_Aufwendungen" localSheetId="4">#REF!</definedName>
    <definedName name="_2000_0630919900_Sonstige_Aufwendungen">#REF!</definedName>
    <definedName name="_2000_0630920000_AUFWEND._UMRECHNUNG_WÄHRUNGSBEDINGT" localSheetId="4">#REF!</definedName>
    <definedName name="_2000_0630920000_AUFWEND._UMRECHNUNG_WÄHRUNGSBEDINGT">#REF!</definedName>
    <definedName name="_2000_0630930000_Aufwendungen_Umrechnung_GuV" localSheetId="4">#REF!</definedName>
    <definedName name="_2000_0630930000_Aufwendungen_Umrechnung_GuV">#REF!</definedName>
    <definedName name="_2000_0630950100_Verluste_aus_Abgang_Gegenständen_AV__UKV" localSheetId="4">#REF!</definedName>
    <definedName name="_2000_0630950100_Verluste_aus_Abgang_Gegenständen_AV__UKV">#REF!</definedName>
    <definedName name="_2000_0630950110_Forderungsausfälle__UKV" localSheetId="4">#REF!</definedName>
    <definedName name="_2000_0630950110_Forderungsausfälle__UKV">#REF!</definedName>
    <definedName name="_2000_0630950120_WB_auf_Forderungen_Bildung__UKV" localSheetId="4">#REF!</definedName>
    <definedName name="_2000_0630950120_WB_auf_Forderungen_Bildung__UKV">#REF!</definedName>
    <definedName name="_2000_0630950130_Veränderung_PWB_Ford.__UKV" localSheetId="4">#REF!</definedName>
    <definedName name="_2000_0630950130_Veränderung_PWB_Ford.__UKV">#REF!</definedName>
    <definedName name="_2000_0630950140_Aufwendungen_aus_Umlagen__UKV" localSheetId="4">#REF!</definedName>
    <definedName name="_2000_0630950140_Aufwendungen_aus_Umlagen__UKV">#REF!</definedName>
    <definedName name="_2000_0630950150_Management_fees_Aufwand__UKV" localSheetId="4">#REF!</definedName>
    <definedName name="_2000_0630950150_Management_fees_Aufwand__UKV">#REF!</definedName>
    <definedName name="_2000_0630950160_Aufw._für_Zuschüsse__Verlustausgleich__UKV" localSheetId="4">#REF!</definedName>
    <definedName name="_2000_0630950160_Aufw._für_Zuschüsse__Verlustausgleich__UKV">#REF!</definedName>
    <definedName name="_2000_0630950170_Aufw._Änderungen_Bewertungsmeth.__UKV" localSheetId="4">#REF!</definedName>
    <definedName name="_2000_0630950170_Aufw._Änderungen_Bewertungsmeth.__UKV">#REF!</definedName>
    <definedName name="_2000_0630950180_Aufw._Umstrukturierungen__Abfind._UKV" localSheetId="4">#REF!</definedName>
    <definedName name="_2000_0630950180_Aufw._Umstrukturierungen__Abfind._UKV">#REF!</definedName>
    <definedName name="_2000_0630950190_nicht_zuordenbare_Aufw._Personal__UKV" localSheetId="4">#REF!</definedName>
    <definedName name="_2000_0630950190_nicht_zuordenbare_Aufw._Personal__UKV">#REF!</definedName>
    <definedName name="_2000_0630950200_Bildung_Garantierückstellungen__UKV" localSheetId="4">#REF!</definedName>
    <definedName name="_2000_0630950200_Bildung_Garantierückstellungen__UKV">#REF!</definedName>
    <definedName name="_2000_0630950210_Bildung_sonstige_Rückstellung__UKV" localSheetId="4">#REF!</definedName>
    <definedName name="_2000_0630950210_Bildung_sonstige_Rückstellung__UKV">#REF!</definedName>
    <definedName name="_2000_0630950215_Bildung_poc_Rückstellung__UKV" localSheetId="4">#REF!</definedName>
    <definedName name="_2000_0630950215_Bildung_poc_Rückstellung__UKV">#REF!</definedName>
    <definedName name="_2000_0630950220_Kursverluste_Ford._und_Verb.__UKV" localSheetId="4">#REF!</definedName>
    <definedName name="_2000_0630950220_Kursverluste_Ford._und_Verb.__UKV">#REF!</definedName>
    <definedName name="_2000_0630950230_Rechts___Prüfungs__u._Beratungskost.__UKV" localSheetId="4">#REF!</definedName>
    <definedName name="_2000_0630950230_Rechts___Prüfungs__u._Beratungskost.__UKV">#REF!</definedName>
    <definedName name="_2000_0630950240_Finanzierungskosten__Kosten_Geldverk.__UKV" localSheetId="4">#REF!</definedName>
    <definedName name="_2000_0630950240_Finanzierungskosten__Kosten_Geldverk.__UKV">#REF!</definedName>
    <definedName name="_2000_0630950250_Aufwendungen_aus_Steuerzinsen__UKV" localSheetId="4">#REF!</definedName>
    <definedName name="_2000_0630950250_Aufwendungen_aus_Steuerzinsen__UKV">#REF!</definedName>
    <definedName name="_2000_0630950260_Zinsanteil_Leasingaufwendungen__UKV" localSheetId="4">#REF!</definedName>
    <definedName name="_2000_0630950260_Zinsanteil_Leasingaufwendungen__UKV">#REF!</definedName>
    <definedName name="_2000_0630950270_übriger_neutraler_Aufwand__UKV" localSheetId="4">#REF!</definedName>
    <definedName name="_2000_0630950270_übriger_neutraler_Aufwand__UKV">#REF!</definedName>
    <definedName name="_2000_0630950280_Abschreibungen_Ausleihungen__UKV" localSheetId="4">#REF!</definedName>
    <definedName name="_2000_0630950280_Abschreibungen_Ausleihungen__UKV">#REF!</definedName>
    <definedName name="_2000_0630950290_kalkulatorische_Abschreibungen__UKV" localSheetId="4">#REF!</definedName>
    <definedName name="_2000_0630950290_kalkulatorische_Abschreibungen__UKV">#REF!</definedName>
    <definedName name="_2000_0630950300_bilanz._Abschreibungen_SAV__UKV" localSheetId="4">#REF!</definedName>
    <definedName name="_2000_0630950300_bilanz._Abschreibungen_SAV__UKV">#REF!</definedName>
    <definedName name="_2000_0630950310_bilanz._Abschreibungen_immat.__UKV" localSheetId="4">#REF!</definedName>
    <definedName name="_2000_0630950310_bilanz._Abschreibungen_immat.__UKV">#REF!</definedName>
    <definedName name="_2000_0640000000_Beteiligungsergebnis" localSheetId="4">#REF!</definedName>
    <definedName name="_2000_0640000000_Beteiligungsergebnis">#REF!</definedName>
    <definedName name="_2000_0640101000_Erträge_aus_E_A_V___konsol._Unternehmen" localSheetId="4">#REF!</definedName>
    <definedName name="_2000_0640101000_Erträge_aus_E_A_V___konsol._Unternehmen">#REF!</definedName>
    <definedName name="_2000_0640200000_Erträge_aus_Beteiligungen" localSheetId="4">#REF!</definedName>
    <definedName name="_2000_0640200000_Erträge_aus_Beteiligungen">#REF!</definedName>
    <definedName name="_2000_0640203000_Erträge_aus_Beteiligungen_sonstige_Gesellsch." localSheetId="4">#REF!</definedName>
    <definedName name="_2000_0640203000_Erträge_aus_Beteiligungen_sonstige_Gesellsch.">#REF!</definedName>
    <definedName name="_2000_0640211110_Erträge_abgeführt___KÖSt_Gutschrift__9_16" localSheetId="4">#REF!</definedName>
    <definedName name="_2000_0640211110_Erträge_abgeführt___KÖSt_Gutschrift__9_16">#REF!</definedName>
    <definedName name="_2000_0640211120_Erträge_abgeführt_incl._KapErtragSt_o._KÖSt_G" localSheetId="4">#REF!</definedName>
    <definedName name="_2000_0640211120_Erträge_abgeführt_incl._KapErtragSt_o._KÖSt_G">#REF!</definedName>
    <definedName name="_2000_0640212320_Ertr.nicht_abgef._incl._KapErtragSt_o._KÖSt_G" localSheetId="4">#REF!</definedName>
    <definedName name="_2000_0640212320_Ertr.nicht_abgef._incl._KapErtragSt_o._KÖSt_G">#REF!</definedName>
    <definedName name="_2000_0640230000_Wertaufholung_auf_Beteiligungen__UKV" localSheetId="4">#REF!</definedName>
    <definedName name="_2000_0640230000_Wertaufholung_auf_Beteiligungen__UKV">#REF!</definedName>
    <definedName name="_2000_0640301000_Aufw._aus_Verlustübernahmen_konsol._Untern." localSheetId="4">#REF!</definedName>
    <definedName name="_2000_0640301000_Aufw._aus_Verlustübernahmen_konsol._Untern.">#REF!</definedName>
    <definedName name="_2000_0640302000_Aufw._aus_Verlustübernahmen_n._k._Unternehmen" localSheetId="4">#REF!</definedName>
    <definedName name="_2000_0640302000_Aufw._aus_Verlustübernahmen_n._k._Unternehmen">#REF!</definedName>
    <definedName name="_2000_0640303000_Aufw._aus_Verlustübernahmen_sst._Gesellschaft" localSheetId="4">#REF!</definedName>
    <definedName name="_2000_0640303000_Aufw._aus_Verlustübernahmen_sst._Gesellschaft">#REF!</definedName>
    <definedName name="_2000_0641000000_Saldo_WB_auf_Vorräte__UKV" localSheetId="4">#REF!</definedName>
    <definedName name="_2000_0641000000_Saldo_WB_auf_Vorräte__UKV">#REF!</definedName>
    <definedName name="_2000_0641000100_Bildung_WB_auf_Vorräte__UKV" localSheetId="4">#REF!</definedName>
    <definedName name="_2000_0641000100_Bildung_WB_auf_Vorräte__UKV">#REF!</definedName>
    <definedName name="_2000_0641000200_Auflösung_WB_auf_Vorräte__UKV" localSheetId="4">#REF!</definedName>
    <definedName name="_2000_0641000200_Auflösung_WB_auf_Vorräte__UKV">#REF!</definedName>
    <definedName name="_2000_0642001000_Abschreibungen_auf_Finanzanlagen" localSheetId="4">#REF!</definedName>
    <definedName name="_2000_0642001000_Abschreibungen_auf_Finanzanlagen">#REF!</definedName>
    <definedName name="_2000_0642001100_AfA_auf_Finanzanlagen_außerplanm._TeilwertAfA" localSheetId="4">#REF!</definedName>
    <definedName name="_2000_0642001100_AfA_auf_Finanzanlagen_außerplanm._TeilwertAfA">#REF!</definedName>
    <definedName name="_2000_0642001400_AfA_auf_Anteile_verb._Unternehmen__UKV" localSheetId="4">#REF!</definedName>
    <definedName name="_2000_0642001400_AfA_auf_Anteile_verb._Unternehmen__UKV">#REF!</definedName>
    <definedName name="_2000_0642001500_AfA_auf_Beteiligungen__UKV" localSheetId="4">#REF!</definedName>
    <definedName name="_2000_0642001500_AfA_auf_Beteiligungen__UKV">#REF!</definedName>
    <definedName name="_2000_0642002100_AfA_auf_Wertpapiere_außerplanm._TeilwertAfA" localSheetId="4">#REF!</definedName>
    <definedName name="_2000_0642002100_AfA_auf_Wertpapiere_außerplanm._TeilwertAfA">#REF!</definedName>
    <definedName name="_2000_0643000000_Zinsergebnis" localSheetId="4">#REF!</definedName>
    <definedName name="_2000_0643000000_Zinsergebnis">#REF!</definedName>
    <definedName name="_2000_0643100000_Zinserträge" localSheetId="4">#REF!</definedName>
    <definedName name="_2000_0643100000_Zinserträge">#REF!</definedName>
    <definedName name="_2000_0643110000_Erträge_aus_WP_des_UV__UKV" localSheetId="4">#REF!</definedName>
    <definedName name="_2000_0643110000_Erträge_aus_WP_des_UV__UKV">#REF!</definedName>
    <definedName name="_2000_0643120000_Erträge_aus_Ford._verb._Unt._Finanz__UKV" localSheetId="4">#REF!</definedName>
    <definedName name="_2000_0643120000_Erträge_aus_Ford._verb._Unt._Finanz__UKV">#REF!</definedName>
    <definedName name="_2000_0643130000_Erträge_aus_Bankguthaben__UKV" localSheetId="4">#REF!</definedName>
    <definedName name="_2000_0643130000_Erträge_aus_Bankguthaben__UKV">#REF!</definedName>
    <definedName name="_2000_0643140000_Wertaufholung_WP_des_UV__SWAPS__UKV" localSheetId="4">#REF!</definedName>
    <definedName name="_2000_0643140000_Wertaufholung_WP_des_UV__SWAPS__UKV">#REF!</definedName>
    <definedName name="_2000_0643150000_Zins__Diskontertrag__UKV" localSheetId="4">#REF!</definedName>
    <definedName name="_2000_0643150000_Zins__Diskontertrag__UKV">#REF!</definedName>
    <definedName name="_2000_0643200000_Zinsen_und_ähnliche_Aufwendungen" localSheetId="4">#REF!</definedName>
    <definedName name="_2000_0643200000_Zinsen_und_ähnliche_Aufwendungen">#REF!</definedName>
    <definedName name="_2000_0643207000_Zinsaufwendungen_für_Pensionsrückstellungen" localSheetId="4">#REF!</definedName>
    <definedName name="_2000_0643207000_Zinsaufwendungen_für_Pensionsrückstellungen">#REF!</definedName>
    <definedName name="_2000_0643208000_ZINSAUFWENDUNGEN_UMRECHNUNG_AUFWANDSKONS." localSheetId="4">#REF!</definedName>
    <definedName name="_2000_0643208000_ZINSAUFWENDUNGEN_UMRECHNUNG_AUFWANDSKONS.">#REF!</definedName>
    <definedName name="_2000_0643220000_Zinsaufwand_Verb._Kreditinstitute__UKV" localSheetId="4">#REF!</definedName>
    <definedName name="_2000_0643220000_Zinsaufwand_Verb._Kreditinstitute__UKV">#REF!</definedName>
    <definedName name="_2000_0643230000_Zinsaufwand_Verb._verb._Unt._Finanz.__UKV" localSheetId="4">#REF!</definedName>
    <definedName name="_2000_0643230000_Zinsaufwand_Verb._verb._Unt._Finanz.__UKV">#REF!</definedName>
    <definedName name="_2000_0643240000_Zinsaufwand_für_Finanzgeschäfte__UKV" localSheetId="4">#REF!</definedName>
    <definedName name="_2000_0643240000_Zinsaufwand_für_Finanzgeschäfte__UKV">#REF!</definedName>
    <definedName name="_2000_0643250000_Zinsaufwand_aus_passivem_RAP__UKV" localSheetId="4">#REF!</definedName>
    <definedName name="_2000_0643250000_Zinsaufwand_aus_passivem_RAP__UKV">#REF!</definedName>
    <definedName name="_2000_0643260000_Zins__Diskontaufwand__UKV" localSheetId="4">#REF!</definedName>
    <definedName name="_2000_0643260000_Zins__Diskontaufwand__UKV">#REF!</definedName>
    <definedName name="_2000_0644000000_Verwaltungskosten__UKV" localSheetId="4">#REF!</definedName>
    <definedName name="_2000_0644000000_Verwaltungskosten__UKV">#REF!</definedName>
    <definedName name="_2000_0646000100_Zuführung_Verlustrückstellungen" localSheetId="4">#REF!</definedName>
    <definedName name="_2000_0646000100_Zuführung_Verlustrückstellungen">#REF!</definedName>
    <definedName name="_2000_0646000200_Auflösung_Verlustrückstellungen" localSheetId="4">#REF!</definedName>
    <definedName name="_2000_0646000200_Auflösung_Verlustrückstellungen">#REF!</definedName>
    <definedName name="_2000_0647000000_nicht_verrechnete_Engineeringkosten__UKV" localSheetId="4">#REF!</definedName>
    <definedName name="_2000_0647000000_nicht_verrechnete_Engineeringkosten__UKV">#REF!</definedName>
    <definedName name="_2000_0648000000_sonstige_Periodenkosten__UKV" localSheetId="4">#REF!</definedName>
    <definedName name="_2000_0648000000_sonstige_Periodenkosten__UKV">#REF!</definedName>
    <definedName name="_2000_0648001000_SONSTIGE_PERIODENKOSTEN_VERRECHNUNGSSET_UKV" localSheetId="4">#REF!</definedName>
    <definedName name="_2000_0648001000_SONSTIGE_PERIODENKOSTEN_VERRECHNUNGSSET_UKV">#REF!</definedName>
    <definedName name="_2000_0649000000_Ergebnis_der_gewöhnlichen__Geschäftstätigkeit" localSheetId="4">#REF!</definedName>
    <definedName name="_2000_0649000000_Ergebnis_der_gewöhnlichen__Geschäftstätigkeit">#REF!</definedName>
    <definedName name="_2000_0660000000_Steuern_vom_Einkommen_und_Ertrag" localSheetId="4">#REF!</definedName>
    <definedName name="_2000_0660000000_Steuern_vom_Einkommen_und_Ertrag">#REF!</definedName>
    <definedName name="_2000_0660001000_Körperschaftsteuer" localSheetId="4">#REF!</definedName>
    <definedName name="_2000_0660001000_Körperschaftsteuer">#REF!</definedName>
    <definedName name="_2000_0660001100_KSt__Originärer_Aufwand_des_lfd._Jahres" localSheetId="4">#REF!</definedName>
    <definedName name="_2000_0660001100_KSt__Originärer_Aufwand_des_lfd._Jahres">#REF!</definedName>
    <definedName name="_2000_0660001200_KSt__Nachz._Erstatt._Vorjahre_Originäre_KSt" localSheetId="4">#REF!</definedName>
    <definedName name="_2000_0660001200_KSt__Nachz._Erstatt._Vorjahre_Originäre_KSt">#REF!</definedName>
    <definedName name="_2000_0660001300_KSt___Umlagen_Organschaft_lfd.Jahr_Vorjahre" localSheetId="4">#REF!</definedName>
    <definedName name="_2000_0660001300_KSt___Umlagen_Organschaft_lfd.Jahr_Vorjahre">#REF!</definedName>
    <definedName name="_2000_0660002000_Gewerbeertragsteuer" localSheetId="4">#REF!</definedName>
    <definedName name="_2000_0660002000_Gewerbeertragsteuer">#REF!</definedName>
    <definedName name="_2000_0660002100_GewErtragSt_Originärer_Aufwand_lfd._Jahr" localSheetId="4">#REF!</definedName>
    <definedName name="_2000_0660002100_GewErtragSt_Originärer_Aufwand_lfd._Jahr">#REF!</definedName>
    <definedName name="_2000_0660002200_GewErtragSt_Nachz._Erst.f.Vorjahre_Originär" localSheetId="4">#REF!</definedName>
    <definedName name="_2000_0660002200_GewErtragSt_Nachz._Erst.f.Vorjahre_Originär">#REF!</definedName>
    <definedName name="_2000_0660003000_Im_Ausland_gezahlte_Ertragsteuern" localSheetId="4">#REF!</definedName>
    <definedName name="_2000_0660003000_Im_Ausland_gezahlte_Ertragsteuern">#REF!</definedName>
    <definedName name="_2000_0660003100_ausl._Ertragsteuern_Originärer_Aufw._lfd.Jahr" localSheetId="4">#REF!</definedName>
    <definedName name="_2000_0660003100_ausl._Ertragsteuern_Originärer_Aufw._lfd.Jahr">#REF!</definedName>
    <definedName name="_2000_0660003200_ausl._Ertragst._Nachz.__Erstatt.Vorjahre_orig" localSheetId="4">#REF!</definedName>
    <definedName name="_2000_0660003200_ausl._Ertragst._Nachz.__Erstatt.Vorjahre_orig">#REF!</definedName>
    <definedName name="_2000_0660004000_Sonstige" localSheetId="4">#REF!</definedName>
    <definedName name="_2000_0660004000_Sonstige">#REF!</definedName>
    <definedName name="_2000_0660004100_Sonstige_Ertragsteuern_laufendes_Jahr" localSheetId="4">#REF!</definedName>
    <definedName name="_2000_0660004100_Sonstige_Ertragsteuern_laufendes_Jahr">#REF!</definedName>
    <definedName name="_2000_0660004200_Sonstige_Ertragsteuern_Nachz._Erst._Vorj." localSheetId="4">#REF!</definedName>
    <definedName name="_2000_0660004200_Sonstige_Ertragsteuern_Nachz._Erst._Vorj.">#REF!</definedName>
    <definedName name="_2000_0660008000_Latente_Steuern" localSheetId="4">#REF!</definedName>
    <definedName name="_2000_0660008000_Latente_Steuern">#REF!</definedName>
    <definedName name="_2000_0660008100_Zuführung_Rückstellungen_latente_Steuern" localSheetId="4">#REF!</definedName>
    <definedName name="_2000_0660008100_Zuführung_Rückstellungen_latente_Steuern">#REF!</definedName>
    <definedName name="_2000_0660008200_Inanspr._Aufl._Rückstellung_latente_St." localSheetId="4">#REF!</definedName>
    <definedName name="_2000_0660008200_Inanspr._Aufl._Rückstellung_latente_St.">#REF!</definedName>
    <definedName name="_2000_0660009000_Steuern_vom_Einkommen_und_Ertrag__UPL" localSheetId="4">#REF!</definedName>
    <definedName name="_2000_0660009000_Steuern_vom_Einkommen_und_Ertrag__UPL">#REF!</definedName>
    <definedName name="_2000_0660200000_Jahresüberschuss_Jahresfehlbetrag" localSheetId="4">#REF!</definedName>
    <definedName name="_2000_0660200000_Jahresüberschuss_Jahresfehlbetrag">#REF!</definedName>
    <definedName name="_2000_0664000000_Betriebsergebnis_I" localSheetId="4">#REF!</definedName>
    <definedName name="_2000_0664000000_Betriebsergebnis_I">#REF!</definedName>
    <definedName name="_2000_0665000000_Betriebsergebnis_II" localSheetId="4">#REF!</definedName>
    <definedName name="_2000_0665000000_Betriebsergebnis_II">#REF!</definedName>
    <definedName name="_M">[1]Eingaben!$A$18</definedName>
    <definedName name="_Man10" localSheetId="4">#REF!</definedName>
    <definedName name="_Man10">#REF!</definedName>
    <definedName name="a" hidden="1">{#N/A,#N/A,FALSE,"AESTR_K"}</definedName>
    <definedName name="A_GJ">[2]Header!$D$12</definedName>
    <definedName name="aaa" hidden="1">{#N/A,#N/A,FALSE,"AESTR_K"}</definedName>
    <definedName name="Arbeitsstunden" localSheetId="4">#REF!</definedName>
    <definedName name="Arbeitsstunden">#REF!</definedName>
    <definedName name="Aufzeichnung1" localSheetId="4">#REF!</definedName>
    <definedName name="Aufzeichnung1">#REF!</definedName>
    <definedName name="Aufzeichnung2" localSheetId="4">#REF!</definedName>
    <definedName name="Aufzeichnung2">#REF!</definedName>
    <definedName name="Aufzeichnung3" localSheetId="4">#REF!</definedName>
    <definedName name="Aufzeichnung3">#REF!</definedName>
    <definedName name="Aufzeichnung4" localSheetId="4">#REF!</definedName>
    <definedName name="Aufzeichnung4">#REF!</definedName>
    <definedName name="b" hidden="1">{#N/A,#N/A,FALSE,"AESTR_K"}</definedName>
    <definedName name="Boveleth" hidden="1">{#N/A,#N/A,FALSE,"AESTR_K"}</definedName>
    <definedName name="DATA1" localSheetId="4">#REF!</definedName>
    <definedName name="DATA1">#REF!</definedName>
    <definedName name="DATA10" localSheetId="4">#REF!</definedName>
    <definedName name="DATA10">#REF!</definedName>
    <definedName name="DATA11" localSheetId="4">#REF!</definedName>
    <definedName name="DATA11">#REF!</definedName>
    <definedName name="DATA12" localSheetId="4">#REF!</definedName>
    <definedName name="DATA12">#REF!</definedName>
    <definedName name="DATA13" localSheetId="4">#REF!</definedName>
    <definedName name="DATA13">#REF!</definedName>
    <definedName name="DATA14" localSheetId="4">#REF!</definedName>
    <definedName name="DATA14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 localSheetId="4">#REF!</definedName>
    <definedName name="DATA19">#REF!</definedName>
    <definedName name="DATA2" localSheetId="4">#REF!</definedName>
    <definedName name="DATA2">#REF!</definedName>
    <definedName name="DATA20" localSheetId="4">#REF!</definedName>
    <definedName name="DATA20">#REF!</definedName>
    <definedName name="DATA21" localSheetId="4">#REF!</definedName>
    <definedName name="DATA21">#REF!</definedName>
    <definedName name="DATA22" localSheetId="4">#REF!</definedName>
    <definedName name="DATA22">#REF!</definedName>
    <definedName name="DATA23" localSheetId="4">#REF!</definedName>
    <definedName name="DATA23">#REF!</definedName>
    <definedName name="DATA24" localSheetId="4">#REF!</definedName>
    <definedName name="DATA24">#REF!</definedName>
    <definedName name="DATA25" localSheetId="4">#REF!</definedName>
    <definedName name="DATA25">#REF!</definedName>
    <definedName name="DATA26" localSheetId="4">#REF!</definedName>
    <definedName name="DATA26">#REF!</definedName>
    <definedName name="DATA27" localSheetId="4">#REF!</definedName>
    <definedName name="DATA27">#REF!</definedName>
    <definedName name="DATA28" localSheetId="4">#REF!</definedName>
    <definedName name="DATA28">#REF!</definedName>
    <definedName name="DATA29" localSheetId="4">#REF!</definedName>
    <definedName name="DATA29">#REF!</definedName>
    <definedName name="DATA3" localSheetId="4">#REF!</definedName>
    <definedName name="DATA3">#REF!</definedName>
    <definedName name="DATA30" localSheetId="4">#REF!</definedName>
    <definedName name="DATA30">#REF!</definedName>
    <definedName name="DATA31" localSheetId="4">#REF!</definedName>
    <definedName name="DATA31">#REF!</definedName>
    <definedName name="DATA32" localSheetId="4">#REF!</definedName>
    <definedName name="DATA32">#REF!</definedName>
    <definedName name="DATA33" localSheetId="4">#REF!</definedName>
    <definedName name="DATA33">#REF!</definedName>
    <definedName name="DATA34" localSheetId="4">#REF!</definedName>
    <definedName name="DATA34">#REF!</definedName>
    <definedName name="DATA35" localSheetId="4">#REF!</definedName>
    <definedName name="DATA35">#REF!</definedName>
    <definedName name="DATA36" localSheetId="4">#REF!</definedName>
    <definedName name="DATA36">#REF!</definedName>
    <definedName name="DATA37" localSheetId="4">#REF!</definedName>
    <definedName name="DATA37">#REF!</definedName>
    <definedName name="DATA38" localSheetId="4">#REF!</definedName>
    <definedName name="DATA38">#REF!</definedName>
    <definedName name="DATA39" localSheetId="4">#REF!</definedName>
    <definedName name="DATA39">#REF!</definedName>
    <definedName name="DATA4" localSheetId="4">#REF!</definedName>
    <definedName name="DATA4">#REF!</definedName>
    <definedName name="DATA40" localSheetId="4">#REF!</definedName>
    <definedName name="DATA40">#REF!</definedName>
    <definedName name="DATA41" localSheetId="4">#REF!</definedName>
    <definedName name="DATA41">#REF!</definedName>
    <definedName name="DATA42" localSheetId="4">#REF!</definedName>
    <definedName name="DATA42">#REF!</definedName>
    <definedName name="DATA43" localSheetId="4">#REF!</definedName>
    <definedName name="DATA43">#REF!</definedName>
    <definedName name="DATA44" localSheetId="4">#REF!</definedName>
    <definedName name="DATA44">#REF!</definedName>
    <definedName name="DATA45" localSheetId="4">#REF!</definedName>
    <definedName name="DATA45">#REF!</definedName>
    <definedName name="DATA46" localSheetId="4">#REF!</definedName>
    <definedName name="DATA46">#REF!</definedName>
    <definedName name="DATA47" localSheetId="4">#REF!</definedName>
    <definedName name="DATA47">#REF!</definedName>
    <definedName name="DATA48" localSheetId="4">#REF!</definedName>
    <definedName name="DATA48">#REF!</definedName>
    <definedName name="DATA49" localSheetId="4">#REF!</definedName>
    <definedName name="DATA49">#REF!</definedName>
    <definedName name="DATA5" localSheetId="4">#REF!</definedName>
    <definedName name="DATA5">#REF!</definedName>
    <definedName name="DATA50" localSheetId="4">#REF!</definedName>
    <definedName name="DATA50">#REF!</definedName>
    <definedName name="DATA51" localSheetId="4">#REF!</definedName>
    <definedName name="DATA51">#REF!</definedName>
    <definedName name="DATA52" localSheetId="4">#REF!</definedName>
    <definedName name="DATA52">#REF!</definedName>
    <definedName name="DATA53" localSheetId="4">#REF!</definedName>
    <definedName name="DATA53">#REF!</definedName>
    <definedName name="DATA54" localSheetId="4">#REF!</definedName>
    <definedName name="DATA54">#REF!</definedName>
    <definedName name="DATA55" localSheetId="4">#REF!</definedName>
    <definedName name="DATA55">#REF!</definedName>
    <definedName name="DATA56" localSheetId="4">#REF!</definedName>
    <definedName name="DATA56">#REF!</definedName>
    <definedName name="DATA57" localSheetId="4">#REF!</definedName>
    <definedName name="DATA57">#REF!</definedName>
    <definedName name="DATA6" localSheetId="4">#REF!</definedName>
    <definedName name="DATA6">#REF!</definedName>
    <definedName name="DATA7" localSheetId="4">#REF!</definedName>
    <definedName name="DATA7">#REF!</definedName>
    <definedName name="DATA8" localSheetId="4">#REF!</definedName>
    <definedName name="DATA8">#REF!</definedName>
    <definedName name="DATA9" localSheetId="4">#REF!</definedName>
    <definedName name="DATA9">#REF!</definedName>
    <definedName name="_xlnm.Database" localSheetId="4">#REF!</definedName>
    <definedName name="_xlnm.Database">#REF!</definedName>
    <definedName name="dd" localSheetId="4">'[3]AB TAC'!#REF!</definedName>
    <definedName name="dd">'[3]AB TAC'!#REF!</definedName>
    <definedName name="doof" hidden="1">{#N/A,#N/A,FALSE,"AESTR_K"}</definedName>
    <definedName name="dor_2" localSheetId="4">#REF!</definedName>
    <definedName name="dor_2">#REF!</definedName>
    <definedName name="dor_3" localSheetId="4">#REF!</definedName>
    <definedName name="dor_3">#REF!</definedName>
    <definedName name="doris_5" localSheetId="4">#REF!</definedName>
    <definedName name="doris_5">#REF!</definedName>
    <definedName name="doris_6" localSheetId="4">#REF!</definedName>
    <definedName name="doris_6">#REF!</definedName>
    <definedName name="doris_7" localSheetId="4">#REF!</definedName>
    <definedName name="doris_7">#REF!</definedName>
    <definedName name="Drucken">[0]!Drucken</definedName>
    <definedName name="Durchschnitt1" localSheetId="4">#REF!</definedName>
    <definedName name="Durchschnitt1">#REF!</definedName>
    <definedName name="Durchschnitt2" localSheetId="4">#REF!</definedName>
    <definedName name="Durchschnitt2">#REF!</definedName>
    <definedName name="eva_3" localSheetId="4">#REF!</definedName>
    <definedName name="eva_3">#REF!</definedName>
    <definedName name="ist" hidden="1">{#N/A,#N/A,FALSE,"AESTR_K"}</definedName>
    <definedName name="Krankenstand" localSheetId="4">#REF!</definedName>
    <definedName name="Krankenstand">#REF!</definedName>
    <definedName name="MA" localSheetId="4">#REF!</definedName>
    <definedName name="MA">#REF!</definedName>
    <definedName name="man_1" localSheetId="4">#REF!</definedName>
    <definedName name="man_1">#REF!</definedName>
    <definedName name="man_2" localSheetId="4">#REF!</definedName>
    <definedName name="man_2">#REF!</definedName>
    <definedName name="Man_20" localSheetId="4">#REF!</definedName>
    <definedName name="Man_20">#REF!</definedName>
    <definedName name="Man_21" localSheetId="4">#REF!</definedName>
    <definedName name="Man_21">#REF!</definedName>
    <definedName name="Man_22" localSheetId="4">#REF!</definedName>
    <definedName name="Man_22">#REF!</definedName>
    <definedName name="man_4" localSheetId="4">#REF!</definedName>
    <definedName name="man_4">#REF!</definedName>
    <definedName name="mann_1" localSheetId="4">#REF!</definedName>
    <definedName name="mann_1">#REF!</definedName>
    <definedName name="manni_6" localSheetId="4">#REF!</definedName>
    <definedName name="manni_6">#REF!</definedName>
    <definedName name="manni_7" localSheetId="4">#REF!</definedName>
    <definedName name="manni_7">#REF!</definedName>
    <definedName name="mm">[4]Header!$C$19</definedName>
    <definedName name="MN">[1]VDMA!$H$5</definedName>
    <definedName name="Monat">[2]Header!$D$7</definedName>
    <definedName name="monika" hidden="1">{#N/A,#N/A,FALSE,"AESTR_K"}</definedName>
    <definedName name="nn">[4]Header!$C$19</definedName>
    <definedName name="NUMMER">[1]START!$E$8:$H$19</definedName>
    <definedName name="P_GJ">[2]Header!$D$14</definedName>
    <definedName name="Peter" hidden="1">{#N/A,#N/A,FALSE,"AESTR_K"}</definedName>
    <definedName name="_xlnm.Print_Area" localSheetId="7">Charts!$A$1:$AH$73</definedName>
    <definedName name="_xlnm.Print_Area" localSheetId="2">'Tab. Assembly'!$A$1:$G$20</definedName>
    <definedName name="_xlnm.Print_Area" localSheetId="1">'Tab. Machining'!$A$1:$I$20</definedName>
    <definedName name="_xlnm.Print_Area" localSheetId="6">'Tab. Production'!$A$1:$G$20</definedName>
    <definedName name="_xlnm.Print_Area" localSheetId="4">'Tab. RR'!$A$1:$M$21</definedName>
    <definedName name="_xlnm.Print_Area" localSheetId="0">'Tab. Welding'!$A$1:$G$20</definedName>
    <definedName name="Quartal">[2]Header!$D$9</definedName>
    <definedName name="sms" hidden="1">{#N/A,#N/A,FALSE,"AESTR_K"}</definedName>
    <definedName name="Stahl">[5]START!$A$11</definedName>
    <definedName name="t" hidden="1">{#N/A,#N/A,FALSE,"AESTR_K"}</definedName>
    <definedName name="tech.Kapa.ohne.Korrektur" localSheetId="4">#REF!</definedName>
    <definedName name="tech.Kapa.ohne.Korrektur">#REF!</definedName>
    <definedName name="test" hidden="1">{#N/A,#N/A,FALSE,"AESTR_K"}</definedName>
    <definedName name="TEST1" localSheetId="4">#REF!</definedName>
    <definedName name="TEST1">#REF!</definedName>
    <definedName name="TEST10" localSheetId="4">#REF!</definedName>
    <definedName name="TEST10">#REF!</definedName>
    <definedName name="TEST11" localSheetId="4">#REF!</definedName>
    <definedName name="TEST11">#REF!</definedName>
    <definedName name="TEST12" localSheetId="4">#REF!</definedName>
    <definedName name="TEST12">#REF!</definedName>
    <definedName name="TEST13" localSheetId="4">#REF!</definedName>
    <definedName name="TEST13">#REF!</definedName>
    <definedName name="TEST14" localSheetId="4">#REF!</definedName>
    <definedName name="TEST14">#REF!</definedName>
    <definedName name="TEST15" localSheetId="4">#REF!</definedName>
    <definedName name="TEST15">#REF!</definedName>
    <definedName name="TEST16" localSheetId="4">#REF!</definedName>
    <definedName name="TEST16">#REF!</definedName>
    <definedName name="TEST17" localSheetId="4">#REF!</definedName>
    <definedName name="TEST17">#REF!</definedName>
    <definedName name="TEST18" localSheetId="4">#REF!</definedName>
    <definedName name="TEST18">#REF!</definedName>
    <definedName name="TEST19" localSheetId="4">#REF!</definedName>
    <definedName name="TEST19">#REF!</definedName>
    <definedName name="TEST2" localSheetId="4">#REF!</definedName>
    <definedName name="TEST2">#REF!</definedName>
    <definedName name="TEST20" localSheetId="4">#REF!</definedName>
    <definedName name="TEST20">#REF!</definedName>
    <definedName name="TEST21" localSheetId="4">#REF!</definedName>
    <definedName name="TEST21">#REF!</definedName>
    <definedName name="TEST22" localSheetId="4">#REF!</definedName>
    <definedName name="TEST22">#REF!</definedName>
    <definedName name="TEST23" localSheetId="4">#REF!</definedName>
    <definedName name="TEST23">#REF!</definedName>
    <definedName name="TEST24" localSheetId="4">#REF!</definedName>
    <definedName name="TEST24">#REF!</definedName>
    <definedName name="TEST25" localSheetId="4">#REF!</definedName>
    <definedName name="TEST25">#REF!</definedName>
    <definedName name="TEST26" localSheetId="4">#REF!</definedName>
    <definedName name="TEST26">#REF!</definedName>
    <definedName name="TEST27" localSheetId="4">#REF!</definedName>
    <definedName name="TEST27">#REF!</definedName>
    <definedName name="TEST28" localSheetId="4">#REF!</definedName>
    <definedName name="TEST28">#REF!</definedName>
    <definedName name="TEST29" localSheetId="4">#REF!</definedName>
    <definedName name="TEST29">#REF!</definedName>
    <definedName name="TEST3" localSheetId="4">#REF!</definedName>
    <definedName name="TEST3">#REF!</definedName>
    <definedName name="TEST30" localSheetId="4">#REF!</definedName>
    <definedName name="TEST30">#REF!</definedName>
    <definedName name="TEST31" localSheetId="4">#REF!</definedName>
    <definedName name="TEST31">#REF!</definedName>
    <definedName name="TEST32" localSheetId="4">#REF!</definedName>
    <definedName name="TEST32">#REF!</definedName>
    <definedName name="TEST33" localSheetId="4">#REF!</definedName>
    <definedName name="TEST33">#REF!</definedName>
    <definedName name="TEST34" localSheetId="4">#REF!</definedName>
    <definedName name="TEST34">#REF!</definedName>
    <definedName name="TEST35" localSheetId="4">#REF!</definedName>
    <definedName name="TEST35">#REF!</definedName>
    <definedName name="TEST36" localSheetId="4">#REF!</definedName>
    <definedName name="TEST36">#REF!</definedName>
    <definedName name="TEST37" localSheetId="4">#REF!</definedName>
    <definedName name="TEST37">#REF!</definedName>
    <definedName name="TEST38" localSheetId="4">#REF!</definedName>
    <definedName name="TEST38">#REF!</definedName>
    <definedName name="TEST39" localSheetId="4">#REF!</definedName>
    <definedName name="TEST39">#REF!</definedName>
    <definedName name="TEST4" localSheetId="4">#REF!</definedName>
    <definedName name="TEST4">#REF!</definedName>
    <definedName name="TEST40" localSheetId="4">#REF!</definedName>
    <definedName name="TEST40">#REF!</definedName>
    <definedName name="TEST41" localSheetId="4">#REF!</definedName>
    <definedName name="TEST41">#REF!</definedName>
    <definedName name="TEST42" localSheetId="4">#REF!</definedName>
    <definedName name="TEST42">#REF!</definedName>
    <definedName name="TEST43" localSheetId="4">#REF!</definedName>
    <definedName name="TEST43">#REF!</definedName>
    <definedName name="TEST44" localSheetId="4">#REF!</definedName>
    <definedName name="TEST44">#REF!</definedName>
    <definedName name="TEST45" localSheetId="4">#REF!</definedName>
    <definedName name="TEST45">#REF!</definedName>
    <definedName name="TEST46" localSheetId="4">#REF!</definedName>
    <definedName name="TEST46">#REF!</definedName>
    <definedName name="TEST47" localSheetId="4">#REF!</definedName>
    <definedName name="TEST47">#REF!</definedName>
    <definedName name="TEST48" localSheetId="4">#REF!</definedName>
    <definedName name="TEST48">#REF!</definedName>
    <definedName name="TEST49" localSheetId="4">#REF!</definedName>
    <definedName name="TEST49">#REF!</definedName>
    <definedName name="TEST5" localSheetId="4">#REF!</definedName>
    <definedName name="TEST5">#REF!</definedName>
    <definedName name="TEST50" localSheetId="4">#REF!</definedName>
    <definedName name="TEST50">#REF!</definedName>
    <definedName name="TEST51" localSheetId="4">#REF!</definedName>
    <definedName name="TEST51">#REF!</definedName>
    <definedName name="TEST52" localSheetId="4">#REF!</definedName>
    <definedName name="TEST52">#REF!</definedName>
    <definedName name="TEST53" localSheetId="4">#REF!</definedName>
    <definedName name="TEST53">#REF!</definedName>
    <definedName name="TEST54" localSheetId="4">#REF!</definedName>
    <definedName name="TEST54">#REF!</definedName>
    <definedName name="TEST55" localSheetId="4">#REF!</definedName>
    <definedName name="TEST55">#REF!</definedName>
    <definedName name="TEST56" localSheetId="4">#REF!</definedName>
    <definedName name="TEST56">#REF!</definedName>
    <definedName name="TEST6" localSheetId="4">#REF!</definedName>
    <definedName name="TEST6">#REF!</definedName>
    <definedName name="TEST7" localSheetId="4">#REF!</definedName>
    <definedName name="TEST7">#REF!</definedName>
    <definedName name="TEST8" localSheetId="4">#REF!</definedName>
    <definedName name="TEST8">#REF!</definedName>
    <definedName name="TEST9" localSheetId="4">#REF!</definedName>
    <definedName name="TEST9">#REF!</definedName>
    <definedName name="TESTHKEY" localSheetId="4">#REF!</definedName>
    <definedName name="TESTHKEY">#REF!</definedName>
    <definedName name="TESTKEYS" localSheetId="4">#REF!</definedName>
    <definedName name="TESTKEYS">#REF!</definedName>
    <definedName name="TESTVKEY" localSheetId="4">#REF!</definedName>
    <definedName name="TESTVKEY">#REF!</definedName>
    <definedName name="Theo.Kapa." localSheetId="4">#REF!</definedName>
    <definedName name="Theo.Kapa.">#REF!</definedName>
    <definedName name="tt" hidden="1">{#N/A,#N/A,FALSE,"AESTR_K"}</definedName>
    <definedName name="ttt" hidden="1">{#N/A,#N/A,FALSE,"AESTR_K"}</definedName>
    <definedName name="V_GJ">[2]Header!$D$13</definedName>
    <definedName name="VD">[2]Header!$C$19</definedName>
    <definedName name="VS_GJ">[2]Header!$D$15</definedName>
    <definedName name="VzuP">[2]Header!$D$16</definedName>
    <definedName name="wrn.Business." hidden="1">{#N/A,#N/A,FALSE,"AESTR_K"}</definedName>
    <definedName name="x" hidden="1">{#N/A,#N/A,FALSE,"AESTR_K"}</definedName>
    <definedName name="xMonate" localSheetId="4">#REF!</definedName>
    <definedName name="xMonate">#REF!</definedName>
    <definedName name="xxx">[6]Header!$D$9</definedName>
  </definedNames>
  <calcPr calcId="191029"/>
  <customWorkbookViews>
    <customWorkbookView name="Reinhard Schiller - Persönliche Ansicht" guid="{9DBBBA8E-6A9B-4823-B2B8-E1FEDF2D81C4}" mergeInterval="0" personalView="1" maximized="1" windowWidth="1711" windowHeight="1007" tabRatio="918" activeSheetId="5"/>
    <customWorkbookView name="meer1rhoenrognt - Persönliche Ansicht" guid="{EFEDAD1F-C16C-4D99-BCD0-F7F14475BECA}" mergeInterval="0" personalView="1" maximized="1" windowWidth="1596" windowHeight="986" tabRatio="945" activeSheetId="4"/>
    <customWorkbookView name="strasrol - Persönliche Ansicht" guid="{39D96DF0-E547-4D3E-A875-25AB047037FF}" mergeInterval="0" personalView="1" maximized="1" windowWidth="1038" windowHeight="868" tabRatio="816" activeSheetId="1"/>
    <customWorkbookView name="Andreas Großnick - Persönliche Ansicht" guid="{F2D0067E-FDBA-4A89-A490-2FFF819FFC6C}" mergeInterval="0" personalView="1" maximized="1" windowWidth="1276" windowHeight="862" tabRatio="978" activeSheetId="1"/>
    <customWorkbookView name="Roddewol - Persönliche Ansicht" guid="{DAE49A2A-B5E6-4FC4-8C29-42C17303288D}" mergeInterval="0" personalView="1" maximized="1" windowWidth="1596" windowHeight="1013" tabRatio="918" activeSheetId="11"/>
    <customWorkbookView name="Rolf Straßburger - Persönliche Ansicht" guid="{5F1F8321-FC24-428F-8558-8C6074EBB356}" mergeInterval="0" personalView="1" maximized="1" windowWidth="1268" windowHeight="848" tabRatio="945" activeSheetId="5"/>
    <customWorkbookView name="ubachchr - Persönliche Ansicht" guid="{60B391C3-DE92-4B31-8B84-73C91653406B}" mergeInterval="0" personalView="1" maximized="1" windowWidth="1276" windowHeight="832" tabRatio="918" activeSheetId="9"/>
  </customWorkbookViews>
</workbook>
</file>

<file path=xl/calcChain.xml><?xml version="1.0" encoding="utf-8"?>
<calcChain xmlns="http://schemas.openxmlformats.org/spreadsheetml/2006/main">
  <c r="C21" i="71" l="1"/>
  <c r="B5" i="121"/>
  <c r="B12" i="121"/>
  <c r="B16" i="121"/>
  <c r="B15" i="121"/>
  <c r="B14" i="121"/>
  <c r="B13" i="121"/>
  <c r="B11" i="121"/>
  <c r="B10" i="121"/>
  <c r="B9" i="121"/>
  <c r="B8" i="121"/>
  <c r="B7" i="121"/>
  <c r="B6" i="121"/>
  <c r="I23" i="121"/>
  <c r="F24" i="6"/>
  <c r="F23" i="67" l="1"/>
  <c r="K21" i="6"/>
  <c r="K22" i="6"/>
  <c r="F18" i="71" l="1"/>
  <c r="H27" i="121"/>
  <c r="G18" i="6" l="1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G16" i="118"/>
  <c r="G15" i="118"/>
  <c r="G14" i="118"/>
  <c r="G13" i="118"/>
  <c r="G12" i="118"/>
  <c r="G11" i="118"/>
  <c r="G10" i="118"/>
  <c r="G9" i="118"/>
  <c r="G8" i="118"/>
  <c r="G7" i="118"/>
  <c r="G6" i="118"/>
  <c r="G5" i="118"/>
  <c r="I16" i="67"/>
  <c r="I15" i="67"/>
  <c r="I14" i="67"/>
  <c r="I13" i="67"/>
  <c r="I12" i="67"/>
  <c r="I11" i="67"/>
  <c r="I10" i="67"/>
  <c r="I9" i="67"/>
  <c r="I8" i="67"/>
  <c r="I7" i="67"/>
  <c r="I6" i="67"/>
  <c r="H16" i="67"/>
  <c r="H15" i="67"/>
  <c r="H14" i="67"/>
  <c r="H13" i="67"/>
  <c r="H12" i="67"/>
  <c r="H11" i="67"/>
  <c r="H10" i="67"/>
  <c r="H9" i="67"/>
  <c r="H8" i="67"/>
  <c r="H7" i="67"/>
  <c r="H6" i="67"/>
  <c r="G16" i="67"/>
  <c r="G15" i="67"/>
  <c r="G14" i="67"/>
  <c r="G13" i="67"/>
  <c r="G12" i="67"/>
  <c r="G11" i="67"/>
  <c r="G10" i="67"/>
  <c r="G9" i="67"/>
  <c r="G8" i="67"/>
  <c r="G7" i="67"/>
  <c r="G6" i="67"/>
  <c r="I5" i="67"/>
  <c r="H5" i="67"/>
  <c r="G5" i="67"/>
  <c r="H16" i="6"/>
  <c r="H15" i="6"/>
  <c r="H14" i="6"/>
  <c r="H13" i="6"/>
  <c r="H12" i="6"/>
  <c r="H11" i="6"/>
  <c r="H10" i="6"/>
  <c r="H9" i="6"/>
  <c r="H8" i="6"/>
  <c r="H7" i="6"/>
  <c r="H6" i="6"/>
  <c r="H5" i="6"/>
  <c r="K16" i="71"/>
  <c r="K15" i="71"/>
  <c r="K14" i="71"/>
  <c r="K13" i="71"/>
  <c r="K12" i="71"/>
  <c r="K11" i="71"/>
  <c r="K10" i="71"/>
  <c r="K9" i="71"/>
  <c r="K8" i="71"/>
  <c r="K7" i="71"/>
  <c r="K6" i="71"/>
  <c r="J16" i="71"/>
  <c r="J15" i="71"/>
  <c r="J14" i="71"/>
  <c r="J13" i="71"/>
  <c r="J12" i="71"/>
  <c r="J11" i="71"/>
  <c r="J10" i="71"/>
  <c r="J9" i="71"/>
  <c r="J8" i="71"/>
  <c r="J7" i="71"/>
  <c r="J6" i="71"/>
  <c r="H16" i="71"/>
  <c r="H15" i="71"/>
  <c r="H14" i="71"/>
  <c r="H13" i="71"/>
  <c r="H12" i="71"/>
  <c r="H11" i="71"/>
  <c r="H10" i="71"/>
  <c r="H9" i="71"/>
  <c r="H8" i="71"/>
  <c r="H7" i="71"/>
  <c r="H6" i="71"/>
  <c r="K5" i="71"/>
  <c r="J5" i="71"/>
  <c r="H5" i="71"/>
  <c r="G16" i="71"/>
  <c r="G15" i="71"/>
  <c r="G14" i="71"/>
  <c r="G13" i="71"/>
  <c r="G12" i="71"/>
  <c r="G11" i="71"/>
  <c r="G10" i="71"/>
  <c r="G9" i="71"/>
  <c r="G8" i="71"/>
  <c r="G7" i="71"/>
  <c r="G6" i="71"/>
  <c r="G5" i="71"/>
  <c r="D18" i="121"/>
  <c r="BG65" i="100" s="1"/>
  <c r="I5" i="71" l="1"/>
  <c r="F6" i="69"/>
  <c r="F7" i="69"/>
  <c r="F8" i="69"/>
  <c r="F9" i="69"/>
  <c r="F10" i="69"/>
  <c r="F11" i="69"/>
  <c r="F12" i="69"/>
  <c r="F13" i="69"/>
  <c r="F14" i="69"/>
  <c r="F15" i="69"/>
  <c r="F16" i="69"/>
  <c r="F5" i="69"/>
  <c r="K9" i="69"/>
  <c r="K10" i="69"/>
  <c r="K11" i="69"/>
  <c r="K12" i="69"/>
  <c r="K13" i="69"/>
  <c r="K14" i="69"/>
  <c r="K15" i="69"/>
  <c r="K16" i="69"/>
  <c r="K8" i="69"/>
  <c r="K6" i="69" l="1"/>
  <c r="K7" i="69"/>
  <c r="K5" i="69"/>
  <c r="I6" i="119"/>
  <c r="J6" i="119" s="1"/>
  <c r="I5" i="119"/>
  <c r="J5" i="119" s="1"/>
  <c r="I7" i="119"/>
  <c r="J7" i="119" s="1"/>
  <c r="I8" i="119"/>
  <c r="J8" i="119" s="1"/>
  <c r="I9" i="119"/>
  <c r="J9" i="119" s="1"/>
  <c r="I10" i="119"/>
  <c r="J10" i="119" s="1"/>
  <c r="I11" i="119"/>
  <c r="J11" i="119" s="1"/>
  <c r="I12" i="119"/>
  <c r="J12" i="119" s="1"/>
  <c r="I13" i="119"/>
  <c r="J13" i="119" s="1"/>
  <c r="I14" i="119"/>
  <c r="J14" i="119" s="1"/>
  <c r="I15" i="119"/>
  <c r="J15" i="119" s="1"/>
  <c r="I16" i="119"/>
  <c r="J16" i="119" s="1"/>
  <c r="H8" i="118"/>
  <c r="I8" i="118" s="1"/>
  <c r="H7" i="118"/>
  <c r="I7" i="118" s="1"/>
  <c r="H6" i="118"/>
  <c r="I6" i="118" s="1"/>
  <c r="H9" i="118"/>
  <c r="I9" i="118" s="1"/>
  <c r="H10" i="118"/>
  <c r="I10" i="118" s="1"/>
  <c r="H11" i="118"/>
  <c r="I11" i="118" s="1"/>
  <c r="H12" i="118"/>
  <c r="I12" i="118" s="1"/>
  <c r="H13" i="118"/>
  <c r="I13" i="118" s="1"/>
  <c r="H14" i="118"/>
  <c r="I14" i="118" s="1"/>
  <c r="H15" i="118"/>
  <c r="I15" i="118" s="1"/>
  <c r="H16" i="118"/>
  <c r="I16" i="118" s="1"/>
  <c r="H5" i="118"/>
  <c r="I5" i="118" s="1"/>
  <c r="F18" i="67" l="1"/>
  <c r="AE65" i="100" s="1"/>
  <c r="BT67" i="100" l="1"/>
  <c r="BT65" i="100"/>
  <c r="BN63" i="100" l="1"/>
  <c r="F20" i="119"/>
  <c r="E20" i="119"/>
  <c r="D20" i="119"/>
  <c r="G20" i="119"/>
  <c r="F18" i="119"/>
  <c r="E18" i="119"/>
  <c r="D18" i="119"/>
  <c r="G18" i="119"/>
  <c r="F20" i="118"/>
  <c r="E20" i="118"/>
  <c r="D20" i="118"/>
  <c r="G20" i="118"/>
  <c r="F18" i="118"/>
  <c r="E18" i="118"/>
  <c r="D18" i="118"/>
  <c r="G18" i="118"/>
  <c r="J20" i="121"/>
  <c r="I20" i="121"/>
  <c r="H20" i="121"/>
  <c r="G20" i="121"/>
  <c r="F20" i="121"/>
  <c r="C20" i="121"/>
  <c r="K20" i="121"/>
  <c r="J18" i="121"/>
  <c r="I18" i="121"/>
  <c r="BU53" i="100" s="1"/>
  <c r="H18" i="121"/>
  <c r="G18" i="121"/>
  <c r="F18" i="121"/>
  <c r="C18" i="121"/>
  <c r="BG67" i="100" s="1"/>
  <c r="K18" i="121"/>
  <c r="H20" i="6"/>
  <c r="G20" i="6"/>
  <c r="F20" i="6"/>
  <c r="E20" i="6"/>
  <c r="D20" i="6"/>
  <c r="AE55" i="100"/>
  <c r="F18" i="6"/>
  <c r="E18" i="6"/>
  <c r="D18" i="6"/>
  <c r="H18" i="6"/>
  <c r="I20" i="67"/>
  <c r="H20" i="67"/>
  <c r="G20" i="67"/>
  <c r="F20" i="67"/>
  <c r="E20" i="67"/>
  <c r="D20" i="67"/>
  <c r="I18" i="67"/>
  <c r="H18" i="67"/>
  <c r="G18" i="67"/>
  <c r="E18" i="67"/>
  <c r="AE67" i="100" s="1"/>
  <c r="D18" i="67"/>
  <c r="J20" i="71"/>
  <c r="F20" i="71"/>
  <c r="E20" i="71"/>
  <c r="D20" i="71"/>
  <c r="J18" i="71"/>
  <c r="E18" i="71"/>
  <c r="D18" i="71"/>
  <c r="D16" i="69" l="1"/>
  <c r="E16" i="69"/>
  <c r="J16" i="67"/>
  <c r="C18" i="119" l="1"/>
  <c r="C20" i="119"/>
  <c r="C20" i="118"/>
  <c r="C18" i="118"/>
  <c r="J14" i="67"/>
  <c r="J13" i="67"/>
  <c r="J12" i="67"/>
  <c r="J11" i="67"/>
  <c r="J10" i="67"/>
  <c r="J9" i="67"/>
  <c r="J8" i="67"/>
  <c r="J7" i="67"/>
  <c r="J6" i="67"/>
  <c r="J5" i="67"/>
  <c r="J15" i="67" l="1"/>
  <c r="J18" i="67" l="1"/>
  <c r="J20" i="67"/>
  <c r="E14" i="69" l="1"/>
  <c r="D14" i="69"/>
  <c r="E13" i="69" l="1"/>
  <c r="D13" i="69"/>
  <c r="E12" i="69" l="1"/>
  <c r="D12" i="69"/>
  <c r="E11" i="69" l="1"/>
  <c r="D11" i="69"/>
  <c r="E10" i="69" l="1"/>
  <c r="D10" i="69"/>
  <c r="E9" i="69" l="1"/>
  <c r="D9" i="69"/>
  <c r="E7" i="69" l="1"/>
  <c r="D7" i="69"/>
  <c r="E8" i="69"/>
  <c r="D8" i="69"/>
  <c r="D5" i="69" l="1"/>
  <c r="E5" i="69"/>
  <c r="D6" i="69"/>
  <c r="E6" i="69"/>
  <c r="D15" i="69"/>
  <c r="E15" i="69"/>
  <c r="F18" i="69"/>
  <c r="O53" i="100" s="1"/>
  <c r="E20" i="69" l="1"/>
  <c r="E18" i="69"/>
  <c r="D20" i="69"/>
  <c r="D18" i="69"/>
  <c r="K18" i="69"/>
  <c r="O55" i="100" s="1"/>
  <c r="K20" i="69"/>
  <c r="F20" i="69"/>
  <c r="BA63" i="100"/>
  <c r="BN51" i="100"/>
  <c r="BU55" i="100"/>
  <c r="BG53" i="100"/>
  <c r="O65" i="100" l="1"/>
  <c r="AT65" i="100" l="1"/>
  <c r="AT53" i="100"/>
  <c r="AE53" i="100" l="1"/>
  <c r="D25" i="113" l="1"/>
  <c r="E25" i="113"/>
  <c r="F25" i="113"/>
  <c r="G25" i="113"/>
  <c r="H25" i="113"/>
  <c r="I25" i="113"/>
  <c r="J25" i="113"/>
  <c r="K25" i="113"/>
  <c r="L25" i="113"/>
  <c r="M25" i="113"/>
  <c r="N25" i="113"/>
  <c r="O25" i="113"/>
  <c r="P25" i="113"/>
  <c r="Q25" i="113"/>
  <c r="R25" i="113"/>
  <c r="S25" i="113"/>
  <c r="T25" i="113"/>
  <c r="U25" i="113"/>
  <c r="D26" i="113"/>
  <c r="E26" i="113"/>
  <c r="F26" i="113"/>
  <c r="G26" i="113"/>
  <c r="H26" i="113"/>
  <c r="I26" i="113"/>
  <c r="J26" i="113"/>
  <c r="K26" i="113"/>
  <c r="L26" i="113"/>
  <c r="M26" i="113"/>
  <c r="N26" i="113"/>
  <c r="O26" i="113"/>
  <c r="P26" i="113"/>
  <c r="Q26" i="113"/>
  <c r="R26" i="113"/>
  <c r="S26" i="113"/>
  <c r="T26" i="113"/>
  <c r="U26" i="113"/>
  <c r="E24" i="113"/>
  <c r="F24" i="113"/>
  <c r="G24" i="113"/>
  <c r="H24" i="113"/>
  <c r="I24" i="113"/>
  <c r="J24" i="113"/>
  <c r="K24" i="113"/>
  <c r="L24" i="113"/>
  <c r="M24" i="113"/>
  <c r="N24" i="113"/>
  <c r="O24" i="113"/>
  <c r="P24" i="113"/>
  <c r="Q24" i="113"/>
  <c r="R24" i="113"/>
  <c r="S24" i="113"/>
  <c r="T24" i="113"/>
  <c r="U24" i="113"/>
  <c r="D24" i="113"/>
  <c r="D25" i="114"/>
  <c r="E25" i="114"/>
  <c r="F25" i="114"/>
  <c r="G25" i="114"/>
  <c r="H25" i="114"/>
  <c r="I25" i="114"/>
  <c r="J25" i="114"/>
  <c r="K25" i="114"/>
  <c r="L25" i="114"/>
  <c r="M25" i="114"/>
  <c r="N25" i="114"/>
  <c r="O25" i="114"/>
  <c r="P25" i="114"/>
  <c r="Q25" i="114"/>
  <c r="R25" i="114"/>
  <c r="S25" i="114"/>
  <c r="T25" i="114"/>
  <c r="U25" i="114"/>
  <c r="V25" i="114"/>
  <c r="W25" i="114"/>
  <c r="X25" i="114"/>
  <c r="Y25" i="114"/>
  <c r="D26" i="114"/>
  <c r="E26" i="114"/>
  <c r="F26" i="114"/>
  <c r="G26" i="114"/>
  <c r="H26" i="114"/>
  <c r="I26" i="114"/>
  <c r="J26" i="114"/>
  <c r="K26" i="114"/>
  <c r="L26" i="114"/>
  <c r="M26" i="114"/>
  <c r="N26" i="114"/>
  <c r="O26" i="114"/>
  <c r="P26" i="114"/>
  <c r="Q26" i="114"/>
  <c r="R26" i="114"/>
  <c r="S26" i="114"/>
  <c r="T26" i="114"/>
  <c r="U26" i="114"/>
  <c r="V26" i="114"/>
  <c r="W26" i="114"/>
  <c r="X26" i="114"/>
  <c r="Y26" i="114"/>
  <c r="E24" i="114"/>
  <c r="F24" i="114"/>
  <c r="G24" i="114"/>
  <c r="H24" i="114"/>
  <c r="I24" i="114"/>
  <c r="J24" i="114"/>
  <c r="K24" i="114"/>
  <c r="L24" i="114"/>
  <c r="M24" i="114"/>
  <c r="N24" i="114"/>
  <c r="O24" i="114"/>
  <c r="P24" i="114"/>
  <c r="Q24" i="114"/>
  <c r="R24" i="114"/>
  <c r="S24" i="114"/>
  <c r="T24" i="114"/>
  <c r="U24" i="114"/>
  <c r="V24" i="114"/>
  <c r="W24" i="114"/>
  <c r="X24" i="114"/>
  <c r="Y24" i="114"/>
  <c r="D24" i="114"/>
  <c r="BA51" i="100" l="1"/>
  <c r="Y63" i="100" l="1"/>
  <c r="BG51" i="100"/>
  <c r="Y65" i="100" l="1"/>
  <c r="AT63" i="100" l="1"/>
  <c r="AT51" i="100"/>
  <c r="AN63" i="100"/>
  <c r="AN51" i="100"/>
  <c r="Y51" i="100" l="1"/>
  <c r="G5" i="69" l="1"/>
  <c r="H5" i="69" l="1"/>
  <c r="I5" i="69" s="1"/>
  <c r="L6" i="71" l="1"/>
  <c r="J6" i="69" s="1"/>
  <c r="L7" i="71"/>
  <c r="J7" i="69" s="1"/>
  <c r="L8" i="71"/>
  <c r="J8" i="69" s="1"/>
  <c r="L9" i="71"/>
  <c r="J9" i="69" s="1"/>
  <c r="L10" i="71"/>
  <c r="J10" i="69" s="1"/>
  <c r="L11" i="71"/>
  <c r="J11" i="69" s="1"/>
  <c r="L12" i="71"/>
  <c r="J12" i="69" s="1"/>
  <c r="L13" i="71"/>
  <c r="J13" i="69" s="1"/>
  <c r="L14" i="71"/>
  <c r="J14" i="69" s="1"/>
  <c r="L15" i="71"/>
  <c r="J15" i="69" s="1"/>
  <c r="L16" i="71"/>
  <c r="J16" i="69" s="1"/>
  <c r="K18" i="71" l="1"/>
  <c r="K20" i="71"/>
  <c r="L5" i="71"/>
  <c r="M5" i="71" s="1"/>
  <c r="J5" i="69" l="1"/>
  <c r="L20" i="71"/>
  <c r="L18" i="71"/>
  <c r="J18" i="69" l="1"/>
  <c r="J20" i="69"/>
  <c r="L5" i="69"/>
  <c r="H9" i="69" l="1"/>
  <c r="H8" i="69"/>
  <c r="G7" i="69"/>
  <c r="H7" i="69"/>
  <c r="G15" i="69"/>
  <c r="H16" i="69"/>
  <c r="H15" i="69"/>
  <c r="G8" i="69"/>
  <c r="H11" i="69"/>
  <c r="G14" i="69"/>
  <c r="G13" i="69"/>
  <c r="H14" i="69"/>
  <c r="G10" i="69"/>
  <c r="G12" i="69"/>
  <c r="G9" i="69"/>
  <c r="G11" i="69"/>
  <c r="G6" i="69"/>
  <c r="G20" i="71"/>
  <c r="G18" i="71"/>
  <c r="I63" i="100" s="1"/>
  <c r="G16" i="69"/>
  <c r="H13" i="69"/>
  <c r="H10" i="69"/>
  <c r="H12" i="69"/>
  <c r="I9" i="69" l="1"/>
  <c r="L9" i="69" s="1"/>
  <c r="I9" i="71"/>
  <c r="M9" i="71" s="1"/>
  <c r="I11" i="71"/>
  <c r="M11" i="71" s="1"/>
  <c r="I12" i="69"/>
  <c r="L12" i="69" s="1"/>
  <c r="I13" i="71"/>
  <c r="M13" i="71" s="1"/>
  <c r="I7" i="69"/>
  <c r="L7" i="69" s="1"/>
  <c r="I7" i="71"/>
  <c r="M7" i="71" s="1"/>
  <c r="I14" i="71"/>
  <c r="M14" i="71" s="1"/>
  <c r="I12" i="71"/>
  <c r="M12" i="71" s="1"/>
  <c r="I14" i="69"/>
  <c r="L14" i="69" s="1"/>
  <c r="I10" i="71"/>
  <c r="M10" i="71" s="1"/>
  <c r="I10" i="69"/>
  <c r="L10" i="69" s="1"/>
  <c r="I16" i="69"/>
  <c r="L16" i="69" s="1"/>
  <c r="I16" i="71"/>
  <c r="M16" i="71" s="1"/>
  <c r="I15" i="69"/>
  <c r="L15" i="69" s="1"/>
  <c r="H6" i="69"/>
  <c r="H20" i="71"/>
  <c r="H18" i="71"/>
  <c r="G20" i="69"/>
  <c r="G18" i="69"/>
  <c r="I51" i="100" s="1"/>
  <c r="I8" i="69"/>
  <c r="L8" i="69" s="1"/>
  <c r="I6" i="71"/>
  <c r="I8" i="71"/>
  <c r="M8" i="71" s="1"/>
  <c r="I15" i="71"/>
  <c r="M15" i="71" s="1"/>
  <c r="I11" i="69"/>
  <c r="L11" i="69" s="1"/>
  <c r="I13" i="69"/>
  <c r="L13" i="69" s="1"/>
  <c r="M6" i="71" l="1"/>
  <c r="I20" i="71"/>
  <c r="I18" i="71"/>
  <c r="I65" i="100" s="1"/>
  <c r="H18" i="69"/>
  <c r="H20" i="69"/>
  <c r="I6" i="69"/>
  <c r="L6" i="69" l="1"/>
  <c r="I20" i="69"/>
  <c r="I18" i="69"/>
  <c r="I53" i="100" s="1"/>
  <c r="M18" i="71"/>
  <c r="I67" i="100" s="1"/>
  <c r="M20" i="71"/>
  <c r="L20" i="69" l="1"/>
  <c r="L18" i="69"/>
  <c r="I56" i="100" s="1"/>
  <c r="BT63" i="100" l="1"/>
  <c r="C5" i="67" l="1"/>
  <c r="C6" i="67"/>
  <c r="K6" i="67" s="1"/>
  <c r="L6" i="67" s="1"/>
  <c r="C16" i="67"/>
  <c r="K16" i="67" s="1"/>
  <c r="L16" i="67" s="1"/>
  <c r="C15" i="6"/>
  <c r="I15" i="6" s="1"/>
  <c r="J15" i="6" s="1"/>
  <c r="C16" i="6"/>
  <c r="I16" i="6" s="1"/>
  <c r="J16" i="6" s="1"/>
  <c r="C12" i="6"/>
  <c r="I12" i="6" s="1"/>
  <c r="J12" i="6" s="1"/>
  <c r="C7" i="71"/>
  <c r="C8" i="71"/>
  <c r="C10" i="71"/>
  <c r="C11" i="71"/>
  <c r="C13" i="6"/>
  <c r="I13" i="6" s="1"/>
  <c r="J13" i="6" s="1"/>
  <c r="C14" i="6"/>
  <c r="I14" i="6" s="1"/>
  <c r="J14" i="6" s="1"/>
  <c r="C9" i="71"/>
  <c r="C12" i="71"/>
  <c r="C8" i="67"/>
  <c r="K8" i="67" s="1"/>
  <c r="L8" i="67" s="1"/>
  <c r="C14" i="71"/>
  <c r="C15" i="71"/>
  <c r="C5" i="6"/>
  <c r="C10" i="67"/>
  <c r="K10" i="67" s="1"/>
  <c r="L10" i="67" s="1"/>
  <c r="C16" i="71"/>
  <c r="C11" i="67"/>
  <c r="K11" i="67" s="1"/>
  <c r="L11" i="67" s="1"/>
  <c r="C12" i="67"/>
  <c r="K12" i="67" s="1"/>
  <c r="L12" i="67" s="1"/>
  <c r="C13" i="67"/>
  <c r="K13" i="67" s="1"/>
  <c r="L13" i="67" s="1"/>
  <c r="C7" i="67"/>
  <c r="K7" i="67" s="1"/>
  <c r="L7" i="67" s="1"/>
  <c r="C13" i="71"/>
  <c r="C5" i="71"/>
  <c r="C14" i="67"/>
  <c r="K14" i="67" s="1"/>
  <c r="L14" i="67" s="1"/>
  <c r="C9" i="67"/>
  <c r="K9" i="67" s="1"/>
  <c r="L9" i="67" s="1"/>
  <c r="C15" i="67"/>
  <c r="K15" i="67" s="1"/>
  <c r="L15" i="67" s="1"/>
  <c r="K5" i="67" l="1"/>
  <c r="L5" i="67" s="1"/>
  <c r="C18" i="67"/>
  <c r="AE63" i="100" s="1"/>
  <c r="C20" i="67"/>
  <c r="C11" i="6"/>
  <c r="I11" i="6" s="1"/>
  <c r="J11" i="6" s="1"/>
  <c r="C6" i="6"/>
  <c r="I6" i="6" s="1"/>
  <c r="J6" i="6" s="1"/>
  <c r="C7" i="6"/>
  <c r="I7" i="6" s="1"/>
  <c r="J7" i="6" s="1"/>
  <c r="C10" i="6"/>
  <c r="I10" i="6" s="1"/>
  <c r="J10" i="6" s="1"/>
  <c r="C9" i="6"/>
  <c r="I9" i="6" s="1"/>
  <c r="J9" i="6" s="1"/>
  <c r="I5" i="6"/>
  <c r="C8" i="6"/>
  <c r="I8" i="6" s="1"/>
  <c r="J8" i="6" s="1"/>
  <c r="N7" i="71"/>
  <c r="O7" i="71" s="1"/>
  <c r="N12" i="71"/>
  <c r="O12" i="71" s="1"/>
  <c r="C12" i="69"/>
  <c r="N9" i="71"/>
  <c r="O9" i="71" s="1"/>
  <c r="N8" i="71"/>
  <c r="O8" i="71" s="1"/>
  <c r="N13" i="71"/>
  <c r="O13" i="71" s="1"/>
  <c r="C13" i="69"/>
  <c r="C6" i="71"/>
  <c r="N5" i="71"/>
  <c r="O5" i="71" s="1"/>
  <c r="C18" i="71"/>
  <c r="C20" i="71"/>
  <c r="C5" i="69"/>
  <c r="N11" i="71"/>
  <c r="O11" i="71" s="1"/>
  <c r="N15" i="71"/>
  <c r="O15" i="71" s="1"/>
  <c r="C15" i="69"/>
  <c r="N14" i="71"/>
  <c r="O14" i="71" s="1"/>
  <c r="C14" i="69"/>
  <c r="N16" i="71"/>
  <c r="O16" i="71" s="1"/>
  <c r="C16" i="69"/>
  <c r="N10" i="71"/>
  <c r="O10" i="71" s="1"/>
  <c r="C8" i="69" l="1"/>
  <c r="C11" i="69"/>
  <c r="C7" i="69"/>
  <c r="C20" i="6"/>
  <c r="C9" i="69"/>
  <c r="J5" i="6"/>
  <c r="I18" i="6"/>
  <c r="C10" i="69"/>
  <c r="C18" i="6"/>
  <c r="N6" i="71"/>
  <c r="O6" i="71" s="1"/>
  <c r="C6" i="69"/>
  <c r="C25" i="71"/>
  <c r="O63" i="100"/>
  <c r="C20" i="69" l="1"/>
  <c r="F27" i="6"/>
  <c r="AE51" i="100"/>
  <c r="E21" i="121"/>
  <c r="C24" i="6"/>
  <c r="C18" i="69"/>
  <c r="O51" i="100" s="1"/>
  <c r="L6" i="121" l="1"/>
  <c r="M6" i="121" s="1"/>
  <c r="L7" i="121"/>
  <c r="M7" i="121" s="1"/>
  <c r="L8" i="121"/>
  <c r="M8" i="121" s="1"/>
  <c r="L9" i="121"/>
  <c r="M9" i="121" s="1"/>
  <c r="L10" i="121"/>
  <c r="M10" i="121" s="1"/>
  <c r="L11" i="121"/>
  <c r="M11" i="121" s="1"/>
  <c r="L12" i="121"/>
  <c r="M12" i="121" s="1"/>
  <c r="L13" i="121"/>
  <c r="M13" i="121" s="1"/>
  <c r="L14" i="121"/>
  <c r="M14" i="121" s="1"/>
  <c r="L15" i="121"/>
  <c r="M15" i="121" s="1"/>
  <c r="L16" i="121"/>
  <c r="M16" i="121" s="1"/>
  <c r="E5" i="121"/>
  <c r="E6" i="121"/>
  <c r="N6" i="121" s="1"/>
  <c r="O6" i="121" s="1"/>
  <c r="E7" i="121"/>
  <c r="N7" i="121" s="1"/>
  <c r="O7" i="121" s="1"/>
  <c r="E8" i="121"/>
  <c r="N8" i="121" s="1"/>
  <c r="O8" i="121" s="1"/>
  <c r="E9" i="121"/>
  <c r="N9" i="121" s="1"/>
  <c r="O9" i="121" s="1"/>
  <c r="E10" i="121"/>
  <c r="N10" i="121" s="1"/>
  <c r="O10" i="121" s="1"/>
  <c r="E11" i="121"/>
  <c r="N11" i="121" s="1"/>
  <c r="O11" i="121" s="1"/>
  <c r="E12" i="121"/>
  <c r="N12" i="121" s="1"/>
  <c r="O12" i="121" s="1"/>
  <c r="E13" i="121"/>
  <c r="N13" i="121" s="1"/>
  <c r="O13" i="121" s="1"/>
  <c r="E14" i="121"/>
  <c r="N14" i="121" s="1"/>
  <c r="O14" i="121" s="1"/>
  <c r="E15" i="121"/>
  <c r="N15" i="121" s="1"/>
  <c r="O15" i="121" s="1"/>
  <c r="E16" i="121"/>
  <c r="N16" i="121" s="1"/>
  <c r="O16" i="121" s="1"/>
  <c r="N5" i="121" l="1"/>
  <c r="O5" i="121" s="1"/>
  <c r="E20" i="121"/>
  <c r="E18" i="121"/>
  <c r="L5" i="121"/>
  <c r="M5" i="121" s="1"/>
  <c r="B20" i="121"/>
  <c r="B18" i="121"/>
  <c r="G24" i="121" l="1"/>
  <c r="B25" i="121"/>
  <c r="E22" i="121"/>
  <c r="E23" i="121" s="1"/>
  <c r="BG63" i="100"/>
  <c r="E28" i="121"/>
  <c r="BU51" i="100"/>
</calcChain>
</file>

<file path=xl/sharedStrings.xml><?xml version="1.0" encoding="utf-8"?>
<sst xmlns="http://schemas.openxmlformats.org/spreadsheetml/2006/main" count="207" uniqueCount="61">
  <si>
    <t>Machining</t>
  </si>
  <si>
    <t>Order backlog f. 12 Mth.:</t>
  </si>
  <si>
    <t>LOI backlog f. 12 Mth.:</t>
  </si>
  <si>
    <t>Assembly</t>
  </si>
  <si>
    <t>Month</t>
  </si>
  <si>
    <t>Total 12 months</t>
  </si>
  <si>
    <t>∑</t>
  </si>
  <si>
    <t>Ø</t>
  </si>
  <si>
    <t>Production</t>
  </si>
  <si>
    <t>Welding</t>
  </si>
  <si>
    <t>NPK</t>
  </si>
  <si>
    <t>Orders</t>
  </si>
  <si>
    <t>LOI</t>
  </si>
  <si>
    <t>report last Month</t>
  </si>
  <si>
    <t>NPK f. 12 Mth.:</t>
  </si>
  <si>
    <t>last forecast</t>
  </si>
  <si>
    <t>Produktion Mönchengladbach – PDM Workshop</t>
  </si>
  <si>
    <t>Schweißtechn. Fertigung – PDMW Welding</t>
  </si>
  <si>
    <t>PDxW</t>
  </si>
  <si>
    <t>PDxM</t>
  </si>
  <si>
    <t>PDxA</t>
  </si>
  <si>
    <t>PDx</t>
  </si>
  <si>
    <t>MO</t>
  </si>
  <si>
    <t>MW</t>
  </si>
  <si>
    <t>SW</t>
  </si>
  <si>
    <t>customer</t>
  </si>
  <si>
    <t>project naming</t>
  </si>
  <si>
    <t>Σ MW</t>
  </si>
  <si>
    <t>Σ MO</t>
  </si>
  <si>
    <t>Σ SW</t>
  </si>
  <si>
    <t>dep.</t>
  </si>
  <si>
    <t>LABOUR SUPPLY</t>
  </si>
  <si>
    <t>NPK +LABOUR SUPPLY Capacity</t>
  </si>
  <si>
    <t>NPK + Lab. Cont.:</t>
  </si>
  <si>
    <t>NPK + Lab. &amp; Job Cont:</t>
  </si>
  <si>
    <t>NPK + Labour Supply+ Job contractor capacity</t>
  </si>
  <si>
    <t xml:space="preserve">1. The utilization shown is for Bhubaneswar location = Khurda + Mancheswar Workshops
</t>
  </si>
  <si>
    <t>Roll Refurbishment</t>
  </si>
  <si>
    <t>Plating</t>
  </si>
  <si>
    <t>Khurda-Job Contractor</t>
  </si>
  <si>
    <t>Mancheswar-Job Contractor</t>
  </si>
  <si>
    <t>Total Job contractor</t>
  </si>
  <si>
    <t>SMI</t>
  </si>
  <si>
    <t>SMI-MFG</t>
  </si>
  <si>
    <t>Service Basic</t>
  </si>
  <si>
    <t>Basic/Service f. 12 Mth.:</t>
  </si>
  <si>
    <t>Milling Machine 5A+3A+SK+IB</t>
  </si>
  <si>
    <t>Lathe ( 3-CNC + 5-CNC + GI )</t>
  </si>
  <si>
    <t>PDxM (Small Machine)</t>
  </si>
  <si>
    <t>PDxM (SKODA+IB+5A+3A)</t>
  </si>
  <si>
    <t>PDxM (3CNC+5CNC+GI))</t>
  </si>
  <si>
    <t>Small</t>
  </si>
  <si>
    <t>NPK
CNC Milling</t>
  </si>
  <si>
    <t>NPK
Lathe</t>
  </si>
  <si>
    <t>Orders
Lathe</t>
  </si>
  <si>
    <t>Orders
CNC Milling</t>
  </si>
  <si>
    <t>Mancheswar Machining</t>
  </si>
  <si>
    <t>Mancheswar Welding</t>
  </si>
  <si>
    <t>Mancheswar Assembly</t>
  </si>
  <si>
    <t>Hundai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</si>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</sst>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64" formatCode="_ &quot;\&quot;* #,##0_ ;_ &quot;\&quot;* \-#,##0_ ;_ &quot;\&quot;* &quot;-&quot;_ ;_ @_ "/>
    <numFmt numFmtId="165" formatCode="_ &quot;\&quot;* #,##0.00_ ;_ &quot;\&quot;* \-#,##0.00_ ;_ &quot;\&quot;* &quot;-&quot;??_ ;_ @_ "/>
    <numFmt numFmtId="166" formatCode="#,##0\ &quot;h&quot;"/>
    <numFmt numFmtId="167" formatCode="#,##0\ &quot;hrs.&quot;"/>
    <numFmt numFmtId="168" formatCode="#,##0.0"/>
    <numFmt numFmtId="169" formatCode="[$-407]mmm/\ yy;@"/>
    <numFmt numFmtId="170" formatCode="mmm/yyyy"/>
  </numFmts>
  <fonts count="31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b/>
      <sz val="12"/>
      <name val="Calibri"/>
      <family val="2"/>
    </font>
    <font>
      <b/>
      <sz val="24"/>
      <name val="Arial"/>
      <family val="2"/>
    </font>
    <font>
      <sz val="18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b/>
      <sz val="9"/>
      <name val="Arial"/>
      <family val="2"/>
    </font>
    <font>
      <b/>
      <sz val="12"/>
      <name val="Times New Roman"/>
      <family val="1"/>
    </font>
    <font>
      <b/>
      <sz val="10"/>
      <color theme="1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81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0">
    <xf numFmtId="0" fontId="0" fillId="0" borderId="0"/>
    <xf numFmtId="0" fontId="18" fillId="2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2" fillId="0" borderId="0"/>
    <xf numFmtId="0" fontId="12" fillId="0" borderId="0"/>
    <xf numFmtId="0" fontId="16" fillId="2" borderId="0"/>
    <xf numFmtId="0" fontId="11" fillId="0" borderId="0"/>
    <xf numFmtId="0" fontId="10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20" fillId="0" borderId="0" xfId="0" applyFont="1"/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6" fillId="0" borderId="0" xfId="0" applyNumberFormat="1" applyFont="1"/>
    <xf numFmtId="0" fontId="15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7" fontId="16" fillId="0" borderId="1" xfId="0" applyNumberFormat="1" applyFont="1" applyBorder="1" applyAlignment="1">
      <alignment horizontal="center"/>
    </xf>
    <xf numFmtId="0" fontId="19" fillId="0" borderId="0" xfId="0" applyFont="1"/>
    <xf numFmtId="166" fontId="19" fillId="0" borderId="0" xfId="0" applyNumberFormat="1" applyFont="1"/>
    <xf numFmtId="167" fontId="20" fillId="0" borderId="1" xfId="0" applyNumberFormat="1" applyFont="1" applyBorder="1" applyAlignment="1">
      <alignment horizontal="center"/>
    </xf>
    <xf numFmtId="3" fontId="16" fillId="0" borderId="5" xfId="0" applyNumberFormat="1" applyFont="1" applyBorder="1" applyAlignment="1" applyProtection="1">
      <alignment horizontal="center"/>
      <protection locked="0"/>
    </xf>
    <xf numFmtId="0" fontId="23" fillId="0" borderId="1" xfId="0" applyFont="1" applyBorder="1" applyAlignment="1">
      <alignment horizontal="center"/>
    </xf>
    <xf numFmtId="0" fontId="16" fillId="0" borderId="3" xfId="0" applyFont="1" applyBorder="1"/>
    <xf numFmtId="0" fontId="24" fillId="0" borderId="3" xfId="0" applyFont="1" applyBorder="1" applyAlignment="1">
      <alignment horizontal="left"/>
    </xf>
    <xf numFmtId="3" fontId="19" fillId="0" borderId="0" xfId="0" applyNumberFormat="1" applyFont="1"/>
    <xf numFmtId="0" fontId="17" fillId="0" borderId="1" xfId="0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168" fontId="19" fillId="0" borderId="0" xfId="0" applyNumberFormat="1" applyFont="1"/>
    <xf numFmtId="0" fontId="24" fillId="0" borderId="8" xfId="0" applyFont="1" applyBorder="1" applyAlignment="1">
      <alignment horizontal="left"/>
    </xf>
    <xf numFmtId="168" fontId="24" fillId="0" borderId="8" xfId="0" applyNumberFormat="1" applyFont="1" applyBorder="1" applyAlignment="1">
      <alignment horizontal="left"/>
    </xf>
    <xf numFmtId="168" fontId="16" fillId="0" borderId="0" xfId="0" applyNumberFormat="1" applyFont="1" applyAlignment="1">
      <alignment horizontal="center"/>
    </xf>
    <xf numFmtId="0" fontId="16" fillId="0" borderId="8" xfId="0" applyFont="1" applyBorder="1"/>
    <xf numFmtId="0" fontId="0" fillId="0" borderId="13" xfId="0" applyBorder="1"/>
    <xf numFmtId="0" fontId="0" fillId="0" borderId="14" xfId="0" applyBorder="1"/>
    <xf numFmtId="0" fontId="19" fillId="0" borderId="13" xfId="0" applyFont="1" applyBorder="1"/>
    <xf numFmtId="166" fontId="19" fillId="0" borderId="13" xfId="0" applyNumberFormat="1" applyFont="1" applyBorder="1"/>
    <xf numFmtId="0" fontId="0" fillId="8" borderId="0" xfId="0" applyFill="1"/>
    <xf numFmtId="0" fontId="0" fillId="4" borderId="9" xfId="0" applyFill="1" applyBorder="1"/>
    <xf numFmtId="10" fontId="20" fillId="0" borderId="0" xfId="0" applyNumberFormat="1" applyFont="1"/>
    <xf numFmtId="0" fontId="19" fillId="0" borderId="0" xfId="20" applyFont="1"/>
    <xf numFmtId="3" fontId="15" fillId="0" borderId="16" xfId="20" applyNumberFormat="1" applyFont="1" applyBorder="1"/>
    <xf numFmtId="0" fontId="15" fillId="0" borderId="16" xfId="20" applyFont="1" applyBorder="1"/>
    <xf numFmtId="3" fontId="19" fillId="0" borderId="17" xfId="20" applyNumberFormat="1" applyFont="1" applyBorder="1"/>
    <xf numFmtId="0" fontId="19" fillId="0" borderId="17" xfId="20" applyFont="1" applyBorder="1"/>
    <xf numFmtId="3" fontId="19" fillId="0" borderId="5" xfId="20" applyNumberFormat="1" applyFont="1" applyBorder="1"/>
    <xf numFmtId="0" fontId="19" fillId="0" borderId="5" xfId="20" applyFont="1" applyBorder="1"/>
    <xf numFmtId="3" fontId="19" fillId="0" borderId="18" xfId="20" applyNumberFormat="1" applyFont="1" applyBorder="1"/>
    <xf numFmtId="0" fontId="19" fillId="0" borderId="18" xfId="20" applyFont="1" applyBorder="1"/>
    <xf numFmtId="169" fontId="26" fillId="9" borderId="16" xfId="20" applyNumberFormat="1" applyFont="1" applyFill="1" applyBorder="1"/>
    <xf numFmtId="0" fontId="26" fillId="9" borderId="16" xfId="20" applyFont="1" applyFill="1" applyBorder="1"/>
    <xf numFmtId="3" fontId="15" fillId="10" borderId="16" xfId="20" applyNumberFormat="1" applyFont="1" applyFill="1" applyBorder="1"/>
    <xf numFmtId="3" fontId="19" fillId="0" borderId="0" xfId="20" applyNumberFormat="1" applyFont="1"/>
    <xf numFmtId="3" fontId="19" fillId="10" borderId="0" xfId="20" applyNumberFormat="1" applyFont="1" applyFill="1"/>
    <xf numFmtId="3" fontId="19" fillId="10" borderId="17" xfId="20" applyNumberFormat="1" applyFont="1" applyFill="1" applyBorder="1"/>
    <xf numFmtId="3" fontId="19" fillId="10" borderId="5" xfId="20" applyNumberFormat="1" applyFont="1" applyFill="1" applyBorder="1"/>
    <xf numFmtId="3" fontId="19" fillId="10" borderId="18" xfId="20" applyNumberFormat="1" applyFont="1" applyFill="1" applyBorder="1"/>
    <xf numFmtId="0" fontId="19" fillId="0" borderId="18" xfId="20" applyFont="1" applyBorder="1" applyAlignment="1">
      <alignment vertical="center"/>
    </xf>
    <xf numFmtId="169" fontId="26" fillId="10" borderId="16" xfId="20" applyNumberFormat="1" applyFont="1" applyFill="1" applyBorder="1"/>
    <xf numFmtId="20" fontId="0" fillId="0" borderId="0" xfId="0" applyNumberFormat="1"/>
    <xf numFmtId="0" fontId="0" fillId="7" borderId="16" xfId="0" applyFill="1" applyBorder="1"/>
    <xf numFmtId="0" fontId="0" fillId="4" borderId="16" xfId="0" applyFill="1" applyBorder="1"/>
    <xf numFmtId="0" fontId="0" fillId="6" borderId="16" xfId="0" applyFill="1" applyBorder="1"/>
    <xf numFmtId="170" fontId="16" fillId="0" borderId="4" xfId="0" applyNumberFormat="1" applyFont="1" applyBorder="1" applyAlignment="1" applyProtection="1">
      <alignment horizontal="center"/>
      <protection locked="0"/>
    </xf>
    <xf numFmtId="3" fontId="16" fillId="0" borderId="6" xfId="0" applyNumberFormat="1" applyFont="1" applyBorder="1" applyAlignment="1">
      <alignment horizontal="center"/>
    </xf>
    <xf numFmtId="3" fontId="15" fillId="0" borderId="19" xfId="0" applyNumberFormat="1" applyFont="1" applyBorder="1" applyAlignment="1">
      <alignment horizontal="center"/>
    </xf>
    <xf numFmtId="167" fontId="20" fillId="0" borderId="0" xfId="0" applyNumberFormat="1" applyFont="1"/>
    <xf numFmtId="3" fontId="16" fillId="0" borderId="5" xfId="0" applyNumberFormat="1" applyFont="1" applyBorder="1" applyAlignment="1">
      <alignment horizontal="center"/>
    </xf>
    <xf numFmtId="3" fontId="15" fillId="0" borderId="21" xfId="0" applyNumberFormat="1" applyFont="1" applyBorder="1" applyAlignment="1">
      <alignment horizontal="center"/>
    </xf>
    <xf numFmtId="3" fontId="15" fillId="0" borderId="22" xfId="0" applyNumberFormat="1" applyFont="1" applyBorder="1" applyAlignment="1">
      <alignment horizontal="center"/>
    </xf>
    <xf numFmtId="0" fontId="17" fillId="11" borderId="1" xfId="0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3" fontId="16" fillId="0" borderId="23" xfId="0" applyNumberFormat="1" applyFont="1" applyBorder="1" applyAlignment="1">
      <alignment horizontal="center"/>
    </xf>
    <xf numFmtId="3" fontId="27" fillId="6" borderId="20" xfId="0" applyNumberFormat="1" applyFont="1" applyFill="1" applyBorder="1" applyAlignment="1">
      <alignment horizontal="center"/>
    </xf>
    <xf numFmtId="3" fontId="27" fillId="6" borderId="25" xfId="0" applyNumberFormat="1" applyFont="1" applyFill="1" applyBorder="1" applyAlignment="1">
      <alignment horizontal="center"/>
    </xf>
    <xf numFmtId="3" fontId="16" fillId="0" borderId="25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/>
    </xf>
    <xf numFmtId="166" fontId="0" fillId="0" borderId="0" xfId="0" applyNumberFormat="1"/>
    <xf numFmtId="0" fontId="0" fillId="0" borderId="12" xfId="0" applyBorder="1"/>
    <xf numFmtId="0" fontId="0" fillId="0" borderId="1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9" fillId="0" borderId="14" xfId="0" applyFont="1" applyBorder="1"/>
    <xf numFmtId="0" fontId="17" fillId="11" borderId="1" xfId="0" applyFont="1" applyFill="1" applyBorder="1" applyAlignment="1">
      <alignment horizontal="center" vertical="center" wrapText="1"/>
    </xf>
    <xf numFmtId="166" fontId="0" fillId="0" borderId="29" xfId="0" applyNumberFormat="1" applyBorder="1"/>
    <xf numFmtId="0" fontId="28" fillId="11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3" fontId="0" fillId="0" borderId="0" xfId="0" applyNumberFormat="1"/>
    <xf numFmtId="1" fontId="0" fillId="0" borderId="0" xfId="0" applyNumberFormat="1"/>
    <xf numFmtId="167" fontId="0" fillId="0" borderId="0" xfId="0" applyNumberFormat="1"/>
    <xf numFmtId="0" fontId="29" fillId="0" borderId="14" xfId="0" applyFont="1" applyBorder="1"/>
    <xf numFmtId="0" fontId="29" fillId="4" borderId="9" xfId="0" applyFont="1" applyFill="1" applyBorder="1"/>
    <xf numFmtId="0" fontId="29" fillId="0" borderId="0" xfId="0" applyFont="1"/>
    <xf numFmtId="0" fontId="13" fillId="0" borderId="14" xfId="0" applyFont="1" applyBorder="1"/>
    <xf numFmtId="0" fontId="13" fillId="7" borderId="16" xfId="0" applyFont="1" applyFill="1" applyBorder="1"/>
    <xf numFmtId="0" fontId="13" fillId="0" borderId="0" xfId="0" applyFont="1"/>
    <xf numFmtId="0" fontId="13" fillId="4" borderId="16" xfId="0" applyFont="1" applyFill="1" applyBorder="1"/>
    <xf numFmtId="0" fontId="13" fillId="5" borderId="9" xfId="0" applyFont="1" applyFill="1" applyBorder="1"/>
    <xf numFmtId="0" fontId="13" fillId="12" borderId="16" xfId="0" applyFont="1" applyFill="1" applyBorder="1"/>
    <xf numFmtId="0" fontId="13" fillId="6" borderId="16" xfId="0" applyFont="1" applyFill="1" applyBorder="1"/>
    <xf numFmtId="0" fontId="13" fillId="4" borderId="9" xfId="0" applyFont="1" applyFill="1" applyBorder="1"/>
    <xf numFmtId="3" fontId="20" fillId="0" borderId="0" xfId="0" applyNumberFormat="1" applyFont="1"/>
    <xf numFmtId="0" fontId="13" fillId="16" borderId="9" xfId="0" applyFont="1" applyFill="1" applyBorder="1"/>
    <xf numFmtId="0" fontId="13" fillId="16" borderId="27" xfId="0" applyFont="1" applyFill="1" applyBorder="1"/>
    <xf numFmtId="167" fontId="20" fillId="0" borderId="0" xfId="0" applyNumberFormat="1" applyFont="1" applyAlignment="1">
      <alignment horizontal="center"/>
    </xf>
    <xf numFmtId="1" fontId="30" fillId="0" borderId="16" xfId="0" applyNumberFormat="1" applyFont="1" applyBorder="1" applyAlignment="1">
      <alignment horizontal="center" vertical="center"/>
    </xf>
    <xf numFmtId="3" fontId="16" fillId="0" borderId="23" xfId="0" applyNumberFormat="1" applyFont="1" applyBorder="1" applyAlignment="1">
      <alignment horizontal="center" vertical="center"/>
    </xf>
    <xf numFmtId="0" fontId="13" fillId="6" borderId="16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17" fillId="0" borderId="0" xfId="0" applyFont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26" fillId="13" borderId="16" xfId="0" applyFont="1" applyFill="1" applyBorder="1" applyAlignment="1">
      <alignment horizontal="center" vertical="center" textRotation="90"/>
    </xf>
    <xf numFmtId="0" fontId="26" fillId="13" borderId="32" xfId="0" applyFont="1" applyFill="1" applyBorder="1" applyAlignment="1">
      <alignment horizontal="center" vertical="center" textRotation="90"/>
    </xf>
    <xf numFmtId="0" fontId="26" fillId="13" borderId="33" xfId="0" applyFont="1" applyFill="1" applyBorder="1" applyAlignment="1">
      <alignment horizontal="center" vertical="center" textRotation="90"/>
    </xf>
    <xf numFmtId="0" fontId="26" fillId="13" borderId="27" xfId="0" applyFont="1" applyFill="1" applyBorder="1" applyAlignment="1">
      <alignment horizontal="center" vertical="center" textRotation="90"/>
    </xf>
    <xf numFmtId="0" fontId="13" fillId="6" borderId="10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6" fillId="3" borderId="2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center" vertical="center"/>
      <protection locked="0"/>
    </xf>
    <xf numFmtId="0" fontId="16" fillId="3" borderId="2" xfId="0" applyFont="1" applyFill="1" applyBorder="1" applyAlignment="1" applyProtection="1">
      <alignment horizontal="center"/>
      <protection locked="0"/>
    </xf>
    <xf numFmtId="0" fontId="16" fillId="3" borderId="7" xfId="0" applyFont="1" applyFill="1" applyBorder="1" applyAlignment="1" applyProtection="1">
      <alignment horizontal="center"/>
      <protection locked="0"/>
    </xf>
    <xf numFmtId="167" fontId="19" fillId="0" borderId="0" xfId="0" applyNumberFormat="1" applyFont="1"/>
  </cellXfs>
  <cellStyles count="70">
    <cellStyle name="_Row1" xfId="1" xr:uid="{00000000-0005-0000-0000-000000000000}"/>
    <cellStyle name="_Row1 2" xfId="16" xr:uid="{00000000-0005-0000-0000-000001000000}"/>
    <cellStyle name="Normal" xfId="0" builtinId="0"/>
    <cellStyle name="Normal - Formatvorlage1" xfId="2" xr:uid="{00000000-0005-0000-0000-000003000000}"/>
    <cellStyle name="Normal - Formatvorlage2" xfId="3" xr:uid="{00000000-0005-0000-0000-000004000000}"/>
    <cellStyle name="Normal - Formatvorlage3" xfId="4" xr:uid="{00000000-0005-0000-0000-000005000000}"/>
    <cellStyle name="Normal - Formatvorlage4" xfId="5" xr:uid="{00000000-0005-0000-0000-000006000000}"/>
    <cellStyle name="Normal - Formatvorlage5" xfId="6" xr:uid="{00000000-0005-0000-0000-000007000000}"/>
    <cellStyle name="Normal - Formatvorlage6" xfId="7" xr:uid="{00000000-0005-0000-0000-000008000000}"/>
    <cellStyle name="Normal - Formatvorlage7" xfId="8" xr:uid="{00000000-0005-0000-0000-000009000000}"/>
    <cellStyle name="Normal - Formatvorlage8" xfId="9" xr:uid="{00000000-0005-0000-0000-00000A000000}"/>
    <cellStyle name="Normal 10" xfId="37" xr:uid="{00000000-0005-0000-0000-00000B000000}"/>
    <cellStyle name="Normal 10 2" xfId="63" xr:uid="{00000000-0005-0000-0000-00000C000000}"/>
    <cellStyle name="Normal 11" xfId="38" xr:uid="{00000000-0005-0000-0000-00000D000000}"/>
    <cellStyle name="Normal 11 2" xfId="64" xr:uid="{00000000-0005-0000-0000-00000E000000}"/>
    <cellStyle name="Normal 12" xfId="39" xr:uid="{00000000-0005-0000-0000-00000F000000}"/>
    <cellStyle name="Normal 12 2" xfId="65" xr:uid="{00000000-0005-0000-0000-000010000000}"/>
    <cellStyle name="Normal 13" xfId="40" xr:uid="{00000000-0005-0000-0000-000011000000}"/>
    <cellStyle name="Normal 13 2" xfId="66" xr:uid="{00000000-0005-0000-0000-000012000000}"/>
    <cellStyle name="Normal 14" xfId="41" xr:uid="{00000000-0005-0000-0000-000013000000}"/>
    <cellStyle name="Normal 14 2" xfId="67" xr:uid="{00000000-0005-0000-0000-000014000000}"/>
    <cellStyle name="Normal 15" xfId="42" xr:uid="{00000000-0005-0000-0000-000015000000}"/>
    <cellStyle name="Normal 15 2" xfId="68" xr:uid="{00000000-0005-0000-0000-000016000000}"/>
    <cellStyle name="Normal 16" xfId="43" xr:uid="{00000000-0005-0000-0000-000017000000}"/>
    <cellStyle name="Normal 16 2" xfId="69" xr:uid="{00000000-0005-0000-0000-000018000000}"/>
    <cellStyle name="Normal 2" xfId="29" xr:uid="{00000000-0005-0000-0000-000019000000}"/>
    <cellStyle name="Normal 2 2" xfId="55" xr:uid="{00000000-0005-0000-0000-00001A000000}"/>
    <cellStyle name="Normal 3" xfId="30" xr:uid="{00000000-0005-0000-0000-00001B000000}"/>
    <cellStyle name="Normal 3 2" xfId="56" xr:uid="{00000000-0005-0000-0000-00001C000000}"/>
    <cellStyle name="Normal 4" xfId="31" xr:uid="{00000000-0005-0000-0000-00001D000000}"/>
    <cellStyle name="Normal 4 2" xfId="57" xr:uid="{00000000-0005-0000-0000-00001E000000}"/>
    <cellStyle name="Normal 5" xfId="32" xr:uid="{00000000-0005-0000-0000-00001F000000}"/>
    <cellStyle name="Normal 5 2" xfId="58" xr:uid="{00000000-0005-0000-0000-000020000000}"/>
    <cellStyle name="Normal 6" xfId="33" xr:uid="{00000000-0005-0000-0000-000021000000}"/>
    <cellStyle name="Normal 6 2" xfId="59" xr:uid="{00000000-0005-0000-0000-000022000000}"/>
    <cellStyle name="Normal 7" xfId="34" xr:uid="{00000000-0005-0000-0000-000023000000}"/>
    <cellStyle name="Normal 7 2" xfId="60" xr:uid="{00000000-0005-0000-0000-000024000000}"/>
    <cellStyle name="Normal 8" xfId="35" xr:uid="{00000000-0005-0000-0000-000025000000}"/>
    <cellStyle name="Normal 8 2" xfId="61" xr:uid="{00000000-0005-0000-0000-000026000000}"/>
    <cellStyle name="Normal 9" xfId="36" xr:uid="{00000000-0005-0000-0000-000027000000}"/>
    <cellStyle name="Normal 9 2" xfId="62" xr:uid="{00000000-0005-0000-0000-000028000000}"/>
    <cellStyle name="Prozent 2" xfId="21" xr:uid="{00000000-0005-0000-0000-000029000000}"/>
    <cellStyle name="Standard 2" xfId="15" xr:uid="{00000000-0005-0000-0000-00002A000000}"/>
    <cellStyle name="Standard 2 2" xfId="17" xr:uid="{00000000-0005-0000-0000-00002B000000}"/>
    <cellStyle name="Standard 2 2 2" xfId="23" xr:uid="{00000000-0005-0000-0000-00002C000000}"/>
    <cellStyle name="Standard 2 2 2 2" xfId="49" xr:uid="{00000000-0005-0000-0000-00002D000000}"/>
    <cellStyle name="Standard 2 2 3" xfId="45" xr:uid="{00000000-0005-0000-0000-00002E000000}"/>
    <cellStyle name="Standard 2 3" xfId="22" xr:uid="{00000000-0005-0000-0000-00002F000000}"/>
    <cellStyle name="Standard 2 3 2" xfId="48" xr:uid="{00000000-0005-0000-0000-000030000000}"/>
    <cellStyle name="Standard 2 4" xfId="44" xr:uid="{00000000-0005-0000-0000-000031000000}"/>
    <cellStyle name="Standard 3" xfId="18" xr:uid="{00000000-0005-0000-0000-000032000000}"/>
    <cellStyle name="Standard 3 2" xfId="24" xr:uid="{00000000-0005-0000-0000-000033000000}"/>
    <cellStyle name="Standard 3 2 2" xfId="50" xr:uid="{00000000-0005-0000-0000-000034000000}"/>
    <cellStyle name="Standard 3 3" xfId="46" xr:uid="{00000000-0005-0000-0000-000035000000}"/>
    <cellStyle name="Standard 4" xfId="20" xr:uid="{00000000-0005-0000-0000-000036000000}"/>
    <cellStyle name="Standard 5" xfId="19" xr:uid="{00000000-0005-0000-0000-000037000000}"/>
    <cellStyle name="Standard 5 2" xfId="47" xr:uid="{00000000-0005-0000-0000-000038000000}"/>
    <cellStyle name="Standard 6" xfId="25" xr:uid="{00000000-0005-0000-0000-000039000000}"/>
    <cellStyle name="Standard 6 2" xfId="51" xr:uid="{00000000-0005-0000-0000-00003A000000}"/>
    <cellStyle name="Standard 7" xfId="26" xr:uid="{00000000-0005-0000-0000-00003B000000}"/>
    <cellStyle name="Standard 7 2" xfId="52" xr:uid="{00000000-0005-0000-0000-00003C000000}"/>
    <cellStyle name="Standard 8" xfId="27" xr:uid="{00000000-0005-0000-0000-00003D000000}"/>
    <cellStyle name="Standard 8 2" xfId="53" xr:uid="{00000000-0005-0000-0000-00003E000000}"/>
    <cellStyle name="Standard 9" xfId="28" xr:uid="{00000000-0005-0000-0000-00003F000000}"/>
    <cellStyle name="Standard 9 2" xfId="54" xr:uid="{00000000-0005-0000-0000-000040000000}"/>
    <cellStyle name="콤마 [0]_1.폐기물 매각 및 정산 내역" xfId="10" xr:uid="{00000000-0005-0000-0000-000041000000}"/>
    <cellStyle name="콤마_1.폐기물 매각 및 정산 내역" xfId="11" xr:uid="{00000000-0005-0000-0000-000042000000}"/>
    <cellStyle name="통화 [0]_1.폐기물 매각 및 정산 내역" xfId="12" xr:uid="{00000000-0005-0000-0000-000043000000}"/>
    <cellStyle name="통화_1.폐기물 매각 및 정산 내역" xfId="13" xr:uid="{00000000-0005-0000-0000-000044000000}"/>
    <cellStyle name="표준_0-WI1" xfId="14" xr:uid="{00000000-0005-0000-0000-000045000000}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E6F4FE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8100"/>
      <color rgb="FFE10000"/>
      <color rgb="FFFF0000"/>
      <color rgb="FFC00000"/>
      <color rgb="FF00FF00"/>
      <color rgb="FF009900"/>
      <color rgb="FF0033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0748042275354931"/>
          <c:w val="0.89649457170126456"/>
          <c:h val="0.59681103048857131"/>
        </c:manualLayout>
      </c:layout>
      <c:areaChart>
        <c:grouping val="standard"/>
        <c:varyColors val="0"/>
        <c:ser>
          <c:idx val="6"/>
          <c:order val="2"/>
          <c:tx>
            <c:strRef>
              <c:f>'Tab. Welding'!$M$4</c:f>
              <c:strCache>
                <c:ptCount val="1"/>
                <c:pt idx="0">
                  <c:v>NPK + Labour Supply+ Job contractor capacity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cat>
            <c:numRef>
              <c:f>'Tab. Welding'!$B$5:$B$16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Welding'!$M$5:$M$16</c:f>
              <c:numCache>
                <c:formatCode>#,##0</c:formatCode>
                <c:ptCount val="12"/>
                <c:pt idx="0">
                  <c:v>49467.461658255226</c:v>
                </c:pt>
                <c:pt idx="1">
                  <c:v>51116.377046863738</c:v>
                </c:pt>
                <c:pt idx="2">
                  <c:v>51116.377046863738</c:v>
                </c:pt>
                <c:pt idx="3">
                  <c:v>49467.461658255226</c:v>
                </c:pt>
                <c:pt idx="4">
                  <c:v>51116.377046863738</c:v>
                </c:pt>
                <c:pt idx="5">
                  <c:v>49467.461658255226</c:v>
                </c:pt>
                <c:pt idx="6">
                  <c:v>51116.377046863738</c:v>
                </c:pt>
                <c:pt idx="7">
                  <c:v>51116.377046863738</c:v>
                </c:pt>
                <c:pt idx="8">
                  <c:v>46169.630881038203</c:v>
                </c:pt>
                <c:pt idx="9">
                  <c:v>51116.377046863738</c:v>
                </c:pt>
                <c:pt idx="10">
                  <c:v>49467.461658255226</c:v>
                </c:pt>
                <c:pt idx="11">
                  <c:v>51116.377046863738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B-4F9F-B352-FEB47AF0A627}"/>
            </c:ext>
          </c:extLst>
        </c:ser>
        <c:ser>
          <c:idx val="5"/>
          <c:order val="3"/>
          <c:tx>
            <c:strRef>
              <c:f>'Tab. Welding'!$I$4</c:f>
              <c:strCache>
                <c:ptCount val="1"/>
                <c:pt idx="0">
                  <c:v>NPK +LABOUR SUPPLY Capacity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c:spPr>
          <c:cat>
            <c:numRef>
              <c:f>'Tab. Welding'!$B$5:$B$16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Welding'!$I$5:$I$16</c:f>
              <c:numCache>
                <c:formatCode>#,##0</c:formatCode>
                <c:ptCount val="12"/>
                <c:pt idx="0">
                  <c:v>23082.311949420444</c:v>
                </c:pt>
                <c:pt idx="1">
                  <c:v>23851.72234773446</c:v>
                </c:pt>
                <c:pt idx="2">
                  <c:v>23851.72234773446</c:v>
                </c:pt>
                <c:pt idx="3">
                  <c:v>23082.311949420444</c:v>
                </c:pt>
                <c:pt idx="4">
                  <c:v>23851.72234773446</c:v>
                </c:pt>
                <c:pt idx="5">
                  <c:v>23082.311949420444</c:v>
                </c:pt>
                <c:pt idx="6">
                  <c:v>23851.72234773446</c:v>
                </c:pt>
                <c:pt idx="7">
                  <c:v>23851.72234773446</c:v>
                </c:pt>
                <c:pt idx="8">
                  <c:v>21543.491152792412</c:v>
                </c:pt>
                <c:pt idx="9">
                  <c:v>23851.72234773446</c:v>
                </c:pt>
                <c:pt idx="10">
                  <c:v>23082.311949420444</c:v>
                </c:pt>
                <c:pt idx="11">
                  <c:v>23851.72234773446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B-4F9F-B352-FEB47AF0A627}"/>
            </c:ext>
          </c:extLst>
        </c:ser>
        <c:ser>
          <c:idx val="4"/>
          <c:order val="4"/>
          <c:tx>
            <c:strRef>
              <c:f>'Tab. Welding'!$G$4</c:f>
              <c:strCache>
                <c:ptCount val="1"/>
                <c:pt idx="0">
                  <c:v>SMI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Welding'!$B$5:$B$16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Welding'!$G$5:$G$16</c:f>
              <c:numCache>
                <c:formatCode>#,##0</c:formatCode>
                <c:ptCount val="12"/>
                <c:pt idx="0">
                  <c:v>1591.8835827186513</c:v>
                </c:pt>
                <c:pt idx="1">
                  <c:v>1644.9463688092731</c:v>
                </c:pt>
                <c:pt idx="2">
                  <c:v>1644.9463688092731</c:v>
                </c:pt>
                <c:pt idx="3">
                  <c:v>1591.8835827186513</c:v>
                </c:pt>
                <c:pt idx="4">
                  <c:v>1644.9463688092731</c:v>
                </c:pt>
                <c:pt idx="5">
                  <c:v>1591.8835827186513</c:v>
                </c:pt>
                <c:pt idx="6">
                  <c:v>1644.9463688092731</c:v>
                </c:pt>
                <c:pt idx="7">
                  <c:v>1644.9463688092731</c:v>
                </c:pt>
                <c:pt idx="8">
                  <c:v>1485.7580105374079</c:v>
                </c:pt>
                <c:pt idx="9">
                  <c:v>1644.9463688092731</c:v>
                </c:pt>
                <c:pt idx="10">
                  <c:v>1591.8835827186513</c:v>
                </c:pt>
                <c:pt idx="11">
                  <c:v>1644.9463688092731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B-4F9F-B352-FEB47AF0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397568"/>
        <c:axId val="246403456"/>
      </c:areaChart>
      <c:barChart>
        <c:barDir val="col"/>
        <c:grouping val="stacked"/>
        <c:varyColors val="0"/>
        <c:ser>
          <c:idx val="1"/>
          <c:order val="0"/>
          <c:tx>
            <c:strRef>
              <c:f>'Tab. Welding'!$C$4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Welding'!$B$5:$B$16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Welding'!$C$5:$C$16</c:f>
              <c:numCache>
                <c:formatCode>#,##0</c:formatCode>
                <c:ptCount val="12"/>
                <c:pt idx="0">
                  <c:v>49831.25</c:v>
                </c:pt>
                <c:pt idx="1">
                  <c:v>49026.75</c:v>
                </c:pt>
                <c:pt idx="2">
                  <c:v>47313.75</c:v>
                </c:pt>
                <c:pt idx="3">
                  <c:v>44617.75</c:v>
                </c:pt>
                <c:pt idx="4">
                  <c:v>44683.5</c:v>
                </c:pt>
                <c:pt idx="5">
                  <c:v>41276.5</c:v>
                </c:pt>
                <c:pt idx="6">
                  <c:v>24975</c:v>
                </c:pt>
                <c:pt idx="7">
                  <c:v>20989</c:v>
                </c:pt>
                <c:pt idx="8">
                  <c:v>9300</c:v>
                </c:pt>
                <c:pt idx="9">
                  <c:v>6550</c:v>
                </c:pt>
                <c:pt idx="10">
                  <c:v>4050</c:v>
                </c:pt>
                <c:pt idx="11">
                  <c:v>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6B-4F9F-B352-FEB47AF0A627}"/>
            </c:ext>
          </c:extLst>
        </c:ser>
        <c:ser>
          <c:idx val="2"/>
          <c:order val="1"/>
          <c:tx>
            <c:strRef>
              <c:f>'Tab. Welding'!$F$4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Welding'!$B$5:$B$16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Welding'!$F$5:$F$16</c:f>
              <c:numCache>
                <c:formatCode>#,##0</c:formatCode>
                <c:ptCount val="12"/>
                <c:pt idx="1">
                  <c:v>435</c:v>
                </c:pt>
                <c:pt idx="2">
                  <c:v>435</c:v>
                </c:pt>
                <c:pt idx="5">
                  <c:v>5000</c:v>
                </c:pt>
                <c:pt idx="6">
                  <c:v>20000</c:v>
                </c:pt>
                <c:pt idx="7">
                  <c:v>22000</c:v>
                </c:pt>
                <c:pt idx="8">
                  <c:v>24000</c:v>
                </c:pt>
                <c:pt idx="9">
                  <c:v>26000</c:v>
                </c:pt>
                <c:pt idx="10">
                  <c:v>26000</c:v>
                </c:pt>
                <c:pt idx="11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6B-4F9F-B352-FEB47AF0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397568"/>
        <c:axId val="246403456"/>
      </c:barChart>
      <c:dateAx>
        <c:axId val="2463975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03456"/>
        <c:crosses val="autoZero"/>
        <c:auto val="1"/>
        <c:lblOffset val="100"/>
        <c:baseTimeUnit val="months"/>
      </c:dateAx>
      <c:valAx>
        <c:axId val="246403456"/>
        <c:scaling>
          <c:orientation val="minMax"/>
          <c:min val="0"/>
        </c:scaling>
        <c:delete val="0"/>
        <c:axPos val="l"/>
        <c:numFmt formatCode="#,##0\ &quot;h&quot;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397568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294832308473292"/>
          <c:w val="0.89649457170126456"/>
          <c:h val="0.5813431301573877"/>
        </c:manualLayout>
      </c:layout>
      <c:areaChart>
        <c:grouping val="standard"/>
        <c:varyColors val="0"/>
        <c:ser>
          <c:idx val="7"/>
          <c:order val="3"/>
          <c:tx>
            <c:strRef>
              <c:f>'Tab. Production'!$L$4</c:f>
              <c:strCache>
                <c:ptCount val="1"/>
                <c:pt idx="0">
                  <c:v>NPK + Labour Supply+ Job contractor capacity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Production'!$B$5:$B$16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Production'!$L$5:$L$16</c:f>
              <c:numCache>
                <c:formatCode>#,##0</c:formatCode>
                <c:ptCount val="12"/>
                <c:pt idx="0">
                  <c:v>68334.261381542892</c:v>
                </c:pt>
                <c:pt idx="1">
                  <c:v>70612.070094260998</c:v>
                </c:pt>
                <c:pt idx="2">
                  <c:v>70612.070094260998</c:v>
                </c:pt>
                <c:pt idx="3">
                  <c:v>68334.261381542892</c:v>
                </c:pt>
                <c:pt idx="4">
                  <c:v>70612.070094260998</c:v>
                </c:pt>
                <c:pt idx="5">
                  <c:v>68334.261381542892</c:v>
                </c:pt>
                <c:pt idx="6">
                  <c:v>70612.070094260998</c:v>
                </c:pt>
                <c:pt idx="7">
                  <c:v>70612.070094260998</c:v>
                </c:pt>
                <c:pt idx="8">
                  <c:v>63778.643956106695</c:v>
                </c:pt>
                <c:pt idx="9">
                  <c:v>70612.070094260998</c:v>
                </c:pt>
                <c:pt idx="10">
                  <c:v>68334.261381542892</c:v>
                </c:pt>
                <c:pt idx="11">
                  <c:v>70612.070094260998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4-4DFF-8A89-A0814CFFBE8E}"/>
            </c:ext>
          </c:extLst>
        </c:ser>
        <c:ser>
          <c:idx val="6"/>
          <c:order val="4"/>
          <c:tx>
            <c:strRef>
              <c:f>'Tab. Production'!$I$4</c:f>
              <c:strCache>
                <c:ptCount val="1"/>
                <c:pt idx="0">
                  <c:v>NPK +LABOUR SUPPLY Capacity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c:spPr>
          <c:cat>
            <c:numRef>
              <c:f>'Tab. Production'!$B$5:$B$16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Production'!$I$5:$I$16</c:f>
              <c:numCache>
                <c:formatCode>#,##0</c:formatCode>
                <c:ptCount val="12"/>
                <c:pt idx="0">
                  <c:v>40593.224686406742</c:v>
                </c:pt>
                <c:pt idx="1">
                  <c:v>41946.332175953634</c:v>
                </c:pt>
                <c:pt idx="2">
                  <c:v>41946.332175953634</c:v>
                </c:pt>
                <c:pt idx="3">
                  <c:v>40593.224686406742</c:v>
                </c:pt>
                <c:pt idx="4">
                  <c:v>41946.332175953634</c:v>
                </c:pt>
                <c:pt idx="5">
                  <c:v>40593.224686406742</c:v>
                </c:pt>
                <c:pt idx="6">
                  <c:v>41946.332175953634</c:v>
                </c:pt>
                <c:pt idx="7">
                  <c:v>41946.332175953634</c:v>
                </c:pt>
                <c:pt idx="8">
                  <c:v>37887.009707312958</c:v>
                </c:pt>
                <c:pt idx="9">
                  <c:v>41946.332175953634</c:v>
                </c:pt>
                <c:pt idx="10">
                  <c:v>40593.224686406742</c:v>
                </c:pt>
                <c:pt idx="11">
                  <c:v>41946.332175953634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E-471B-8CB8-AEDE812E95D6}"/>
            </c:ext>
          </c:extLst>
        </c:ser>
        <c:ser>
          <c:idx val="5"/>
          <c:order val="5"/>
          <c:tx>
            <c:strRef>
              <c:f>'Tab. Production'!$G$4</c:f>
              <c:strCache>
                <c:ptCount val="1"/>
                <c:pt idx="0">
                  <c:v>SMI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Production'!$B$5:$B$16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Production'!$G$5:$G$16</c:f>
              <c:numCache>
                <c:formatCode>#,##0</c:formatCode>
                <c:ptCount val="12"/>
                <c:pt idx="0">
                  <c:v>16391.022347102211</c:v>
                </c:pt>
                <c:pt idx="1">
                  <c:v>16937.389758672289</c:v>
                </c:pt>
                <c:pt idx="2">
                  <c:v>16937.389758672289</c:v>
                </c:pt>
                <c:pt idx="3">
                  <c:v>16391.022347102211</c:v>
                </c:pt>
                <c:pt idx="4">
                  <c:v>16937.389758672289</c:v>
                </c:pt>
                <c:pt idx="5">
                  <c:v>16391.022347102211</c:v>
                </c:pt>
                <c:pt idx="6">
                  <c:v>16937.389758672289</c:v>
                </c:pt>
                <c:pt idx="7">
                  <c:v>16937.389758672289</c:v>
                </c:pt>
                <c:pt idx="8">
                  <c:v>15298.287523962066</c:v>
                </c:pt>
                <c:pt idx="9">
                  <c:v>16937.389758672289</c:v>
                </c:pt>
                <c:pt idx="10">
                  <c:v>16391.022347102211</c:v>
                </c:pt>
                <c:pt idx="11">
                  <c:v>16937.389758672289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0E-471B-8CB8-AEDE812E9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420416"/>
        <c:axId val="245421952"/>
      </c:areaChart>
      <c:barChart>
        <c:barDir val="col"/>
        <c:grouping val="stacked"/>
        <c:varyColors val="0"/>
        <c:ser>
          <c:idx val="0"/>
          <c:order val="0"/>
          <c:tx>
            <c:strRef>
              <c:f>'Tab. Production'!$K$4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rgbClr val="008100"/>
            </a:solidFill>
          </c:spPr>
          <c:invertIfNegative val="0"/>
          <c:cat>
            <c:numRef>
              <c:f>'Tab. Production'!$B$5:$B$16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Production'!$K$5:$K$16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2167</c:v>
                </c:pt>
                <c:pt idx="4">
                  <c:v>2267</c:v>
                </c:pt>
                <c:pt idx="5">
                  <c:v>3123</c:v>
                </c:pt>
                <c:pt idx="6">
                  <c:v>3123</c:v>
                </c:pt>
                <c:pt idx="7">
                  <c:v>3123</c:v>
                </c:pt>
                <c:pt idx="8">
                  <c:v>3122</c:v>
                </c:pt>
                <c:pt idx="9">
                  <c:v>3121</c:v>
                </c:pt>
                <c:pt idx="10">
                  <c:v>3121</c:v>
                </c:pt>
                <c:pt idx="11">
                  <c:v>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6-48F5-9D45-D49061CACE2B}"/>
            </c:ext>
          </c:extLst>
        </c:ser>
        <c:ser>
          <c:idx val="1"/>
          <c:order val="1"/>
          <c:tx>
            <c:strRef>
              <c:f>'Tab. Production'!$C$4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Production'!$B$5:$B$16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Production'!$C$5:$C$16</c:f>
              <c:numCache>
                <c:formatCode>#,##0</c:formatCode>
                <c:ptCount val="12"/>
                <c:pt idx="0">
                  <c:v>66834.25</c:v>
                </c:pt>
                <c:pt idx="1">
                  <c:v>64262.25</c:v>
                </c:pt>
                <c:pt idx="2">
                  <c:v>63695.75</c:v>
                </c:pt>
                <c:pt idx="3">
                  <c:v>59171.75</c:v>
                </c:pt>
                <c:pt idx="4">
                  <c:v>60160.5</c:v>
                </c:pt>
                <c:pt idx="5">
                  <c:v>54701.5</c:v>
                </c:pt>
                <c:pt idx="6">
                  <c:v>37946</c:v>
                </c:pt>
                <c:pt idx="7">
                  <c:v>32109</c:v>
                </c:pt>
                <c:pt idx="8">
                  <c:v>18042</c:v>
                </c:pt>
                <c:pt idx="9">
                  <c:v>11532</c:v>
                </c:pt>
                <c:pt idx="10">
                  <c:v>8732</c:v>
                </c:pt>
                <c:pt idx="11">
                  <c:v>9332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0E-471B-8CB8-AEDE812E95D6}"/>
            </c:ext>
          </c:extLst>
        </c:ser>
        <c:ser>
          <c:idx val="2"/>
          <c:order val="2"/>
          <c:tx>
            <c:strRef>
              <c:f>'Tab. Production'!$F$4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Production'!$B$5:$B$16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Production'!$F$5:$F$16</c:f>
              <c:numCache>
                <c:formatCode>#,##0</c:formatCode>
                <c:ptCount val="12"/>
                <c:pt idx="0">
                  <c:v>0</c:v>
                </c:pt>
                <c:pt idx="1">
                  <c:v>435</c:v>
                </c:pt>
                <c:pt idx="2">
                  <c:v>435</c:v>
                </c:pt>
                <c:pt idx="3">
                  <c:v>0</c:v>
                </c:pt>
                <c:pt idx="4">
                  <c:v>0</c:v>
                </c:pt>
                <c:pt idx="5">
                  <c:v>5000</c:v>
                </c:pt>
                <c:pt idx="6">
                  <c:v>20500</c:v>
                </c:pt>
                <c:pt idx="7">
                  <c:v>22750</c:v>
                </c:pt>
                <c:pt idx="8">
                  <c:v>28500</c:v>
                </c:pt>
                <c:pt idx="9">
                  <c:v>33800</c:v>
                </c:pt>
                <c:pt idx="10">
                  <c:v>34700</c:v>
                </c:pt>
                <c:pt idx="11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0E-471B-8CB8-AEDE812E9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5420416"/>
        <c:axId val="245421952"/>
      </c:barChart>
      <c:dateAx>
        <c:axId val="2454204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 algn="ctr">
              <a:defRPr lang="en-I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1952"/>
        <c:crosses val="autoZero"/>
        <c:auto val="1"/>
        <c:lblOffset val="100"/>
        <c:baseTimeUnit val="months"/>
      </c:dateAx>
      <c:valAx>
        <c:axId val="245421952"/>
        <c:scaling>
          <c:orientation val="minMax"/>
          <c:min val="0"/>
        </c:scaling>
        <c:delete val="0"/>
        <c:axPos val="l"/>
        <c:numFmt formatCode="#,##0\ &quot;h&quot;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5420416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areaChart>
        <c:grouping val="standard"/>
        <c:varyColors val="0"/>
        <c:ser>
          <c:idx val="4"/>
          <c:order val="1"/>
          <c:tx>
            <c:strRef>
              <c:f>'Tab. Machining'!$H$4</c:f>
              <c:strCache>
                <c:ptCount val="1"/>
                <c:pt idx="0">
                  <c:v>NPK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Machining'!$H$5:$H$16</c:f>
              <c:numCache>
                <c:formatCode>#,##0</c:formatCode>
                <c:ptCount val="12"/>
                <c:pt idx="0">
                  <c:v>8737.4817945205486</c:v>
                </c:pt>
                <c:pt idx="1">
                  <c:v>9028.7311876712338</c:v>
                </c:pt>
                <c:pt idx="2">
                  <c:v>9028.7311876712338</c:v>
                </c:pt>
                <c:pt idx="3">
                  <c:v>8737.4817945205486</c:v>
                </c:pt>
                <c:pt idx="4">
                  <c:v>9028.7311876712338</c:v>
                </c:pt>
                <c:pt idx="5">
                  <c:v>8737.4817945205486</c:v>
                </c:pt>
                <c:pt idx="6">
                  <c:v>9028.7311876712338</c:v>
                </c:pt>
                <c:pt idx="7">
                  <c:v>9028.7311876712338</c:v>
                </c:pt>
                <c:pt idx="8">
                  <c:v>8154.9830082191793</c:v>
                </c:pt>
                <c:pt idx="9">
                  <c:v>9028.7311876712338</c:v>
                </c:pt>
                <c:pt idx="10">
                  <c:v>8737.4817945205486</c:v>
                </c:pt>
                <c:pt idx="11">
                  <c:v>9028.7311876712338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5-4057-AAF7-BDB36DC7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0"/>
          <c:order val="0"/>
          <c:tx>
            <c:strRef>
              <c:f>'Tab. Machining'!$G$4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rgbClr val="008100"/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Machining'!$G$5:$G$16</c:f>
              <c:numCache>
                <c:formatCode>#,##0</c:formatCode>
                <c:ptCount val="12"/>
                <c:pt idx="3">
                  <c:v>767</c:v>
                </c:pt>
                <c:pt idx="4">
                  <c:v>767</c:v>
                </c:pt>
                <c:pt idx="5">
                  <c:v>767</c:v>
                </c:pt>
                <c:pt idx="6">
                  <c:v>767</c:v>
                </c:pt>
                <c:pt idx="7">
                  <c:v>767</c:v>
                </c:pt>
                <c:pt idx="8">
                  <c:v>767</c:v>
                </c:pt>
                <c:pt idx="9">
                  <c:v>766</c:v>
                </c:pt>
                <c:pt idx="10">
                  <c:v>766</c:v>
                </c:pt>
                <c:pt idx="11">
                  <c:v>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C-42FA-AD1A-23563A080CAE}"/>
            </c:ext>
          </c:extLst>
        </c:ser>
        <c:ser>
          <c:idx val="1"/>
          <c:order val="2"/>
          <c:tx>
            <c:strRef>
              <c:f>'Tab. Machining'!$C$4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Machining'!$C$5:$C$16</c:f>
              <c:numCache>
                <c:formatCode>#,##0</c:formatCode>
                <c:ptCount val="12"/>
                <c:pt idx="0">
                  <c:v>8475</c:v>
                </c:pt>
                <c:pt idx="1">
                  <c:v>6792.5</c:v>
                </c:pt>
                <c:pt idx="2">
                  <c:v>8144</c:v>
                </c:pt>
                <c:pt idx="3">
                  <c:v>6540</c:v>
                </c:pt>
                <c:pt idx="4">
                  <c:v>7635</c:v>
                </c:pt>
                <c:pt idx="5">
                  <c:v>6550</c:v>
                </c:pt>
                <c:pt idx="6">
                  <c:v>5756</c:v>
                </c:pt>
                <c:pt idx="7">
                  <c:v>4610</c:v>
                </c:pt>
                <c:pt idx="8">
                  <c:v>3982</c:v>
                </c:pt>
                <c:pt idx="9">
                  <c:v>2236</c:v>
                </c:pt>
                <c:pt idx="10">
                  <c:v>3582</c:v>
                </c:pt>
                <c:pt idx="11">
                  <c:v>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5-4057-AAF7-BDB36DC71298}"/>
            </c:ext>
          </c:extLst>
        </c:ser>
        <c:ser>
          <c:idx val="2"/>
          <c:order val="3"/>
          <c:tx>
            <c:v>LOI</c:v>
          </c:tx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Machining'!$F$5:$F$16</c:f>
              <c:numCache>
                <c:formatCode>#,##0</c:formatCode>
                <c:ptCount val="12"/>
                <c:pt idx="6">
                  <c:v>500</c:v>
                </c:pt>
                <c:pt idx="7">
                  <c:v>500</c:v>
                </c:pt>
                <c:pt idx="8">
                  <c:v>3000</c:v>
                </c:pt>
                <c:pt idx="9">
                  <c:v>3700</c:v>
                </c:pt>
                <c:pt idx="10">
                  <c:v>4000</c:v>
                </c:pt>
                <c:pt idx="11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5-4057-AAF7-BDB36DC7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</c:barChart>
      <c:date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Offset val="100"/>
        <c:baseTimeUnit val="months"/>
      </c:dateAx>
      <c:valAx>
        <c:axId val="246461568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1057400281978603"/>
          <c:w val="0.89649457170126456"/>
          <c:h val="0.59371745042233459"/>
        </c:manualLayout>
      </c:layout>
      <c:areaChart>
        <c:grouping val="standard"/>
        <c:varyColors val="0"/>
        <c:ser>
          <c:idx val="5"/>
          <c:order val="2"/>
          <c:tx>
            <c:strRef>
              <c:f>'Tab. Assembly'!$J$4</c:f>
              <c:strCache>
                <c:ptCount val="1"/>
                <c:pt idx="0">
                  <c:v>NPK + Labour Supply+ Job contractor capacity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ysClr val="windowText" lastClr="000000"/>
              </a:solidFill>
            </a:ln>
          </c:spPr>
          <c:cat>
            <c:numRef>
              <c:f>'Tab. Assembly'!$B$5:$B$16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Assembly'!$J$5:$J$16</c:f>
              <c:numCache>
                <c:formatCode>#,##0</c:formatCode>
                <c:ptCount val="12"/>
                <c:pt idx="0">
                  <c:v>5423.547945205476</c:v>
                </c:pt>
                <c:pt idx="1">
                  <c:v>5604.3328767123257</c:v>
                </c:pt>
                <c:pt idx="2">
                  <c:v>5604.3328767123257</c:v>
                </c:pt>
                <c:pt idx="3">
                  <c:v>5423.547945205476</c:v>
                </c:pt>
                <c:pt idx="4">
                  <c:v>5604.3328767123257</c:v>
                </c:pt>
                <c:pt idx="5">
                  <c:v>5423.547945205476</c:v>
                </c:pt>
                <c:pt idx="6">
                  <c:v>5604.3328767123257</c:v>
                </c:pt>
                <c:pt idx="7">
                  <c:v>5604.3328767123257</c:v>
                </c:pt>
                <c:pt idx="8">
                  <c:v>5061.9780821917775</c:v>
                </c:pt>
                <c:pt idx="9">
                  <c:v>5604.3328767123257</c:v>
                </c:pt>
                <c:pt idx="10">
                  <c:v>5423.547945205476</c:v>
                </c:pt>
                <c:pt idx="11">
                  <c:v>5604.3328767123257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4-413E-97DE-BB44AE0F7A48}"/>
            </c:ext>
          </c:extLst>
        </c:ser>
        <c:ser>
          <c:idx val="4"/>
          <c:order val="3"/>
          <c:tx>
            <c:strRef>
              <c:f>'Tab. Assembly'!$G$4</c:f>
              <c:strCache>
                <c:ptCount val="1"/>
                <c:pt idx="0">
                  <c:v>SMI-MFG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Assembly'!$B$5:$B$16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Assembly'!$G$5:$G$16</c:f>
              <c:numCache>
                <c:formatCode>#,##0</c:formatCode>
                <c:ptCount val="12"/>
                <c:pt idx="0">
                  <c:v>1355.886986301369</c:v>
                </c:pt>
                <c:pt idx="1">
                  <c:v>1401.0832191780814</c:v>
                </c:pt>
                <c:pt idx="2">
                  <c:v>1401.0832191780814</c:v>
                </c:pt>
                <c:pt idx="3">
                  <c:v>1355.886986301369</c:v>
                </c:pt>
                <c:pt idx="4">
                  <c:v>1401.0832191780814</c:v>
                </c:pt>
                <c:pt idx="5">
                  <c:v>1355.886986301369</c:v>
                </c:pt>
                <c:pt idx="6">
                  <c:v>1401.0832191780814</c:v>
                </c:pt>
                <c:pt idx="7">
                  <c:v>1401.0832191780814</c:v>
                </c:pt>
                <c:pt idx="8">
                  <c:v>1265.4945205479444</c:v>
                </c:pt>
                <c:pt idx="9">
                  <c:v>1401.0832191780814</c:v>
                </c:pt>
                <c:pt idx="10">
                  <c:v>1355.886986301369</c:v>
                </c:pt>
                <c:pt idx="11">
                  <c:v>1401.0832191780814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4-413E-97DE-BB44AE0F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14816"/>
        <c:axId val="246516352"/>
      </c:areaChart>
      <c:barChart>
        <c:barDir val="col"/>
        <c:grouping val="stacked"/>
        <c:varyColors val="0"/>
        <c:ser>
          <c:idx val="0"/>
          <c:order val="0"/>
          <c:tx>
            <c:strRef>
              <c:f>'Tab. Assembly'!$E$4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rgbClr val="008100"/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'Tab. Assembly'!$B$5:$B$16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Assembly'!$E$5:$E$16</c:f>
              <c:numCache>
                <c:formatCode>#,##0</c:formatCode>
                <c:ptCount val="12"/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B-4C41-B4F7-1EACF228A299}"/>
            </c:ext>
          </c:extLst>
        </c:ser>
        <c:ser>
          <c:idx val="1"/>
          <c:order val="1"/>
          <c:tx>
            <c:strRef>
              <c:f>'Tab. Assembly'!$C$4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474-413E-97DE-BB44AE0F7A48}"/>
              </c:ext>
            </c:extLst>
          </c:dPt>
          <c:cat>
            <c:numRef>
              <c:f>'Tab. Assembly'!$B$5:$B$16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Assembly'!$C$5:$C$16</c:f>
              <c:numCache>
                <c:formatCode>#,##0</c:formatCode>
                <c:ptCount val="12"/>
                <c:pt idx="0">
                  <c:v>5428</c:v>
                </c:pt>
                <c:pt idx="1">
                  <c:v>5543</c:v>
                </c:pt>
                <c:pt idx="2">
                  <c:v>5538</c:v>
                </c:pt>
                <c:pt idx="3">
                  <c:v>5614</c:v>
                </c:pt>
                <c:pt idx="4">
                  <c:v>5542</c:v>
                </c:pt>
                <c:pt idx="5">
                  <c:v>4785</c:v>
                </c:pt>
                <c:pt idx="6">
                  <c:v>5315</c:v>
                </c:pt>
                <c:pt idx="7">
                  <c:v>4710</c:v>
                </c:pt>
                <c:pt idx="8">
                  <c:v>3060</c:v>
                </c:pt>
                <c:pt idx="9">
                  <c:v>1070</c:v>
                </c:pt>
                <c:pt idx="10">
                  <c:v>-400</c:v>
                </c:pt>
                <c:pt idx="11">
                  <c:v>-470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4-413E-97DE-BB44AE0F7A48}"/>
            </c:ext>
          </c:extLst>
        </c:ser>
        <c:ser>
          <c:idx val="2"/>
          <c:order val="4"/>
          <c:tx>
            <c:strRef>
              <c:f>'Tab. Assembly'!$F$4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12700">
              <a:solidFill>
                <a:sysClr val="windowText" lastClr="000000"/>
              </a:solidFill>
            </a:ln>
          </c:spPr>
          <c:invertIfNegative val="0"/>
          <c:cat>
            <c:numRef>
              <c:f>'Tab. Assembly'!$B$5:$B$16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Assembly'!$F$5:$F$16</c:f>
              <c:numCache>
                <c:formatCode>#,##0</c:formatCode>
                <c:ptCount val="12"/>
                <c:pt idx="7">
                  <c:v>250</c:v>
                </c:pt>
                <c:pt idx="8">
                  <c:v>1500</c:v>
                </c:pt>
                <c:pt idx="9">
                  <c:v>4100</c:v>
                </c:pt>
                <c:pt idx="10">
                  <c:v>4700</c:v>
                </c:pt>
                <c:pt idx="11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74-413E-97DE-BB44AE0F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514816"/>
        <c:axId val="246516352"/>
      </c:barChart>
      <c:dateAx>
        <c:axId val="2465148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516352"/>
        <c:crosses val="autoZero"/>
        <c:auto val="1"/>
        <c:lblOffset val="100"/>
        <c:baseTimeUnit val="months"/>
      </c:dateAx>
      <c:valAx>
        <c:axId val="246516352"/>
        <c:scaling>
          <c:orientation val="minMax"/>
          <c:max val="7000"/>
          <c:min val="0"/>
        </c:scaling>
        <c:delete val="0"/>
        <c:axPos val="l"/>
        <c:numFmt formatCode="#,##0\ &quot;h&quot;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514816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areaChart>
        <c:grouping val="standard"/>
        <c:varyColors val="0"/>
        <c:ser>
          <c:idx val="4"/>
          <c:order val="2"/>
          <c:tx>
            <c:strRef>
              <c:f>'Tab. RR'!$G$4</c:f>
              <c:strCache>
                <c:ptCount val="1"/>
                <c:pt idx="0">
                  <c:v>NPK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RR'!$B$5:$B$16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RR'!$G$5:$G$16</c:f>
              <c:numCache>
                <c:formatCode>#,##0</c:formatCode>
                <c:ptCount val="12"/>
                <c:pt idx="0">
                  <c:v>2264.6691616438352</c:v>
                </c:pt>
                <c:pt idx="1">
                  <c:v>2340.1581336986296</c:v>
                </c:pt>
                <c:pt idx="2">
                  <c:v>2340.1581336986296</c:v>
                </c:pt>
                <c:pt idx="3">
                  <c:v>2264.6691616438352</c:v>
                </c:pt>
                <c:pt idx="4">
                  <c:v>2340.1581336986296</c:v>
                </c:pt>
                <c:pt idx="5">
                  <c:v>2264.6691616438352</c:v>
                </c:pt>
                <c:pt idx="6">
                  <c:v>2340.1581336986296</c:v>
                </c:pt>
                <c:pt idx="7">
                  <c:v>2340.1581336986296</c:v>
                </c:pt>
                <c:pt idx="8">
                  <c:v>2113.6912175342463</c:v>
                </c:pt>
                <c:pt idx="9">
                  <c:v>2340.1581336986296</c:v>
                </c:pt>
                <c:pt idx="10">
                  <c:v>2264.6691616438352</c:v>
                </c:pt>
                <c:pt idx="11">
                  <c:v>2340.1581336986296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5-469F-8007-F518B72BB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1"/>
          <c:order val="0"/>
          <c:tx>
            <c:strRef>
              <c:f>'Tab. RR'!$C$4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RR'!$C$5:$C$16</c:f>
              <c:numCache>
                <c:formatCode>#,##0</c:formatCode>
                <c:ptCount val="12"/>
                <c:pt idx="0">
                  <c:v>1800</c:v>
                </c:pt>
                <c:pt idx="1">
                  <c:v>1600</c:v>
                </c:pt>
                <c:pt idx="2">
                  <c:v>1500</c:v>
                </c:pt>
                <c:pt idx="3">
                  <c:v>1400</c:v>
                </c:pt>
                <c:pt idx="4">
                  <c:v>1300</c:v>
                </c:pt>
                <c:pt idx="5">
                  <c:v>1200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1176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5-469F-8007-F518B72BB9B0}"/>
            </c:ext>
          </c:extLst>
        </c:ser>
        <c:ser>
          <c:idx val="2"/>
          <c:order val="1"/>
          <c:tx>
            <c:strRef>
              <c:f>'Tab. RR'!$F$4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RR'!$F$5:$F$16</c:f>
              <c:numCache>
                <c:formatCode>#,##0</c:formatCode>
                <c:ptCount val="12"/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55-469F-8007-F518B72BB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</c:barChart>
      <c:date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Offset val="100"/>
        <c:baseTimeUnit val="months"/>
      </c:dateAx>
      <c:valAx>
        <c:axId val="246461568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areaChart>
        <c:grouping val="standard"/>
        <c:varyColors val="0"/>
        <c:ser>
          <c:idx val="4"/>
          <c:order val="2"/>
          <c:tx>
            <c:strRef>
              <c:f>'Tab. Plating'!$G$4</c:f>
              <c:strCache>
                <c:ptCount val="1"/>
                <c:pt idx="0">
                  <c:v>NPK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Plating'!$B$5:$B$16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Plating'!$G$5:$G$16</c:f>
              <c:numCache>
                <c:formatCode>0</c:formatCode>
                <c:ptCount val="12"/>
                <c:pt idx="0">
                  <c:v>2441.1008219178079</c:v>
                </c:pt>
                <c:pt idx="1">
                  <c:v>2522.4708493150683</c:v>
                </c:pt>
                <c:pt idx="2">
                  <c:v>2522.4708493150683</c:v>
                </c:pt>
                <c:pt idx="3">
                  <c:v>2441.1008219178079</c:v>
                </c:pt>
                <c:pt idx="4">
                  <c:v>2522.4708493150683</c:v>
                </c:pt>
                <c:pt idx="5">
                  <c:v>2441.1008219178079</c:v>
                </c:pt>
                <c:pt idx="6">
                  <c:v>2522.4708493150683</c:v>
                </c:pt>
                <c:pt idx="7">
                  <c:v>2522.4708493150683</c:v>
                </c:pt>
                <c:pt idx="8">
                  <c:v>2278.3607671232876</c:v>
                </c:pt>
                <c:pt idx="9">
                  <c:v>2522.4708493150683</c:v>
                </c:pt>
                <c:pt idx="10">
                  <c:v>2441.1008219178079</c:v>
                </c:pt>
                <c:pt idx="11">
                  <c:v>2522.4708493150683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B-4F08-8C08-2C2F70155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1"/>
          <c:order val="0"/>
          <c:tx>
            <c:strRef>
              <c:f>'Tab. Plating'!$C$4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Plating'!$C$5:$C$16</c:f>
              <c:numCache>
                <c:formatCode>#,##0</c:formatCode>
                <c:ptCount val="12"/>
                <c:pt idx="0">
                  <c:v>1300</c:v>
                </c:pt>
                <c:pt idx="1">
                  <c:v>1300</c:v>
                </c:pt>
                <c:pt idx="2">
                  <c:v>1200</c:v>
                </c:pt>
                <c:pt idx="3">
                  <c:v>1000</c:v>
                </c:pt>
                <c:pt idx="4">
                  <c:v>1000</c:v>
                </c:pt>
                <c:pt idx="5">
                  <c:v>890</c:v>
                </c:pt>
                <c:pt idx="6">
                  <c:v>800</c:v>
                </c:pt>
                <c:pt idx="7">
                  <c:v>700</c:v>
                </c:pt>
                <c:pt idx="8">
                  <c:v>600</c:v>
                </c:pt>
                <c:pt idx="9">
                  <c:v>500</c:v>
                </c:pt>
                <c:pt idx="10">
                  <c:v>500</c:v>
                </c:pt>
                <c:pt idx="11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B-4F08-8C08-2C2F70155CEC}"/>
            </c:ext>
          </c:extLst>
        </c:ser>
        <c:ser>
          <c:idx val="2"/>
          <c:order val="1"/>
          <c:tx>
            <c:strRef>
              <c:f>'Tab. Plating'!$F$4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'Tab. Plating'!$F$5:$F$16</c:f>
              <c:numCache>
                <c:formatCode>#,##0</c:formatCode>
                <c:ptCount val="12"/>
                <c:pt idx="3">
                  <c:v>1400</c:v>
                </c:pt>
                <c:pt idx="4">
                  <c:v>1500</c:v>
                </c:pt>
                <c:pt idx="5">
                  <c:v>1556</c:v>
                </c:pt>
                <c:pt idx="6">
                  <c:v>1556</c:v>
                </c:pt>
                <c:pt idx="7">
                  <c:v>1556</c:v>
                </c:pt>
                <c:pt idx="8">
                  <c:v>1555</c:v>
                </c:pt>
                <c:pt idx="9">
                  <c:v>1555</c:v>
                </c:pt>
                <c:pt idx="10">
                  <c:v>1555</c:v>
                </c:pt>
                <c:pt idx="11">
                  <c:v>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7B-4F08-8C08-2C2F70155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</c:barChart>
      <c:date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Offset val="100"/>
        <c:baseTimeUnit val="months"/>
      </c:dateAx>
      <c:valAx>
        <c:axId val="246461568"/>
        <c:scaling>
          <c:orientation val="minMax"/>
          <c:min val="0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1.9320787451084988E-2"/>
          <c:w val="0.89649457170126456"/>
          <c:h val="0.91601277874040354"/>
        </c:manualLayout>
      </c:layout>
      <c:areaChart>
        <c:grouping val="standard"/>
        <c:varyColors val="0"/>
        <c:ser>
          <c:idx val="4"/>
          <c:order val="1"/>
          <c:tx>
            <c:strRef>
              <c:f>'Service Machining'!$J$4</c:f>
              <c:strCache>
                <c:ptCount val="1"/>
                <c:pt idx="0">
                  <c:v>NPK
CNC Milling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RR'!$B$5:$B$16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Machining'!$J$5:$J$16</c:f>
              <c:numCache>
                <c:formatCode>#,##0</c:formatCode>
                <c:ptCount val="12"/>
                <c:pt idx="0">
                  <c:v>3919.7752191780819</c:v>
                </c:pt>
                <c:pt idx="1">
                  <c:v>4050.4343931506851</c:v>
                </c:pt>
                <c:pt idx="2">
                  <c:v>4050.4343931506851</c:v>
                </c:pt>
                <c:pt idx="3">
                  <c:v>3919.7752191780819</c:v>
                </c:pt>
                <c:pt idx="4">
                  <c:v>4050.4343931506851</c:v>
                </c:pt>
                <c:pt idx="5">
                  <c:v>3919.7752191780819</c:v>
                </c:pt>
                <c:pt idx="6">
                  <c:v>4050.4343931506851</c:v>
                </c:pt>
                <c:pt idx="7">
                  <c:v>4050.4343931506851</c:v>
                </c:pt>
                <c:pt idx="8">
                  <c:v>3658.4568712328764</c:v>
                </c:pt>
                <c:pt idx="9">
                  <c:v>4050.4343931506851</c:v>
                </c:pt>
                <c:pt idx="10">
                  <c:v>3919.7752191780819</c:v>
                </c:pt>
                <c:pt idx="11">
                  <c:v>4050.4343931506851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5-4C3C-AD9B-E3F16033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3"/>
          <c:order val="0"/>
          <c:tx>
            <c:strRef>
              <c:f>'Service Machining'!$C$4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rgbClr val="008100"/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'Service Machining'!$A$5:$A$16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Machining'!$C$5:$C$16</c:f>
              <c:numCache>
                <c:formatCode>#,##0</c:formatCode>
                <c:ptCount val="12"/>
                <c:pt idx="3">
                  <c:v>400</c:v>
                </c:pt>
                <c:pt idx="4">
                  <c:v>400</c:v>
                </c:pt>
                <c:pt idx="5">
                  <c:v>300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6-4371-9DA5-E0DE0189B826}"/>
            </c:ext>
          </c:extLst>
        </c:ser>
        <c:ser>
          <c:idx val="1"/>
          <c:order val="2"/>
          <c:tx>
            <c:strRef>
              <c:f>'Service Machining'!$B$4</c:f>
              <c:strCache>
                <c:ptCount val="1"/>
                <c:pt idx="0">
                  <c:v>Orders
CNC Milling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chemeClr val="tx1"/>
              </a:solidFill>
            </a:ln>
          </c:spPr>
          <c:invertIfNegative val="0"/>
          <c:cat>
            <c:numRef>
              <c:f>'Service Machining'!$A$5:$A$16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Machining'!$B$5:$B$16</c:f>
              <c:numCache>
                <c:formatCode>#,##0</c:formatCode>
                <c:ptCount val="12"/>
                <c:pt idx="0">
                  <c:v>3621</c:v>
                </c:pt>
                <c:pt idx="1">
                  <c:v>3693.5</c:v>
                </c:pt>
                <c:pt idx="2">
                  <c:v>3630</c:v>
                </c:pt>
                <c:pt idx="3">
                  <c:v>3071</c:v>
                </c:pt>
                <c:pt idx="4">
                  <c:v>3036</c:v>
                </c:pt>
                <c:pt idx="5">
                  <c:v>3106</c:v>
                </c:pt>
                <c:pt idx="6">
                  <c:v>2772</c:v>
                </c:pt>
                <c:pt idx="7">
                  <c:v>2639</c:v>
                </c:pt>
                <c:pt idx="8">
                  <c:v>2671</c:v>
                </c:pt>
                <c:pt idx="9">
                  <c:v>1500</c:v>
                </c:pt>
                <c:pt idx="10">
                  <c:v>1500</c:v>
                </c:pt>
                <c:pt idx="11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5-4C3C-AD9B-E3F16033876B}"/>
            </c:ext>
          </c:extLst>
        </c:ser>
        <c:ser>
          <c:idx val="0"/>
          <c:order val="3"/>
          <c:tx>
            <c:strRef>
              <c:f>'Service Machining'!$I$4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numRef>
              <c:f>'Service Machining'!$A$5:$A$16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Machining'!$D$5:$D$16</c:f>
              <c:numCache>
                <c:formatCode>#,##0</c:formatCode>
                <c:ptCount val="12"/>
                <c:pt idx="5">
                  <c:v>400</c:v>
                </c:pt>
                <c:pt idx="6">
                  <c:v>500</c:v>
                </c:pt>
                <c:pt idx="7">
                  <c:v>650</c:v>
                </c:pt>
                <c:pt idx="8">
                  <c:v>800</c:v>
                </c:pt>
                <c:pt idx="9">
                  <c:v>1500</c:v>
                </c:pt>
                <c:pt idx="10">
                  <c:v>1800</c:v>
                </c:pt>
                <c:pt idx="11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1-4CB7-9F8F-9B2E5022D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  <c:extLst/>
      </c:barChart>
      <c:date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Offset val="100"/>
        <c:baseTimeUnit val="months"/>
      </c:dateAx>
      <c:valAx>
        <c:axId val="24646156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noFill/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barChart>
        <c:barDir val="col"/>
        <c:grouping val="stacked"/>
        <c:varyColors val="0"/>
        <c:ser>
          <c:idx val="4"/>
          <c:order val="0"/>
          <c:spPr>
            <a:solidFill>
              <a:schemeClr val="accent1"/>
            </a:solidFill>
            <a:ln w="3175">
              <a:solidFill>
                <a:sysClr val="windowText" lastClr="000000"/>
              </a:solidFill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BC4-4146-920E-86C1FF330967}"/>
            </c:ext>
          </c:extLst>
        </c:ser>
        <c:ser>
          <c:idx val="2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BC4-4146-920E-86C1FF330967}"/>
            </c:ext>
          </c:extLst>
        </c:ser>
        <c:ser>
          <c:idx val="0"/>
          <c:order val="2"/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F41-4C8C-B5F4-3D41954B2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451584"/>
        <c:axId val="246461568"/>
      </c:barChart>
      <c:cat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Algn val="ctr"/>
        <c:lblOffset val="100"/>
        <c:noMultiLvlLbl val="1"/>
      </c:catAx>
      <c:valAx>
        <c:axId val="246461568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noFill/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9.1036806732923678E-2"/>
          <c:w val="0.89649457170126456"/>
          <c:h val="0.81325447599079614"/>
        </c:manualLayout>
      </c:layout>
      <c:areaChart>
        <c:grouping val="standard"/>
        <c:varyColors val="0"/>
        <c:ser>
          <c:idx val="4"/>
          <c:order val="2"/>
          <c:tx>
            <c:strRef>
              <c:f>'Service Machining'!$K$4</c:f>
              <c:strCache>
                <c:ptCount val="1"/>
                <c:pt idx="0">
                  <c:v>NPK
Lathe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numRef>
              <c:f>'Tab. RR'!$B$5:$B$16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Machining'!$K$5:$K$16</c:f>
              <c:numCache>
                <c:formatCode>#,##0</c:formatCode>
                <c:ptCount val="12"/>
                <c:pt idx="0">
                  <c:v>4817.7065753424649</c:v>
                </c:pt>
                <c:pt idx="1">
                  <c:v>4978.2967945205473</c:v>
                </c:pt>
                <c:pt idx="2">
                  <c:v>4978.2967945205473</c:v>
                </c:pt>
                <c:pt idx="3">
                  <c:v>4817.7065753424649</c:v>
                </c:pt>
                <c:pt idx="4">
                  <c:v>4978.2967945205473</c:v>
                </c:pt>
                <c:pt idx="5">
                  <c:v>4817.7065753424649</c:v>
                </c:pt>
                <c:pt idx="6">
                  <c:v>4978.2967945205473</c:v>
                </c:pt>
                <c:pt idx="7">
                  <c:v>4978.2967945205473</c:v>
                </c:pt>
                <c:pt idx="8">
                  <c:v>4496.5261369863001</c:v>
                </c:pt>
                <c:pt idx="9">
                  <c:v>4978.2967945205473</c:v>
                </c:pt>
                <c:pt idx="10">
                  <c:v>4817.7065753424649</c:v>
                </c:pt>
                <c:pt idx="11">
                  <c:v>4978.2967945205473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6-4FE1-8FAD-08D19B3D9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3"/>
          <c:order val="0"/>
          <c:tx>
            <c:strRef>
              <c:f>'Service Machining'!$F$4</c:f>
              <c:strCache>
                <c:ptCount val="1"/>
                <c:pt idx="0">
                  <c:v>Service Basic</c:v>
                </c:pt>
              </c:strCache>
            </c:strRef>
          </c:tx>
          <c:spPr>
            <a:solidFill>
              <a:srgbClr val="008100"/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'Service Machining'!$A$5:$A$16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Machining'!$F$5:$F$16</c:f>
              <c:numCache>
                <c:formatCode>#,##0</c:formatCode>
                <c:ptCount val="12"/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8-4ECB-A807-5AE650EF3B37}"/>
            </c:ext>
          </c:extLst>
        </c:ser>
        <c:ser>
          <c:idx val="1"/>
          <c:order val="1"/>
          <c:tx>
            <c:strRef>
              <c:f>'Service Machining'!$E$4</c:f>
              <c:strCache>
                <c:ptCount val="1"/>
                <c:pt idx="0">
                  <c:v>Orders
Lathe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3175">
              <a:solidFill>
                <a:schemeClr val="tx1"/>
              </a:solidFill>
            </a:ln>
          </c:spPr>
          <c:invertIfNegative val="0"/>
          <c:cat>
            <c:numRef>
              <c:f>'Service Machining'!$A$5:$A$16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Machining'!$E$5:$E$16</c:f>
              <c:numCache>
                <c:formatCode>#,##0</c:formatCode>
                <c:ptCount val="12"/>
                <c:pt idx="0">
                  <c:v>-200</c:v>
                </c:pt>
                <c:pt idx="1">
                  <c:v>-200</c:v>
                </c:pt>
                <c:pt idx="2">
                  <c:v>0</c:v>
                </c:pt>
                <c:pt idx="3">
                  <c:v>-250</c:v>
                </c:pt>
                <c:pt idx="4">
                  <c:v>0</c:v>
                </c:pt>
                <c:pt idx="5">
                  <c:v>0</c:v>
                </c:pt>
                <c:pt idx="6">
                  <c:v>500</c:v>
                </c:pt>
                <c:pt idx="7">
                  <c:v>1700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6-4FE1-8FAD-08D19B3D919E}"/>
            </c:ext>
          </c:extLst>
        </c:ser>
        <c:ser>
          <c:idx val="0"/>
          <c:order val="3"/>
          <c:tx>
            <c:strRef>
              <c:f>'Service Machining'!$I$4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chemeClr val="accent1"/>
              </a:solidFill>
            </a:ln>
          </c:spPr>
          <c:invertIfNegative val="0"/>
          <c:cat>
            <c:numRef>
              <c:f>'Service Machining'!$A$5:$A$16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'Service Machining'!$I$5:$I$16</c:f>
              <c:numCache>
                <c:formatCode>#,##0</c:formatCode>
                <c:ptCount val="12"/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1500</c:v>
                </c:pt>
                <c:pt idx="9">
                  <c:v>1400</c:v>
                </c:pt>
                <c:pt idx="10">
                  <c:v>1400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F-4A15-AEA5-D4D9CF729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  <c:extLst/>
      </c:barChart>
      <c:date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Offset val="100"/>
        <c:baseTimeUnit val="months"/>
      </c:dateAx>
      <c:valAx>
        <c:axId val="24646156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noFill/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areaChart>
        <c:grouping val="standard"/>
        <c:varyColors val="0"/>
        <c:ser>
          <c:idx val="4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F-4AD1-B035-8E11438F7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1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E10000"/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F-4AD1-B035-8E11438F7E22}"/>
            </c:ext>
          </c:extLst>
        </c:ser>
        <c:ser>
          <c:idx val="2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F-4AD1-B035-8E11438F7E22}"/>
            </c:ext>
          </c:extLst>
        </c:ser>
        <c:ser>
          <c:idx val="0"/>
          <c:order val="3"/>
          <c:tx>
            <c:strRef>
              <c:f>Charts!$BL$63</c:f>
              <c:strCache>
                <c:ptCount val="1"/>
                <c:pt idx="0">
                  <c:v>NPK f. 12 Mth.:</c:v>
                </c:pt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Charts!$BL$64:$BL$67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901-46B4-BFE4-60B0C7CE2375}"/>
            </c:ext>
          </c:extLst>
        </c:ser>
        <c:ser>
          <c:idx val="3"/>
          <c:order val="4"/>
          <c:tx>
            <c:strRef>
              <c:f>Charts!$BM$63</c:f>
              <c:strCache>
                <c:ptCount val="1"/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Charts!$BM$64:$BM$67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C901-46B4-BFE4-60B0C7CE2375}"/>
            </c:ext>
          </c:extLst>
        </c:ser>
        <c:ser>
          <c:idx val="5"/>
          <c:order val="5"/>
          <c:tx>
            <c:strRef>
              <c:f>Charts!$BN$63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Charts!$BN$64:$BN$67</c:f>
              <c:numCache>
                <c:formatCode>#,##0\ "h"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C901-46B4-BFE4-60B0C7CE2375}"/>
            </c:ext>
          </c:extLst>
        </c:ser>
        <c:ser>
          <c:idx val="6"/>
          <c:order val="6"/>
          <c:tx>
            <c:strRef>
              <c:f>Charts!$BO$63</c:f>
              <c:strCache>
                <c:ptCount val="1"/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Charts!$BO$64:$BO$67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C901-46B4-BFE4-60B0C7CE2375}"/>
            </c:ext>
          </c:extLst>
        </c:ser>
        <c:ser>
          <c:idx val="7"/>
          <c:order val="7"/>
          <c:tx>
            <c:strRef>
              <c:f>Charts!$BP$63</c:f>
              <c:strCache>
                <c:ptCount val="1"/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Charts!$BP$64:$BP$67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C901-46B4-BFE4-60B0C7CE2375}"/>
            </c:ext>
          </c:extLst>
        </c:ser>
        <c:ser>
          <c:idx val="8"/>
          <c:order val="8"/>
          <c:tx>
            <c:strRef>
              <c:f>Charts!$BQ$63</c:f>
              <c:strCache>
                <c:ptCount val="1"/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Charts!$BQ$64:$BQ$67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C901-46B4-BFE4-60B0C7CE2375}"/>
            </c:ext>
          </c:extLst>
        </c:ser>
        <c:ser>
          <c:idx val="9"/>
          <c:order val="9"/>
          <c:tx>
            <c:strRef>
              <c:f>Charts!$BR$63</c:f>
              <c:strCache>
                <c:ptCount val="1"/>
                <c:pt idx="0">
                  <c:v>Order backlog f. 12 Mth.:</c:v>
                </c:pt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Charts!$BR$64:$BR$67</c:f>
              <c:numCache>
                <c:formatCode>General</c:formatCode>
                <c:ptCount val="4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01-46B4-BFE4-60B0C7CE2375}"/>
            </c:ext>
          </c:extLst>
        </c:ser>
        <c:ser>
          <c:idx val="10"/>
          <c:order val="10"/>
          <c:tx>
            <c:strRef>
              <c:f>Charts!$BS$63</c:f>
              <c:strCache>
                <c:ptCount val="1"/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Charts!$BS$64:$BS$67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C901-46B4-BFE4-60B0C7CE2375}"/>
            </c:ext>
          </c:extLst>
        </c:ser>
        <c:ser>
          <c:idx val="11"/>
          <c:order val="11"/>
          <c:tx>
            <c:strRef>
              <c:f>Charts!$BT$63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Charts!$BI$64:$BK$67</c:f>
            </c:multiLvlStrRef>
          </c:cat>
          <c:val>
            <c:numRef>
              <c:f>Charts!$BT$64:$BT$67</c:f>
              <c:numCache>
                <c:formatCode>#,##0\ "h"</c:formatCode>
                <c:ptCount val="4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01-46B4-BFE4-60B0C7CE2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</c:barChart>
      <c:date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Offset val="100"/>
        <c:baseTimeUnit val="months"/>
      </c:dateAx>
      <c:valAx>
        <c:axId val="246461568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areaChart>
        <c:grouping val="standard"/>
        <c:varyColors val="0"/>
        <c:ser>
          <c:idx val="4"/>
          <c:order val="2"/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8AB-4F09-83DC-2746C6A7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1"/>
          <c:order val="0"/>
          <c:spPr>
            <a:solidFill>
              <a:srgbClr val="E10000"/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8AB-4F09-83DC-2746C6A780A7}"/>
            </c:ext>
          </c:extLst>
        </c:ser>
        <c:ser>
          <c:idx val="2"/>
          <c:order val="1"/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8AB-4F09-83DC-2746C6A7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</c:barChart>
      <c:cat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Algn val="ctr"/>
        <c:lblOffset val="100"/>
        <c:noMultiLvlLbl val="1"/>
      </c:catAx>
      <c:valAx>
        <c:axId val="246461568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2094965402051E-2"/>
          <c:y val="0.32604190315096965"/>
          <c:w val="0.89649457170126456"/>
          <c:h val="0.57824955009115098"/>
        </c:manualLayout>
      </c:layout>
      <c:areaChart>
        <c:grouping val="standard"/>
        <c:varyColors val="0"/>
        <c:ser>
          <c:idx val="4"/>
          <c:order val="2"/>
          <c:spPr>
            <a:solidFill>
              <a:schemeClr val="bg1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0FB-42DC-B6BE-9F149031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451584"/>
        <c:axId val="246461568"/>
      </c:areaChart>
      <c:barChart>
        <c:barDir val="col"/>
        <c:grouping val="stacked"/>
        <c:varyColors val="0"/>
        <c:ser>
          <c:idx val="1"/>
          <c:order val="0"/>
          <c:spPr>
            <a:solidFill>
              <a:srgbClr val="E10000"/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0FB-42DC-B6BE-9F1490317065}"/>
            </c:ext>
          </c:extLst>
        </c:ser>
        <c:ser>
          <c:idx val="2"/>
          <c:order val="1"/>
          <c:spPr>
            <a:solidFill>
              <a:schemeClr val="tx2">
                <a:lumMod val="75000"/>
              </a:schemeClr>
            </a:solidFill>
            <a:ln w="3175">
              <a:solidFill>
                <a:sysClr val="windowText" lastClr="000000"/>
              </a:solidFill>
            </a:ln>
          </c:spPr>
          <c:invertIfNegative val="0"/>
          <c:cat>
            <c:numRef>
              <c:f>'Tab. Machining'!$B$5:$B$16</c:f>
              <c:numCache>
                <c:formatCode>mmm/yyyy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0FB-42DC-B6BE-9F149031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6451584"/>
        <c:axId val="246461568"/>
      </c:barChart>
      <c:catAx>
        <c:axId val="2464515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61568"/>
        <c:crosses val="autoZero"/>
        <c:auto val="1"/>
        <c:lblAlgn val="ctr"/>
        <c:lblOffset val="100"/>
        <c:noMultiLvlLbl val="1"/>
      </c:catAx>
      <c:valAx>
        <c:axId val="246461568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46451584"/>
        <c:crosses val="autoZero"/>
        <c:crossBetween val="between"/>
      </c:valAx>
      <c:spPr>
        <a:ln w="12700"/>
      </c:spPr>
    </c:plotArea>
    <c:plotVisOnly val="1"/>
    <c:dispBlanksAs val="gap"/>
    <c:showDLblsOverMax val="0"/>
  </c:chart>
  <c:spPr>
    <a:ln w="3175">
      <a:solidFill>
        <a:schemeClr val="tx1"/>
      </a:solidFill>
    </a:ln>
  </c:spPr>
  <c:txPr>
    <a:bodyPr/>
    <a:lstStyle/>
    <a:p>
      <a:pPr>
        <a:defRPr sz="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8.xml"/><Relationship Id="rId18" Type="http://schemas.openxmlformats.org/officeDocument/2006/relationships/chart" Target="../charts/chart10.xml"/><Relationship Id="rId3" Type="http://schemas.openxmlformats.org/officeDocument/2006/relationships/image" Target="../media/image3.emf"/><Relationship Id="rId21" Type="http://schemas.openxmlformats.org/officeDocument/2006/relationships/image" Target="../media/image11.emf"/><Relationship Id="rId7" Type="http://schemas.openxmlformats.org/officeDocument/2006/relationships/image" Target="../media/image5.emf"/><Relationship Id="rId12" Type="http://schemas.openxmlformats.org/officeDocument/2006/relationships/chart" Target="../charts/chart7.xml"/><Relationship Id="rId17" Type="http://schemas.openxmlformats.org/officeDocument/2006/relationships/image" Target="../media/image10.emf"/><Relationship Id="rId2" Type="http://schemas.openxmlformats.org/officeDocument/2006/relationships/chart" Target="../charts/chart2.xml"/><Relationship Id="rId16" Type="http://schemas.openxmlformats.org/officeDocument/2006/relationships/image" Target="../media/image9.emf"/><Relationship Id="rId20" Type="http://schemas.openxmlformats.org/officeDocument/2006/relationships/chart" Target="../charts/chart1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5" Type="http://schemas.openxmlformats.org/officeDocument/2006/relationships/image" Target="../media/image8.emf"/><Relationship Id="rId10" Type="http://schemas.openxmlformats.org/officeDocument/2006/relationships/image" Target="../media/image6.emf"/><Relationship Id="rId19" Type="http://schemas.openxmlformats.org/officeDocument/2006/relationships/chart" Target="../charts/chart11.xml"/><Relationship Id="rId4" Type="http://schemas.openxmlformats.org/officeDocument/2006/relationships/chart" Target="../charts/chart3.xml"/><Relationship Id="rId9" Type="http://schemas.openxmlformats.org/officeDocument/2006/relationships/chart" Target="../charts/chart6.xml"/><Relationship Id="rId14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4.emf"/><Relationship Id="rId7" Type="http://schemas.openxmlformats.org/officeDocument/2006/relationships/image" Target="../media/image18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6" Type="http://schemas.openxmlformats.org/officeDocument/2006/relationships/image" Target="../media/image17.emf"/><Relationship Id="rId5" Type="http://schemas.openxmlformats.org/officeDocument/2006/relationships/image" Target="../media/image16.emf"/><Relationship Id="rId4" Type="http://schemas.openxmlformats.org/officeDocument/2006/relationships/image" Target="../media/image15.emf"/><Relationship Id="rId9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6635</xdr:colOff>
      <xdr:row>1</xdr:row>
      <xdr:rowOff>27432</xdr:rowOff>
    </xdr:from>
    <xdr:to>
      <xdr:col>11</xdr:col>
      <xdr:colOff>350141</xdr:colOff>
      <xdr:row>1</xdr:row>
      <xdr:rowOff>360020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2517" y="229138"/>
          <a:ext cx="2214888" cy="332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1038225</xdr:colOff>
      <xdr:row>0</xdr:row>
      <xdr:rowOff>189357</xdr:rowOff>
    </xdr:from>
    <xdr:to>
      <xdr:col>7</xdr:col>
      <xdr:colOff>993736</xdr:colOff>
      <xdr:row>1</xdr:row>
      <xdr:rowOff>331445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5" y="189357"/>
          <a:ext cx="2355811" cy="332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107487</xdr:colOff>
      <xdr:row>1</xdr:row>
      <xdr:rowOff>27432</xdr:rowOff>
    </xdr:from>
    <xdr:to>
      <xdr:col>9</xdr:col>
      <xdr:colOff>2417512</xdr:colOff>
      <xdr:row>1</xdr:row>
      <xdr:rowOff>360020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6016" y="229138"/>
          <a:ext cx="2310025" cy="332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0</xdr:row>
      <xdr:rowOff>0</xdr:rowOff>
    </xdr:from>
    <xdr:to>
      <xdr:col>10</xdr:col>
      <xdr:colOff>619125</xdr:colOff>
      <xdr:row>0</xdr:row>
      <xdr:rowOff>315468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0"/>
          <a:ext cx="1971675" cy="3154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1</xdr:row>
      <xdr:rowOff>36957</xdr:rowOff>
    </xdr:from>
    <xdr:to>
      <xdr:col>6</xdr:col>
      <xdr:colOff>822286</xdr:colOff>
      <xdr:row>1</xdr:row>
      <xdr:rowOff>369545</xdr:rowOff>
    </xdr:to>
    <xdr:pic>
      <xdr:nvPicPr>
        <xdr:cNvPr id="3" name="Grafik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227457"/>
          <a:ext cx="2355811" cy="332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847725</xdr:colOff>
      <xdr:row>1</xdr:row>
      <xdr:rowOff>27432</xdr:rowOff>
    </xdr:from>
    <xdr:to>
      <xdr:col>6</xdr:col>
      <xdr:colOff>1009650</xdr:colOff>
      <xdr:row>1</xdr:row>
      <xdr:rowOff>371475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5" y="217932"/>
          <a:ext cx="2562225" cy="3440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16226</xdr:rowOff>
    </xdr:from>
    <xdr:to>
      <xdr:col>10</xdr:col>
      <xdr:colOff>1016418</xdr:colOff>
      <xdr:row>1</xdr:row>
      <xdr:rowOff>348814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8971" y="217932"/>
          <a:ext cx="2338712" cy="3325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431871</xdr:colOff>
      <xdr:row>25</xdr:row>
      <xdr:rowOff>185057</xdr:rowOff>
    </xdr:from>
    <xdr:to>
      <xdr:col>16</xdr:col>
      <xdr:colOff>712903</xdr:colOff>
      <xdr:row>47</xdr:row>
      <xdr:rowOff>2346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</xdr:row>
      <xdr:rowOff>2838</xdr:rowOff>
    </xdr:from>
    <xdr:to>
      <xdr:col>2</xdr:col>
      <xdr:colOff>430413</xdr:colOff>
      <xdr:row>25</xdr:row>
      <xdr:rowOff>1757</xdr:rowOff>
    </xdr:to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 rot="16200000">
          <a:off x="-927253" y="4203227"/>
          <a:ext cx="4363101" cy="430413"/>
        </a:xfrm>
        <a:prstGeom prst="rect">
          <a:avLst/>
        </a:prstGeom>
        <a:solidFill>
          <a:srgbClr val="008100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05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de-DE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Produktion / Produktion - Khruda (India</a:t>
          </a:r>
          <a:r>
            <a:rPr lang="de-DE" sz="105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91061</xdr:colOff>
      <xdr:row>3</xdr:row>
      <xdr:rowOff>188274</xdr:rowOff>
    </xdr:from>
    <xdr:to>
      <xdr:col>17</xdr:col>
      <xdr:colOff>81692</xdr:colOff>
      <xdr:row>24</xdr:row>
      <xdr:rowOff>184905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972804" y="884960"/>
          <a:ext cx="9929288" cy="4111431"/>
          <a:chOff x="1666574" y="202560"/>
          <a:chExt cx="11007521" cy="4113145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1666574" y="202560"/>
          <a:ext cx="10841019" cy="41131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pic>
            <xdr:nvPicPr>
              <xdr:cNvPr id="4" name="Picture 9">
                <a:extLst>
                  <a:ext uri="{FF2B5EF4-FFF2-40B4-BE49-F238E27FC236}">
                    <a16:creationId xmlns:a16="http://schemas.microsoft.com/office/drawing/2014/main" id="{00000000-0008-0000-0700-000004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D$51:$P$58" spid="_x0000_s1276994"/>
                  </a:ext>
                </a:extLst>
              </xdr:cNvPicPr>
            </xdr:nvPicPr>
            <xdr:blipFill>
              <a:blip xmlns:r="http://schemas.openxmlformats.org/officeDocument/2006/relationships" r:embed="rId3"/>
              <a:srcRect/>
              <a:stretch>
                <a:fillRect/>
              </a:stretch>
            </xdr:blipFill>
            <xdr:spPr bwMode="auto">
              <a:xfrm>
                <a:off x="1951199" y="259822"/>
                <a:ext cx="10722896" cy="981698"/>
              </a:xfrm>
              <a:prstGeom prst="rect">
                <a:avLst/>
              </a:prstGeom>
              <a:noFill/>
              <a:ln w="9525" algn="ctr">
                <a:noFill/>
                <a:miter lim="800000"/>
                <a:headEnd/>
                <a:tailEnd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18</xdr:col>
      <xdr:colOff>354701</xdr:colOff>
      <xdr:row>3</xdr:row>
      <xdr:rowOff>169289</xdr:rowOff>
    </xdr:from>
    <xdr:to>
      <xdr:col>33</xdr:col>
      <xdr:colOff>149462</xdr:colOff>
      <xdr:row>24</xdr:row>
      <xdr:rowOff>167395</xdr:rowOff>
    </xdr:to>
    <xdr:grpSp>
      <xdr:nvGrpSpPr>
        <xdr:cNvPr id="9" name="Gruppier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pSpPr/>
      </xdr:nvGrpSpPr>
      <xdr:grpSpPr>
        <a:xfrm>
          <a:off x="11436358" y="865975"/>
          <a:ext cx="9853161" cy="4112906"/>
          <a:chOff x="13268811" y="201767"/>
          <a:chExt cx="9813266" cy="4114537"/>
        </a:xfrm>
      </xdr:grpSpPr>
      <xdr:graphicFrame macro="">
        <xdr:nvGraphicFramePr>
          <xdr:cNvPr id="20" name="Diagramm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GraphicFramePr/>
        </xdr:nvGraphicFramePr>
        <xdr:xfrm>
          <a:off x="13268811" y="201767"/>
          <a:ext cx="9718012" cy="41145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pic>
            <xdr:nvPicPr>
              <xdr:cNvPr id="21" name="Picture 9">
                <a:extLst>
                  <a:ext uri="{FF2B5EF4-FFF2-40B4-BE49-F238E27FC236}">
                    <a16:creationId xmlns:a16="http://schemas.microsoft.com/office/drawing/2014/main" id="{00000000-0008-0000-0700-000015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T$51:$AF$58" spid="_x0000_s1276995"/>
                  </a:ext>
                </a:extLst>
              </xdr:cNvPicPr>
            </xdr:nvPicPr>
            <xdr:blipFill>
              <a:blip xmlns:r="http://schemas.openxmlformats.org/officeDocument/2006/relationships" r:embed="rId5"/>
              <a:srcRect/>
              <a:stretch>
                <a:fillRect/>
              </a:stretch>
            </xdr:blipFill>
            <xdr:spPr bwMode="auto">
              <a:xfrm>
                <a:off x="13469952" y="311320"/>
                <a:ext cx="9612125" cy="982377"/>
              </a:xfrm>
              <a:prstGeom prst="rect">
                <a:avLst/>
              </a:prstGeom>
              <a:noFill/>
              <a:ln w="9525" algn="ctr">
                <a:noFill/>
                <a:miter lim="800000"/>
                <a:headEnd/>
                <a:tailEnd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18</xdr:col>
      <xdr:colOff>251632</xdr:colOff>
      <xdr:row>26</xdr:row>
      <xdr:rowOff>372</xdr:rowOff>
    </xdr:from>
    <xdr:to>
      <xdr:col>33</xdr:col>
      <xdr:colOff>138545</xdr:colOff>
      <xdr:row>46</xdr:row>
      <xdr:rowOff>198288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pSpPr/>
      </xdr:nvGrpSpPr>
      <xdr:grpSpPr>
        <a:xfrm>
          <a:off x="11333289" y="5203743"/>
          <a:ext cx="9945313" cy="4116774"/>
          <a:chOff x="13232934" y="4607412"/>
          <a:chExt cx="9835716" cy="4225696"/>
        </a:xfrm>
      </xdr:grpSpPr>
      <xdr:graphicFrame macro="">
        <xdr:nvGraphicFramePr>
          <xdr:cNvPr id="24" name="Diagramm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GraphicFramePr/>
        </xdr:nvGraphicFramePr>
        <xdr:xfrm>
          <a:off x="13232934" y="4607412"/>
          <a:ext cx="9686346" cy="42256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pic>
            <xdr:nvPicPr>
              <xdr:cNvPr id="25" name="Picture 9">
                <a:extLst>
                  <a:ext uri="{FF2B5EF4-FFF2-40B4-BE49-F238E27FC236}">
                    <a16:creationId xmlns:a16="http://schemas.microsoft.com/office/drawing/2014/main" id="{00000000-0008-0000-0700-000019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T$63:$AF$69" spid="_x0000_s1276996"/>
                  </a:ext>
                </a:extLst>
              </xdr:cNvPicPr>
            </xdr:nvPicPr>
            <xdr:blipFill>
              <a:blip xmlns:r="http://schemas.openxmlformats.org/officeDocument/2006/relationships" r:embed="rId7"/>
              <a:srcRect/>
              <a:stretch>
                <a:fillRect/>
              </a:stretch>
            </xdr:blipFill>
            <xdr:spPr bwMode="auto">
              <a:xfrm>
                <a:off x="13488273" y="4664713"/>
                <a:ext cx="9580377" cy="1003643"/>
              </a:xfrm>
              <a:prstGeom prst="rect">
                <a:avLst/>
              </a:prstGeom>
              <a:noFill/>
              <a:ln w="9525" algn="ctr">
                <a:noFill/>
                <a:miter lim="800000"/>
                <a:headEnd/>
                <a:tailEnd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9"/>
                    </a:solidFill>
                  </a14:hiddenFill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2</xdr:col>
      <xdr:colOff>84</xdr:colOff>
      <xdr:row>25</xdr:row>
      <xdr:rowOff>190131</xdr:rowOff>
    </xdr:from>
    <xdr:to>
      <xdr:col>2</xdr:col>
      <xdr:colOff>429020</xdr:colOff>
      <xdr:row>46</xdr:row>
      <xdr:rowOff>207812</xdr:rowOff>
    </xdr:to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 rot="16200000">
          <a:off x="-928630" y="8756163"/>
          <a:ext cx="4364545" cy="428936"/>
        </a:xfrm>
        <a:prstGeom prst="rect">
          <a:avLst/>
        </a:prstGeom>
        <a:solidFill>
          <a:srgbClr val="008100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schweißtechn. Fertigung / welding - Khruda (India</a:t>
          </a:r>
          <a:r>
            <a:rPr lang="de-DE" sz="1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17</xdr:col>
      <xdr:colOff>83638</xdr:colOff>
      <xdr:row>4</xdr:row>
      <xdr:rowOff>2842</xdr:rowOff>
    </xdr:from>
    <xdr:to>
      <xdr:col>18</xdr:col>
      <xdr:colOff>247047</xdr:colOff>
      <xdr:row>25</xdr:row>
      <xdr:rowOff>1761</xdr:rowOff>
    </xdr:to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/>
      </xdr:nvSpPr>
      <xdr:spPr>
        <a:xfrm rot="16200000">
          <a:off x="9543678" y="4206847"/>
          <a:ext cx="4363101" cy="423182"/>
        </a:xfrm>
        <a:prstGeom prst="rect">
          <a:avLst/>
        </a:prstGeom>
        <a:solidFill>
          <a:srgbClr val="008100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2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mechanische Fertigung / machining - Khruda (India</a:t>
          </a:r>
          <a:r>
            <a:rPr lang="de-DE" sz="1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17</xdr:col>
      <xdr:colOff>80958</xdr:colOff>
      <xdr:row>26</xdr:row>
      <xdr:rowOff>1234</xdr:rowOff>
    </xdr:from>
    <xdr:to>
      <xdr:col>18</xdr:col>
      <xdr:colOff>250564</xdr:colOff>
      <xdr:row>47</xdr:row>
      <xdr:rowOff>153</xdr:rowOff>
    </xdr:to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 rot="16200000">
          <a:off x="9544097" y="8756822"/>
          <a:ext cx="4363101" cy="429379"/>
        </a:xfrm>
        <a:prstGeom prst="rect">
          <a:avLst/>
        </a:prstGeom>
        <a:solidFill>
          <a:srgbClr val="008100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Werkstattmontage / assembling - Khruda (India</a:t>
          </a:r>
          <a:r>
            <a:rPr lang="de-DE" sz="1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33</xdr:col>
      <xdr:colOff>155863</xdr:colOff>
      <xdr:row>4</xdr:row>
      <xdr:rowOff>1</xdr:rowOff>
    </xdr:from>
    <xdr:to>
      <xdr:col>33</xdr:col>
      <xdr:colOff>579045</xdr:colOff>
      <xdr:row>24</xdr:row>
      <xdr:rowOff>197213</xdr:rowOff>
    </xdr:to>
    <xdr:sp macro="" textlink="">
      <xdr:nvSpPr>
        <xdr:cNvPr id="33" name="Textfeld 2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 rot="16200000">
          <a:off x="19907666" y="4199243"/>
          <a:ext cx="4353576" cy="423182"/>
        </a:xfrm>
        <a:prstGeom prst="rect">
          <a:avLst/>
        </a:prstGeom>
        <a:solidFill>
          <a:srgbClr val="008100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2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Roll Refurbishment- Khruda (India</a:t>
          </a:r>
          <a:r>
            <a:rPr lang="de-DE" sz="1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33</xdr:col>
      <xdr:colOff>571502</xdr:colOff>
      <xdr:row>4</xdr:row>
      <xdr:rowOff>0</xdr:rowOff>
    </xdr:from>
    <xdr:to>
      <xdr:col>45</xdr:col>
      <xdr:colOff>323254</xdr:colOff>
      <xdr:row>24</xdr:row>
      <xdr:rowOff>188606</xdr:rowOff>
    </xdr:to>
    <xdr:graphicFrame macro="">
      <xdr:nvGraphicFramePr>
        <xdr:cNvPr id="23" name="Diagramm 1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166687</xdr:colOff>
      <xdr:row>25</xdr:row>
      <xdr:rowOff>179294</xdr:rowOff>
    </xdr:from>
    <xdr:to>
      <xdr:col>33</xdr:col>
      <xdr:colOff>589869</xdr:colOff>
      <xdr:row>47</xdr:row>
      <xdr:rowOff>6712</xdr:rowOff>
    </xdr:to>
    <xdr:sp macro="" textlink="">
      <xdr:nvSpPr>
        <xdr:cNvPr id="32" name="Textfeld 2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 rot="16200000">
          <a:off x="20035642" y="8537956"/>
          <a:ext cx="4253742" cy="423182"/>
        </a:xfrm>
        <a:prstGeom prst="rect">
          <a:avLst/>
        </a:prstGeom>
        <a:solidFill>
          <a:srgbClr val="008100"/>
        </a:solidFill>
        <a:ln w="31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2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Plating- Khruda (India</a:t>
          </a:r>
          <a:r>
            <a:rPr lang="de-DE" sz="1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33</xdr:col>
      <xdr:colOff>582326</xdr:colOff>
      <xdr:row>25</xdr:row>
      <xdr:rowOff>176892</xdr:rowOff>
    </xdr:from>
    <xdr:to>
      <xdr:col>45</xdr:col>
      <xdr:colOff>334078</xdr:colOff>
      <xdr:row>46</xdr:row>
      <xdr:rowOff>204106</xdr:rowOff>
    </xdr:to>
    <xdr:graphicFrame macro="">
      <xdr:nvGraphicFramePr>
        <xdr:cNvPr id="34" name="Diagramm 1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0</xdr:colOff>
          <xdr:row>4</xdr:row>
          <xdr:rowOff>136072</xdr:rowOff>
        </xdr:from>
        <xdr:to>
          <xdr:col>45</xdr:col>
          <xdr:colOff>40820</xdr:colOff>
          <xdr:row>7</xdr:row>
          <xdr:rowOff>40822</xdr:rowOff>
        </xdr:to>
        <xdr:pic>
          <xdr:nvPicPr>
            <xdr:cNvPr id="37" name="Picture 36">
              <a:extLst>
                <a:ext uri="{FF2B5EF4-FFF2-40B4-BE49-F238E27FC236}">
                  <a16:creationId xmlns:a16="http://schemas.microsoft.com/office/drawing/2014/main" id="{00000000-0008-0000-0700-00002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J$51:$AT$55" spid="_x0000_s1276997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22914429" y="1061358"/>
              <a:ext cx="7211784" cy="51707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762000</xdr:colOff>
          <xdr:row>27</xdr:row>
          <xdr:rowOff>27215</xdr:rowOff>
        </xdr:from>
        <xdr:to>
          <xdr:col>45</xdr:col>
          <xdr:colOff>38099</xdr:colOff>
          <xdr:row>29</xdr:row>
          <xdr:rowOff>93890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00000000-0008-0000-0700-00002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J$63:$AT$65" spid="_x0000_s1276998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22832786" y="5633358"/>
              <a:ext cx="7290706" cy="4748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47</xdr:col>
      <xdr:colOff>122465</xdr:colOff>
      <xdr:row>9</xdr:row>
      <xdr:rowOff>40821</xdr:rowOff>
    </xdr:from>
    <xdr:to>
      <xdr:col>57</xdr:col>
      <xdr:colOff>734786</xdr:colOff>
      <xdr:row>24</xdr:row>
      <xdr:rowOff>188606</xdr:rowOff>
    </xdr:to>
    <xdr:graphicFrame macro="">
      <xdr:nvGraphicFramePr>
        <xdr:cNvPr id="26" name="Diagramm 1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122465</xdr:colOff>
      <xdr:row>30</xdr:row>
      <xdr:rowOff>176893</xdr:rowOff>
    </xdr:from>
    <xdr:to>
      <xdr:col>57</xdr:col>
      <xdr:colOff>734786</xdr:colOff>
      <xdr:row>46</xdr:row>
      <xdr:rowOff>188607</xdr:rowOff>
    </xdr:to>
    <xdr:graphicFrame macro="">
      <xdr:nvGraphicFramePr>
        <xdr:cNvPr id="27" name="Diagramm 1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60</xdr:col>
      <xdr:colOff>163286</xdr:colOff>
      <xdr:row>7</xdr:row>
      <xdr:rowOff>130629</xdr:rowOff>
    </xdr:from>
    <xdr:to>
      <xdr:col>70</xdr:col>
      <xdr:colOff>775607</xdr:colOff>
      <xdr:row>24</xdr:row>
      <xdr:rowOff>175001</xdr:rowOff>
    </xdr:to>
    <xdr:graphicFrame macro="">
      <xdr:nvGraphicFramePr>
        <xdr:cNvPr id="36" name="Diagramm 1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408213</xdr:colOff>
          <xdr:row>5</xdr:row>
          <xdr:rowOff>0</xdr:rowOff>
        </xdr:from>
        <xdr:to>
          <xdr:col>57</xdr:col>
          <xdr:colOff>517071</xdr:colOff>
          <xdr:row>8</xdr:row>
          <xdr:rowOff>13607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00000000-0008-0000-07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63:$BG$67" spid="_x0000_s1276999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31718249" y="1129393"/>
              <a:ext cx="7334251" cy="6259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381001</xdr:colOff>
          <xdr:row>27</xdr:row>
          <xdr:rowOff>28552</xdr:rowOff>
        </xdr:from>
        <xdr:to>
          <xdr:col>57</xdr:col>
          <xdr:colOff>802822</xdr:colOff>
          <xdr:row>28</xdr:row>
          <xdr:rowOff>9525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00000000-0008-0000-0700-00002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51:$BG$51" spid="_x0000_s1277000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31691037" y="5634695"/>
              <a:ext cx="7647214" cy="1850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326570</xdr:colOff>
          <xdr:row>26</xdr:row>
          <xdr:rowOff>195942</xdr:rowOff>
        </xdr:from>
        <xdr:to>
          <xdr:col>15</xdr:col>
          <xdr:colOff>685799</xdr:colOff>
          <xdr:row>31</xdr:row>
          <xdr:rowOff>163284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1F2BCDF-980C-2650-A98F-BB69B10156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3:$O$67" spid="_x0000_s1277001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2046513" y="5399313"/>
              <a:ext cx="7739743" cy="9470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59</xdr:col>
      <xdr:colOff>357868</xdr:colOff>
      <xdr:row>26</xdr:row>
      <xdr:rowOff>108857</xdr:rowOff>
    </xdr:from>
    <xdr:to>
      <xdr:col>70</xdr:col>
      <xdr:colOff>707572</xdr:colOff>
      <xdr:row>47</xdr:row>
      <xdr:rowOff>93356</xdr:rowOff>
    </xdr:to>
    <xdr:graphicFrame macro="">
      <xdr:nvGraphicFramePr>
        <xdr:cNvPr id="18" name="Diagramm 19">
          <a:extLst>
            <a:ext uri="{FF2B5EF4-FFF2-40B4-BE49-F238E27FC236}">
              <a16:creationId xmlns:a16="http://schemas.microsoft.com/office/drawing/2014/main" id="{276A9D44-A9CC-4564-A36E-ADEEE551B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72</xdr:col>
      <xdr:colOff>789215</xdr:colOff>
      <xdr:row>3</xdr:row>
      <xdr:rowOff>190499</xdr:rowOff>
    </xdr:from>
    <xdr:to>
      <xdr:col>81</xdr:col>
      <xdr:colOff>703490</xdr:colOff>
      <xdr:row>24</xdr:row>
      <xdr:rowOff>122465</xdr:rowOff>
    </xdr:to>
    <xdr:graphicFrame macro="">
      <xdr:nvGraphicFramePr>
        <xdr:cNvPr id="19" name="Diagramm 19">
          <a:extLst>
            <a:ext uri="{FF2B5EF4-FFF2-40B4-BE49-F238E27FC236}">
              <a16:creationId xmlns:a16="http://schemas.microsoft.com/office/drawing/2014/main" id="{1ED8A220-9B0F-4877-976F-0A921493C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73</xdr:col>
      <xdr:colOff>0</xdr:colOff>
      <xdr:row>26</xdr:row>
      <xdr:rowOff>108856</xdr:rowOff>
    </xdr:from>
    <xdr:to>
      <xdr:col>81</xdr:col>
      <xdr:colOff>757918</xdr:colOff>
      <xdr:row>47</xdr:row>
      <xdr:rowOff>40822</xdr:rowOff>
    </xdr:to>
    <xdr:graphicFrame macro="">
      <xdr:nvGraphicFramePr>
        <xdr:cNvPr id="22" name="Diagramm 19">
          <a:extLst>
            <a:ext uri="{FF2B5EF4-FFF2-40B4-BE49-F238E27FC236}">
              <a16:creationId xmlns:a16="http://schemas.microsoft.com/office/drawing/2014/main" id="{88D5BBB7-5784-4490-9F11-F115B495C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5</xdr:row>
          <xdr:rowOff>0</xdr:rowOff>
        </xdr:from>
        <xdr:to>
          <xdr:col>70</xdr:col>
          <xdr:colOff>732064</xdr:colOff>
          <xdr:row>8</xdr:row>
          <xdr:rowOff>68036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375C1392-EB56-40FB-8399-E27F33E6F9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J$51:$BU$56" spid="_x0000_s1277002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41338500" y="1129393"/>
              <a:ext cx="6773635" cy="6803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0002\Projects\DOKUME~1\tenn\LOKALE~1\Temp\c.notes.daten\MARK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1036\6951$\STAHL\Daten\C-Rep%20Neu\September%202005\CB%20GB%20RPK%20September%202005%20Segm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1025\6951$\EMAIL\USERS\GSTAHL\TEMP\KUE-IN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0002\Projects\gh930-20\UPL\2005-2006\Planungsmappe\UB%20HWT%2004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0002\Projects\Dokumente%20und%20Einstellungen\roch\Anwendungsdaten\Microsoft\Excel\GB%20Steel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0002\Projects\Documents%20and%20Settings\stahlgue\Local%20Settings\Temporary%20Internet%20Files\OLKD9\CB%20GB%20PST%20ab%20April%202004%20zerschossen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SW01\Desktop\06-JUN%20-%20Copy\SCB%20Capacity%20Planning%20(1).xlsx" TargetMode="External"/><Relationship Id="rId1" Type="http://schemas.openxmlformats.org/officeDocument/2006/relationships/externalLinkPath" Target="SCB%20Capacity%20Planni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VDMA"/>
      <sheetName val="Eingaben"/>
      <sheetName val="Grafik"/>
      <sheetName val="Grafik MB"/>
      <sheetName val="Modul1"/>
      <sheetName val="Modul2"/>
    </sheetNames>
    <sheetDataSet>
      <sheetData sheetId="0" refreshError="1">
        <row r="8">
          <cell r="E8">
            <v>1</v>
          </cell>
          <cell r="F8">
            <v>37987</v>
          </cell>
        </row>
        <row r="9">
          <cell r="E9">
            <v>2</v>
          </cell>
          <cell r="F9">
            <v>38018</v>
          </cell>
        </row>
        <row r="10">
          <cell r="E10">
            <v>3</v>
          </cell>
          <cell r="F10">
            <v>38047</v>
          </cell>
        </row>
        <row r="11">
          <cell r="E11">
            <v>4</v>
          </cell>
          <cell r="F11">
            <v>38078</v>
          </cell>
        </row>
        <row r="12">
          <cell r="E12">
            <v>5</v>
          </cell>
          <cell r="F12">
            <v>38108</v>
          </cell>
        </row>
        <row r="13">
          <cell r="E13">
            <v>6</v>
          </cell>
          <cell r="F13">
            <v>38139</v>
          </cell>
        </row>
        <row r="14">
          <cell r="E14">
            <v>7</v>
          </cell>
          <cell r="F14">
            <v>38169</v>
          </cell>
        </row>
        <row r="15">
          <cell r="E15">
            <v>8</v>
          </cell>
          <cell r="F15">
            <v>38200</v>
          </cell>
        </row>
        <row r="16">
          <cell r="E16">
            <v>9</v>
          </cell>
          <cell r="F16">
            <v>38231</v>
          </cell>
        </row>
        <row r="17">
          <cell r="E17">
            <v>10</v>
          </cell>
          <cell r="F17">
            <v>38261</v>
          </cell>
        </row>
        <row r="18">
          <cell r="E18">
            <v>11</v>
          </cell>
          <cell r="F18">
            <v>38292</v>
          </cell>
        </row>
        <row r="19">
          <cell r="E19">
            <v>12</v>
          </cell>
          <cell r="F19">
            <v>38322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Deckblatt"/>
      <sheetName val="Inhalt"/>
      <sheetName val="Zsf. Ist"/>
      <sheetName val="Zsf. Risiko"/>
      <sheetName val="Eckdaten"/>
      <sheetName val="Projektvolumen"/>
      <sheetName val="2005"/>
      <sheetName val="2005  Rohr"/>
      <sheetName val="2005 Profil"/>
      <sheetName val="2005 NE"/>
      <sheetName val="AE"/>
      <sheetName val="AE (Klasse)"/>
      <sheetName val="Treffer"/>
      <sheetName val="LOI"/>
      <sheetName val="UM"/>
      <sheetName val="AB"/>
      <sheetName val="MI"/>
      <sheetName val="Auslastung Konstruktion"/>
      <sheetName val="Auslastung Fertigung"/>
      <sheetName val="MIKA"/>
      <sheetName val="Ergebnis"/>
      <sheetName val="Ergebnisanalyse"/>
      <sheetName val="Ergebnisanalyse EinzelGes"/>
      <sheetName val="Bilanz"/>
      <sheetName val="LI"/>
      <sheetName val="Finanzkennzahlen"/>
      <sheetName val="Finanzkennzahlen Einzelges"/>
      <sheetName val="Finanzkennzahlen (2)"/>
      <sheetName val="Krank"/>
      <sheetName val="Investitionen"/>
      <sheetName val="Personalkennzahlen"/>
      <sheetName val="Status"/>
      <sheetName val="Auftragsliquidität"/>
      <sheetName val="Fällige Kundenzahlungen"/>
      <sheetName val="Absicherung Aufträge"/>
      <sheetName val="Sonstige Chancen und Risiken"/>
      <sheetName val="Def. Eckdaten"/>
      <sheetName val="Def. Kennzahlen"/>
    </sheetNames>
    <sheetDataSet>
      <sheetData sheetId="0" refreshError="1">
        <row r="7">
          <cell r="D7">
            <v>38139</v>
          </cell>
        </row>
        <row r="9">
          <cell r="D9">
            <v>38168</v>
          </cell>
        </row>
        <row r="12">
          <cell r="D12" t="str">
            <v>Ist 2004</v>
          </cell>
        </row>
        <row r="13">
          <cell r="D13" t="str">
            <v>Ist 2003</v>
          </cell>
        </row>
        <row r="14">
          <cell r="D14" t="str">
            <v>Plan 2004</v>
          </cell>
        </row>
        <row r="15">
          <cell r="D15" t="str">
            <v>VS I 2004</v>
          </cell>
        </row>
        <row r="16">
          <cell r="D16" t="str">
            <v>VS/Plan</v>
          </cell>
        </row>
        <row r="19">
          <cell r="C19" t="str">
            <v>GB Dummy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Sheet1"/>
      <sheetName val="Sheet2"/>
      <sheetName val="Sheet3"/>
      <sheetName val="AB TAC"/>
      <sheetName val="A-UEB96"/>
      <sheetName val="A-UEB9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Deckblatt"/>
      <sheetName val="Inhalt"/>
      <sheetName val="Zusammenfassung"/>
      <sheetName val="Eckdaten"/>
      <sheetName val="Markt"/>
      <sheetName val="Projekte"/>
      <sheetName val="AE"/>
      <sheetName val="AE lange Reihe"/>
      <sheetName val="AE GB"/>
      <sheetName val="AE (Klasse)"/>
      <sheetName val="Treffer"/>
      <sheetName val="UM"/>
      <sheetName val="AB"/>
      <sheetName val="MI"/>
      <sheetName val="Auslastung Konstruktion"/>
      <sheetName val="Auslastung Fertigung"/>
      <sheetName val="MIKA"/>
      <sheetName val="EvSt"/>
      <sheetName val="Ergebnis"/>
      <sheetName val="Ergebnisanalyse"/>
      <sheetName val="Bilanz"/>
      <sheetName val="LI"/>
      <sheetName val="Finanzkennzahlen"/>
      <sheetName val="Krank"/>
      <sheetName val="Investitionen"/>
      <sheetName val="(Definitionen)"/>
      <sheetName val="Def. Eckdaten"/>
      <sheetName val="Def. Kennzahlen"/>
      <sheetName val="Chancen.Risiken"/>
      <sheetName val="Auftragsliquidität"/>
      <sheetName val="Fällige Kundenzahlungen"/>
      <sheetName val="Absicherung Aufträge"/>
      <sheetName val="Sonstige Chancen und Risiken"/>
      <sheetName val="LI (2)"/>
    </sheetNames>
    <sheetDataSet>
      <sheetData sheetId="0" refreshError="1">
        <row r="19">
          <cell r="C19" t="str">
            <v>UB Hütten- und Walzwerkstechnik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B"/>
      <sheetName val="Inhalt"/>
      <sheetName val="Eckdaten"/>
      <sheetName val="LOI's"/>
      <sheetName val="heiße Projekte "/>
      <sheetName val="verlorene"/>
      <sheetName val="AE"/>
      <sheetName val="Umsatz"/>
      <sheetName val="Bestand"/>
      <sheetName val="Personal"/>
      <sheetName val="Konstruktion"/>
      <sheetName val="GuV Ges"/>
      <sheetName val="GuV Div"/>
      <sheetName val="GuV E&amp;A"/>
      <sheetName val="GuV ET"/>
      <sheetName val="A2Sta"/>
      <sheetName val="A2 Str"/>
    </sheetNames>
    <sheetDataSet>
      <sheetData sheetId="0" refreshError="1">
        <row r="11">
          <cell r="A11" t="str">
            <v>Division: Steel/Continuous Casters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Deckblatt"/>
      <sheetName val="Inhalt"/>
      <sheetName val="Zusammenfassung"/>
      <sheetName val="Eckdaten"/>
      <sheetName val="LOI"/>
      <sheetName val="Projektvolumen"/>
      <sheetName val="Trefferquote verlorene Projekte"/>
      <sheetName val="AE"/>
      <sheetName val="UM"/>
      <sheetName val="AB"/>
      <sheetName val="MI"/>
      <sheetName val="Auslastung Konstruktion"/>
      <sheetName val="Auslastung Fertigung"/>
      <sheetName val="Ergebnis"/>
      <sheetName val="Ergebnis EU"/>
      <sheetName val="Ergebnis SpA"/>
      <sheetName val="Ergebnis Inc"/>
      <sheetName val="Ergebnisanalyse"/>
      <sheetName val="Ergebnisanalyse D"/>
      <sheetName val="Ergebnisanalyse USA"/>
      <sheetName val="Ergebnisanalyse I"/>
      <sheetName val="Bilanz"/>
      <sheetName val="LI"/>
      <sheetName val="Finanzkennzahlen PuS"/>
      <sheetName val="Finanzkennzahlen D"/>
      <sheetName val="Finanzkennzahlen USA"/>
      <sheetName val="Finanzkennzahlen I"/>
      <sheetName val="AE (2)"/>
      <sheetName val="Chancen.Risiken"/>
      <sheetName val="(Definitionen)"/>
    </sheetNames>
    <sheetDataSet>
      <sheetData sheetId="0" refreshError="1">
        <row r="9">
          <cell r="D9">
            <v>38077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B-CP"/>
      <sheetName val="SUMMARY-CP"/>
      <sheetName val="SCB ACTUAL"/>
      <sheetName val="SCB PLAN"/>
      <sheetName val="TS"/>
      <sheetName val="NPK"/>
      <sheetName val="Welding"/>
      <sheetName val="Machining"/>
      <sheetName val="Assembly"/>
      <sheetName val="Plan Vs Actual"/>
    </sheetNames>
    <sheetDataSet>
      <sheetData sheetId="0">
        <row r="214">
          <cell r="AV214">
            <v>3521</v>
          </cell>
          <cell r="AW214">
            <v>3493.5</v>
          </cell>
          <cell r="AX214">
            <v>3630</v>
          </cell>
          <cell r="AY214">
            <v>2786</v>
          </cell>
          <cell r="AZ214">
            <v>3036</v>
          </cell>
          <cell r="BA214">
            <v>3106</v>
          </cell>
          <cell r="BB214">
            <v>3177</v>
          </cell>
          <cell r="BC214">
            <v>2639</v>
          </cell>
          <cell r="BD214">
            <v>2171</v>
          </cell>
          <cell r="BE214">
            <v>1000</v>
          </cell>
          <cell r="BF214">
            <v>1000</v>
          </cell>
          <cell r="BG214">
            <v>1850</v>
          </cell>
        </row>
      </sheetData>
      <sheetData sheetId="1">
        <row r="6">
          <cell r="D6">
            <v>49831.25</v>
          </cell>
          <cell r="E6">
            <v>49026.75</v>
          </cell>
          <cell r="F6">
            <v>47313.75</v>
          </cell>
          <cell r="G6">
            <v>44617.75</v>
          </cell>
          <cell r="H6">
            <v>44183.5</v>
          </cell>
          <cell r="I6">
            <v>41776.5</v>
          </cell>
          <cell r="J6">
            <v>24975</v>
          </cell>
          <cell r="K6">
            <v>20989</v>
          </cell>
          <cell r="L6">
            <v>9300</v>
          </cell>
          <cell r="M6">
            <v>6550</v>
          </cell>
          <cell r="N6">
            <v>4050</v>
          </cell>
          <cell r="O6">
            <v>4050</v>
          </cell>
        </row>
        <row r="12">
          <cell r="D12">
            <v>8475</v>
          </cell>
          <cell r="E12">
            <v>6792.5</v>
          </cell>
          <cell r="F12">
            <v>8144</v>
          </cell>
          <cell r="G12">
            <v>6540</v>
          </cell>
          <cell r="H12">
            <v>7635</v>
          </cell>
          <cell r="I12">
            <v>6550</v>
          </cell>
          <cell r="J12">
            <v>5756</v>
          </cell>
          <cell r="K12">
            <v>4610</v>
          </cell>
          <cell r="L12">
            <v>3982</v>
          </cell>
          <cell r="M12">
            <v>2236</v>
          </cell>
          <cell r="N12">
            <v>3582</v>
          </cell>
          <cell r="O12">
            <v>4282</v>
          </cell>
        </row>
        <row r="20">
          <cell r="D20">
            <v>5428</v>
          </cell>
          <cell r="E20">
            <v>5543</v>
          </cell>
          <cell r="F20">
            <v>5538</v>
          </cell>
          <cell r="G20">
            <v>5614</v>
          </cell>
          <cell r="H20">
            <v>5542</v>
          </cell>
          <cell r="I20">
            <v>4785</v>
          </cell>
          <cell r="J20">
            <v>4765</v>
          </cell>
          <cell r="K20">
            <v>4160</v>
          </cell>
          <cell r="L20">
            <v>2540</v>
          </cell>
          <cell r="M20">
            <v>1620</v>
          </cell>
          <cell r="N20">
            <v>100</v>
          </cell>
          <cell r="O20">
            <v>100</v>
          </cell>
        </row>
        <row r="22">
          <cell r="D22">
            <v>1800</v>
          </cell>
          <cell r="E22">
            <v>1600</v>
          </cell>
          <cell r="F22">
            <v>1500</v>
          </cell>
          <cell r="G22">
            <v>1400</v>
          </cell>
          <cell r="H22">
            <v>1300</v>
          </cell>
          <cell r="I22">
            <v>1200</v>
          </cell>
          <cell r="J22">
            <v>1100</v>
          </cell>
          <cell r="K22">
            <v>1100</v>
          </cell>
          <cell r="L22">
            <v>1100</v>
          </cell>
          <cell r="M22">
            <v>1176</v>
          </cell>
          <cell r="N22">
            <v>1000</v>
          </cell>
          <cell r="O22">
            <v>1000</v>
          </cell>
        </row>
        <row r="23">
          <cell r="D23">
            <v>1300</v>
          </cell>
          <cell r="E23">
            <v>1300</v>
          </cell>
          <cell r="F23">
            <v>1200</v>
          </cell>
          <cell r="G23">
            <v>1000</v>
          </cell>
          <cell r="H23">
            <v>1000</v>
          </cell>
          <cell r="I23">
            <v>890</v>
          </cell>
          <cell r="J23">
            <v>800</v>
          </cell>
          <cell r="K23">
            <v>700</v>
          </cell>
          <cell r="L23">
            <v>600</v>
          </cell>
          <cell r="M23">
            <v>500</v>
          </cell>
          <cell r="N23">
            <v>500</v>
          </cell>
          <cell r="O23">
            <v>470</v>
          </cell>
        </row>
        <row r="28">
          <cell r="D28">
            <v>1591.8835827186513</v>
          </cell>
          <cell r="E28">
            <v>1644.9463688092731</v>
          </cell>
          <cell r="F28">
            <v>1644.9463688092731</v>
          </cell>
          <cell r="G28">
            <v>1591.8835827186513</v>
          </cell>
          <cell r="H28">
            <v>1644.9463688092731</v>
          </cell>
          <cell r="I28">
            <v>1591.8835827186513</v>
          </cell>
          <cell r="J28">
            <v>1644.9463688092731</v>
          </cell>
          <cell r="K28">
            <v>1644.9463688092731</v>
          </cell>
          <cell r="L28">
            <v>1485.7580105374079</v>
          </cell>
          <cell r="M28">
            <v>1644.9463688092731</v>
          </cell>
          <cell r="N28">
            <v>1591.8835827186513</v>
          </cell>
          <cell r="O28">
            <v>1644.9463688092731</v>
          </cell>
        </row>
        <row r="29">
          <cell r="D29">
            <v>21490.428366701792</v>
          </cell>
          <cell r="E29">
            <v>22206.775978925187</v>
          </cell>
          <cell r="F29">
            <v>22206.775978925187</v>
          </cell>
          <cell r="G29">
            <v>21490.428366701792</v>
          </cell>
          <cell r="H29">
            <v>22206.775978925187</v>
          </cell>
          <cell r="I29">
            <v>21490.428366701792</v>
          </cell>
          <cell r="J29">
            <v>22206.775978925187</v>
          </cell>
          <cell r="K29">
            <v>22206.775978925187</v>
          </cell>
          <cell r="L29">
            <v>20057.733142255005</v>
          </cell>
          <cell r="M29">
            <v>22206.775978925187</v>
          </cell>
          <cell r="N29">
            <v>21490.428366701792</v>
          </cell>
          <cell r="O29">
            <v>22206.775978925187</v>
          </cell>
        </row>
        <row r="30">
          <cell r="D30">
            <v>14857.58010537408</v>
          </cell>
          <cell r="E30">
            <v>15352.832775553215</v>
          </cell>
          <cell r="F30">
            <v>15352.832775553215</v>
          </cell>
          <cell r="G30">
            <v>14857.58010537408</v>
          </cell>
          <cell r="H30">
            <v>15352.832775553215</v>
          </cell>
          <cell r="I30">
            <v>14857.58010537408</v>
          </cell>
          <cell r="J30">
            <v>15352.832775553215</v>
          </cell>
          <cell r="K30">
            <v>15352.832775553215</v>
          </cell>
          <cell r="L30">
            <v>13867.074765015806</v>
          </cell>
          <cell r="M30">
            <v>15352.832775553215</v>
          </cell>
          <cell r="N30">
            <v>14857.58010537408</v>
          </cell>
          <cell r="O30">
            <v>15352.832775553215</v>
          </cell>
        </row>
        <row r="32">
          <cell r="D32">
            <v>11527.569603460703</v>
          </cell>
          <cell r="E32">
            <v>11911.821923576059</v>
          </cell>
          <cell r="F32">
            <v>11911.821923576059</v>
          </cell>
          <cell r="G32">
            <v>11527.569603460703</v>
          </cell>
          <cell r="H32">
            <v>11911.821923576059</v>
          </cell>
          <cell r="I32">
            <v>11527.569603460703</v>
          </cell>
          <cell r="J32">
            <v>11911.821923576059</v>
          </cell>
          <cell r="K32">
            <v>11911.821923576059</v>
          </cell>
          <cell r="L32">
            <v>10759.064963229988</v>
          </cell>
          <cell r="M32">
            <v>11911.821923576059</v>
          </cell>
          <cell r="N32">
            <v>11527.569603460703</v>
          </cell>
          <cell r="O32">
            <v>11911.821923576059</v>
          </cell>
        </row>
        <row r="38">
          <cell r="D38">
            <v>8737.4817945205486</v>
          </cell>
          <cell r="E38">
            <v>9028.7311876712338</v>
          </cell>
          <cell r="F38">
            <v>9028.7311876712338</v>
          </cell>
          <cell r="G38">
            <v>8737.4817945205486</v>
          </cell>
          <cell r="H38">
            <v>9028.7311876712338</v>
          </cell>
          <cell r="I38">
            <v>8737.4817945205486</v>
          </cell>
          <cell r="J38">
            <v>9028.7311876712338</v>
          </cell>
          <cell r="K38">
            <v>9028.7311876712338</v>
          </cell>
          <cell r="L38">
            <v>8154.9830082191793</v>
          </cell>
          <cell r="M38">
            <v>9028.7311876712338</v>
          </cell>
          <cell r="N38">
            <v>8737.4817945205486</v>
          </cell>
          <cell r="O38">
            <v>9028.7311876712338</v>
          </cell>
        </row>
        <row r="40">
          <cell r="D40">
            <v>1355.886986301369</v>
          </cell>
          <cell r="E40">
            <v>1401.0832191780814</v>
          </cell>
          <cell r="F40">
            <v>1401.0832191780814</v>
          </cell>
          <cell r="G40">
            <v>1355.886986301369</v>
          </cell>
          <cell r="H40">
            <v>1401.0832191780814</v>
          </cell>
          <cell r="I40">
            <v>1355.886986301369</v>
          </cell>
          <cell r="J40">
            <v>1401.0832191780814</v>
          </cell>
          <cell r="K40">
            <v>1401.0832191780814</v>
          </cell>
          <cell r="L40">
            <v>1265.4945205479444</v>
          </cell>
          <cell r="M40">
            <v>1401.0832191780814</v>
          </cell>
          <cell r="N40">
            <v>1355.886986301369</v>
          </cell>
          <cell r="O40">
            <v>1401.0832191780814</v>
          </cell>
        </row>
        <row r="41">
          <cell r="D41">
            <v>2711.773972602738</v>
          </cell>
          <cell r="E41">
            <v>2802.1664383561629</v>
          </cell>
          <cell r="F41">
            <v>2802.1664383561629</v>
          </cell>
          <cell r="G41">
            <v>2711.773972602738</v>
          </cell>
          <cell r="H41">
            <v>2802.1664383561629</v>
          </cell>
          <cell r="I41">
            <v>2711.773972602738</v>
          </cell>
          <cell r="J41">
            <v>2802.1664383561629</v>
          </cell>
          <cell r="K41">
            <v>2802.1664383561629</v>
          </cell>
          <cell r="L41">
            <v>2530.9890410958888</v>
          </cell>
          <cell r="M41">
            <v>2802.1664383561629</v>
          </cell>
          <cell r="N41">
            <v>2711.773972602738</v>
          </cell>
          <cell r="O41">
            <v>2802.1664383561629</v>
          </cell>
        </row>
        <row r="42">
          <cell r="D42">
            <v>1355.886986301369</v>
          </cell>
          <cell r="E42">
            <v>1401.0832191780814</v>
          </cell>
          <cell r="F42">
            <v>1401.0832191780814</v>
          </cell>
          <cell r="G42">
            <v>1355.886986301369</v>
          </cell>
          <cell r="H42">
            <v>1401.0832191780814</v>
          </cell>
          <cell r="I42">
            <v>1355.886986301369</v>
          </cell>
          <cell r="J42">
            <v>1401.0832191780814</v>
          </cell>
          <cell r="K42">
            <v>1401.0832191780814</v>
          </cell>
          <cell r="L42">
            <v>1265.4945205479444</v>
          </cell>
          <cell r="M42">
            <v>1401.0832191780814</v>
          </cell>
          <cell r="N42">
            <v>1355.886986301369</v>
          </cell>
          <cell r="O42">
            <v>1401.0832191780814</v>
          </cell>
        </row>
        <row r="45">
          <cell r="D45">
            <v>2264.6691616438352</v>
          </cell>
          <cell r="E45">
            <v>2340.1581336986296</v>
          </cell>
          <cell r="F45">
            <v>2340.1581336986296</v>
          </cell>
          <cell r="G45">
            <v>2264.6691616438352</v>
          </cell>
          <cell r="H45">
            <v>2340.1581336986296</v>
          </cell>
          <cell r="I45">
            <v>2264.6691616438352</v>
          </cell>
          <cell r="J45">
            <v>2340.1581336986296</v>
          </cell>
          <cell r="K45">
            <v>2340.1581336986296</v>
          </cell>
          <cell r="L45">
            <v>2113.6912175342463</v>
          </cell>
          <cell r="M45">
            <v>2340.1581336986296</v>
          </cell>
          <cell r="N45">
            <v>2264.6691616438352</v>
          </cell>
          <cell r="O45">
            <v>2340.1581336986296</v>
          </cell>
        </row>
        <row r="46">
          <cell r="D46">
            <v>2441.1008219178079</v>
          </cell>
          <cell r="E46">
            <v>2522.4708493150683</v>
          </cell>
          <cell r="F46">
            <v>2522.4708493150683</v>
          </cell>
          <cell r="G46">
            <v>2441.1008219178079</v>
          </cell>
          <cell r="H46">
            <v>2522.4708493150683</v>
          </cell>
          <cell r="I46">
            <v>2441.1008219178079</v>
          </cell>
          <cell r="J46">
            <v>2522.4708493150683</v>
          </cell>
          <cell r="K46">
            <v>2522.4708493150683</v>
          </cell>
          <cell r="L46">
            <v>2278.3607671232876</v>
          </cell>
          <cell r="M46">
            <v>2522.4708493150683</v>
          </cell>
          <cell r="N46">
            <v>2441.1008219178079</v>
          </cell>
          <cell r="O46">
            <v>2522.4708493150683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printerSettings" Target="../printerSettings/printerSettings4.bin"/><Relationship Id="rId7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printerSettings" Target="../printerSettings/printerSettings7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4">
    <tabColor theme="3" tint="0.59999389629810485"/>
    <pageSetUpPr fitToPage="1"/>
  </sheetPr>
  <dimension ref="A1:Q25"/>
  <sheetViews>
    <sheetView topLeftCell="B1" zoomScale="90" zoomScaleNormal="90" workbookViewId="0">
      <selection activeCell="C18" sqref="C18"/>
    </sheetView>
  </sheetViews>
  <sheetFormatPr defaultColWidth="9" defaultRowHeight="15" x14ac:dyDescent="0.25"/>
  <cols>
    <col min="1" max="1" width="5.69921875" style="3" customWidth="1"/>
    <col min="2" max="2" width="10.19921875" style="3" customWidth="1"/>
    <col min="3" max="4" width="15.69921875" style="3" customWidth="1"/>
    <col min="5" max="5" width="15.59765625" style="3" customWidth="1"/>
    <col min="6" max="6" width="14.09765625" style="3" customWidth="1"/>
    <col min="7" max="8" width="14.59765625" style="3" bestFit="1" customWidth="1"/>
    <col min="9" max="9" width="27.19921875" style="3" bestFit="1" customWidth="1"/>
    <col min="10" max="10" width="19.59765625" style="3" bestFit="1" customWidth="1"/>
    <col min="11" max="11" width="24.5" style="3" bestFit="1" customWidth="1"/>
    <col min="12" max="12" width="24.5" style="3" customWidth="1"/>
    <col min="13" max="13" width="24.59765625" style="3" bestFit="1" customWidth="1"/>
    <col min="14" max="16384" width="9" style="3"/>
  </cols>
  <sheetData>
    <row r="1" spans="1:17" ht="16.2" customHeight="1" x14ac:dyDescent="0.4">
      <c r="A1" s="1"/>
      <c r="B1" s="9"/>
      <c r="C1" s="1"/>
      <c r="D1" s="1"/>
      <c r="E1" s="1"/>
      <c r="F1" s="1"/>
    </row>
    <row r="2" spans="1:17" ht="30" x14ac:dyDescent="0.5">
      <c r="A2" s="1"/>
      <c r="B2" s="17" t="s">
        <v>9</v>
      </c>
      <c r="C2" s="16"/>
      <c r="D2" s="26"/>
      <c r="E2" s="26"/>
      <c r="F2" s="16"/>
      <c r="G2" s="16"/>
      <c r="H2" s="16"/>
      <c r="I2" s="16"/>
      <c r="J2" s="16"/>
      <c r="K2" s="16"/>
      <c r="L2" s="26"/>
      <c r="M2" s="16"/>
    </row>
    <row r="3" spans="1:17" ht="15.6" thickBot="1" x14ac:dyDescent="0.3">
      <c r="A3" s="1"/>
      <c r="B3" s="2"/>
      <c r="C3" s="2"/>
      <c r="D3" s="2"/>
      <c r="E3" s="2"/>
      <c r="F3" s="1"/>
    </row>
    <row r="4" spans="1:17" s="5" customFormat="1" ht="27" thickBot="1" x14ac:dyDescent="0.35">
      <c r="A4" s="4"/>
      <c r="B4" s="19" t="s">
        <v>4</v>
      </c>
      <c r="C4" s="19" t="s">
        <v>11</v>
      </c>
      <c r="D4" s="19" t="s">
        <v>15</v>
      </c>
      <c r="E4" s="19" t="s">
        <v>13</v>
      </c>
      <c r="F4" s="67" t="s">
        <v>12</v>
      </c>
      <c r="G4" s="64" t="s">
        <v>42</v>
      </c>
      <c r="H4" s="64" t="s">
        <v>31</v>
      </c>
      <c r="I4" s="65" t="s">
        <v>32</v>
      </c>
      <c r="J4" s="64" t="s">
        <v>39</v>
      </c>
      <c r="K4" s="64" t="s">
        <v>40</v>
      </c>
      <c r="L4" s="64" t="s">
        <v>41</v>
      </c>
      <c r="M4" s="66" t="s">
        <v>35</v>
      </c>
    </row>
    <row r="5" spans="1:17" ht="15.6" x14ac:dyDescent="0.3">
      <c r="A5" s="6"/>
      <c r="B5" s="57">
        <v>46174</v>
      </c>
      <c r="C5" s="61">
        <f>'[7]SUMMARY-CP'!$D$6</f>
        <v>49831.25</v>
      </c>
      <c r="D5" s="61"/>
      <c r="E5" s="61"/>
      <c r="F5" s="108"/>
      <c r="G5" s="62">
        <f>'[7]SUMMARY-CP'!$D$28</f>
        <v>1591.8835827186513</v>
      </c>
      <c r="H5" s="62">
        <f>'[7]SUMMARY-CP'!$D$29</f>
        <v>21490.428366701792</v>
      </c>
      <c r="I5" s="63">
        <f>G5+H5</f>
        <v>23082.311949420444</v>
      </c>
      <c r="J5" s="63">
        <f>'[7]SUMMARY-CP'!$D$30</f>
        <v>14857.58010537408</v>
      </c>
      <c r="K5" s="63">
        <f>'[7]SUMMARY-CP'!$D$32</f>
        <v>11527.569603460703</v>
      </c>
      <c r="L5" s="63">
        <f t="shared" ref="L5" si="0">J5+K5</f>
        <v>26385.149708834782</v>
      </c>
      <c r="M5" s="69">
        <f>I5+L5</f>
        <v>49467.461658255226</v>
      </c>
      <c r="N5" s="103">
        <f>C5+F5</f>
        <v>49831.25</v>
      </c>
      <c r="O5" s="103">
        <f>M5-N5</f>
        <v>-363.78834174477379</v>
      </c>
      <c r="Q5" s="103"/>
    </row>
    <row r="6" spans="1:17" ht="15.6" x14ac:dyDescent="0.3">
      <c r="A6" s="6"/>
      <c r="B6" s="57">
        <v>46204</v>
      </c>
      <c r="C6" s="61">
        <f>'[7]SUMMARY-CP'!$E$6</f>
        <v>49026.75</v>
      </c>
      <c r="D6" s="61"/>
      <c r="E6" s="61"/>
      <c r="F6" s="108">
        <v>435</v>
      </c>
      <c r="G6" s="62">
        <f>'[7]SUMMARY-CP'!$E$28</f>
        <v>1644.9463688092731</v>
      </c>
      <c r="H6" s="62">
        <f>'[7]SUMMARY-CP'!$E$29</f>
        <v>22206.775978925187</v>
      </c>
      <c r="I6" s="63">
        <f t="shared" ref="I6:I16" si="1">G6+H6</f>
        <v>23851.72234773446</v>
      </c>
      <c r="J6" s="63">
        <f>'[7]SUMMARY-CP'!$E$30</f>
        <v>15352.832775553215</v>
      </c>
      <c r="K6" s="63">
        <f>'[7]SUMMARY-CP'!$E$32</f>
        <v>11911.821923576059</v>
      </c>
      <c r="L6" s="63">
        <f t="shared" ref="L6:L16" si="2">J6+K6</f>
        <v>27264.654699129274</v>
      </c>
      <c r="M6" s="69">
        <f t="shared" ref="M6:M7" si="3">I6+L6</f>
        <v>51116.377046863738</v>
      </c>
      <c r="N6" s="103">
        <f t="shared" ref="N6:N16" si="4">C6+F6</f>
        <v>49461.75</v>
      </c>
      <c r="O6" s="103">
        <f t="shared" ref="O6:O16" si="5">M6-N6</f>
        <v>1654.6270468637376</v>
      </c>
      <c r="Q6" s="103"/>
    </row>
    <row r="7" spans="1:17" ht="15.6" x14ac:dyDescent="0.3">
      <c r="A7" s="6"/>
      <c r="B7" s="57">
        <v>46235</v>
      </c>
      <c r="C7" s="61">
        <f>'[7]SUMMARY-CP'!$F$6</f>
        <v>47313.75</v>
      </c>
      <c r="D7" s="61"/>
      <c r="E7" s="61"/>
      <c r="F7" s="108">
        <v>435</v>
      </c>
      <c r="G7" s="62">
        <f>'[7]SUMMARY-CP'!$F$28</f>
        <v>1644.9463688092731</v>
      </c>
      <c r="H7" s="62">
        <f>'[7]SUMMARY-CP'!$F$29</f>
        <v>22206.775978925187</v>
      </c>
      <c r="I7" s="63">
        <f t="shared" si="1"/>
        <v>23851.72234773446</v>
      </c>
      <c r="J7" s="63">
        <f>'[7]SUMMARY-CP'!$F$30</f>
        <v>15352.832775553215</v>
      </c>
      <c r="K7" s="63">
        <f>'[7]SUMMARY-CP'!$F$32</f>
        <v>11911.821923576059</v>
      </c>
      <c r="L7" s="63">
        <f t="shared" si="2"/>
        <v>27264.654699129274</v>
      </c>
      <c r="M7" s="69">
        <f t="shared" si="3"/>
        <v>51116.377046863738</v>
      </c>
      <c r="N7" s="103">
        <f t="shared" si="4"/>
        <v>47748.75</v>
      </c>
      <c r="O7" s="103">
        <f t="shared" si="5"/>
        <v>3367.6270468637376</v>
      </c>
      <c r="Q7" s="103"/>
    </row>
    <row r="8" spans="1:17" ht="15.6" x14ac:dyDescent="0.3">
      <c r="A8" s="6"/>
      <c r="B8" s="57">
        <v>46266</v>
      </c>
      <c r="C8" s="61">
        <f>'[7]SUMMARY-CP'!$G$6</f>
        <v>44617.75</v>
      </c>
      <c r="D8" s="61"/>
      <c r="E8" s="61"/>
      <c r="F8" s="108"/>
      <c r="G8" s="62">
        <f>'[7]SUMMARY-CP'!$G$28</f>
        <v>1591.8835827186513</v>
      </c>
      <c r="H8" s="62">
        <f>'[7]SUMMARY-CP'!$G$29</f>
        <v>21490.428366701792</v>
      </c>
      <c r="I8" s="63">
        <f t="shared" si="1"/>
        <v>23082.311949420444</v>
      </c>
      <c r="J8" s="63">
        <f>'[7]SUMMARY-CP'!$G$30</f>
        <v>14857.58010537408</v>
      </c>
      <c r="K8" s="63">
        <f>'[7]SUMMARY-CP'!$G$32</f>
        <v>11527.569603460703</v>
      </c>
      <c r="L8" s="63">
        <f>J8+K8</f>
        <v>26385.149708834782</v>
      </c>
      <c r="M8" s="69">
        <f>I8+L8</f>
        <v>49467.461658255226</v>
      </c>
      <c r="N8" s="103">
        <f t="shared" si="4"/>
        <v>44617.75</v>
      </c>
      <c r="O8" s="103">
        <f t="shared" si="5"/>
        <v>4849.7116582552262</v>
      </c>
      <c r="Q8" s="103"/>
    </row>
    <row r="9" spans="1:17" ht="15.6" x14ac:dyDescent="0.3">
      <c r="A9" s="6"/>
      <c r="B9" s="57">
        <v>46296</v>
      </c>
      <c r="C9" s="61">
        <f>'[7]SUMMARY-CP'!$H$6+500</f>
        <v>44683.5</v>
      </c>
      <c r="D9" s="61"/>
      <c r="E9" s="61"/>
      <c r="F9" s="108"/>
      <c r="G9" s="62">
        <f>'[7]SUMMARY-CP'!$H$28</f>
        <v>1644.9463688092731</v>
      </c>
      <c r="H9" s="62">
        <f>'[7]SUMMARY-CP'!$H$29</f>
        <v>22206.775978925187</v>
      </c>
      <c r="I9" s="63">
        <f t="shared" si="1"/>
        <v>23851.72234773446</v>
      </c>
      <c r="J9" s="63">
        <f>'[7]SUMMARY-CP'!$H$30</f>
        <v>15352.832775553215</v>
      </c>
      <c r="K9" s="63">
        <f>'[7]SUMMARY-CP'!$H$32</f>
        <v>11911.821923576059</v>
      </c>
      <c r="L9" s="63">
        <f>J9+K9</f>
        <v>27264.654699129274</v>
      </c>
      <c r="M9" s="69">
        <f>I9+L9</f>
        <v>51116.377046863738</v>
      </c>
      <c r="N9" s="103">
        <f t="shared" si="4"/>
        <v>44683.5</v>
      </c>
      <c r="O9" s="103">
        <f t="shared" si="5"/>
        <v>6432.8770468637376</v>
      </c>
      <c r="Q9" s="103"/>
    </row>
    <row r="10" spans="1:17" ht="15" customHeight="1" x14ac:dyDescent="0.3">
      <c r="A10" s="6"/>
      <c r="B10" s="57">
        <v>46327</v>
      </c>
      <c r="C10" s="61">
        <f>'[7]SUMMARY-CP'!$I$6-500</f>
        <v>41276.5</v>
      </c>
      <c r="D10" s="61"/>
      <c r="E10" s="61"/>
      <c r="F10" s="108">
        <v>5000</v>
      </c>
      <c r="G10" s="62">
        <f>'[7]SUMMARY-CP'!$I$28</f>
        <v>1591.8835827186513</v>
      </c>
      <c r="H10" s="62">
        <f>'[7]SUMMARY-CP'!$I$29</f>
        <v>21490.428366701792</v>
      </c>
      <c r="I10" s="63">
        <f t="shared" si="1"/>
        <v>23082.311949420444</v>
      </c>
      <c r="J10" s="63">
        <f>'[7]SUMMARY-CP'!$I$30</f>
        <v>14857.58010537408</v>
      </c>
      <c r="K10" s="63">
        <f>'[7]SUMMARY-CP'!$I$32</f>
        <v>11527.569603460703</v>
      </c>
      <c r="L10" s="63">
        <f>J10+K10</f>
        <v>26385.149708834782</v>
      </c>
      <c r="M10" s="69">
        <f>I10+L10</f>
        <v>49467.461658255226</v>
      </c>
      <c r="N10" s="103">
        <f t="shared" si="4"/>
        <v>46276.5</v>
      </c>
      <c r="O10" s="103">
        <f t="shared" si="5"/>
        <v>3190.9616582552262</v>
      </c>
      <c r="Q10" s="103"/>
    </row>
    <row r="11" spans="1:17" ht="15.6" x14ac:dyDescent="0.3">
      <c r="A11" s="6"/>
      <c r="B11" s="57">
        <v>46357</v>
      </c>
      <c r="C11" s="61">
        <f>'[7]SUMMARY-CP'!$J$6</f>
        <v>24975</v>
      </c>
      <c r="D11" s="61"/>
      <c r="E11" s="61"/>
      <c r="F11" s="108">
        <v>20000</v>
      </c>
      <c r="G11" s="62">
        <f>'[7]SUMMARY-CP'!$J$28</f>
        <v>1644.9463688092731</v>
      </c>
      <c r="H11" s="62">
        <f>'[7]SUMMARY-CP'!$J$29</f>
        <v>22206.775978925187</v>
      </c>
      <c r="I11" s="63">
        <f t="shared" si="1"/>
        <v>23851.72234773446</v>
      </c>
      <c r="J11" s="63">
        <f>'[7]SUMMARY-CP'!$J$30</f>
        <v>15352.832775553215</v>
      </c>
      <c r="K11" s="63">
        <f>'[7]SUMMARY-CP'!$J$32</f>
        <v>11911.821923576059</v>
      </c>
      <c r="L11" s="63">
        <f t="shared" ref="L11:L14" si="6">J11+K11</f>
        <v>27264.654699129274</v>
      </c>
      <c r="M11" s="69">
        <f t="shared" ref="M11:M13" si="7">I11+L11</f>
        <v>51116.377046863738</v>
      </c>
      <c r="N11" s="103">
        <f t="shared" si="4"/>
        <v>44975</v>
      </c>
      <c r="O11" s="103">
        <f t="shared" si="5"/>
        <v>6141.3770468637376</v>
      </c>
      <c r="Q11" s="103"/>
    </row>
    <row r="12" spans="1:17" ht="15.6" x14ac:dyDescent="0.3">
      <c r="A12" s="6"/>
      <c r="B12" s="57">
        <v>46388</v>
      </c>
      <c r="C12" s="61">
        <f>'[7]SUMMARY-CP'!$K$6</f>
        <v>20989</v>
      </c>
      <c r="D12" s="61"/>
      <c r="E12" s="61"/>
      <c r="F12" s="108">
        <v>22000</v>
      </c>
      <c r="G12" s="62">
        <f>'[7]SUMMARY-CP'!$K$28</f>
        <v>1644.9463688092731</v>
      </c>
      <c r="H12" s="62">
        <f>'[7]SUMMARY-CP'!$K$29</f>
        <v>22206.775978925187</v>
      </c>
      <c r="I12" s="63">
        <f t="shared" si="1"/>
        <v>23851.72234773446</v>
      </c>
      <c r="J12" s="63">
        <f>'[7]SUMMARY-CP'!$K$30</f>
        <v>15352.832775553215</v>
      </c>
      <c r="K12" s="63">
        <f>'[7]SUMMARY-CP'!$K$32</f>
        <v>11911.821923576059</v>
      </c>
      <c r="L12" s="63">
        <f t="shared" si="6"/>
        <v>27264.654699129274</v>
      </c>
      <c r="M12" s="69">
        <f t="shared" si="7"/>
        <v>51116.377046863738</v>
      </c>
      <c r="N12" s="103">
        <f t="shared" si="4"/>
        <v>42989</v>
      </c>
      <c r="O12" s="103">
        <f t="shared" si="5"/>
        <v>8127.3770468637376</v>
      </c>
      <c r="Q12" s="103"/>
    </row>
    <row r="13" spans="1:17" ht="15.6" x14ac:dyDescent="0.3">
      <c r="A13" s="6"/>
      <c r="B13" s="57">
        <v>46419</v>
      </c>
      <c r="C13" s="61">
        <f>'[7]SUMMARY-CP'!$L$6</f>
        <v>9300</v>
      </c>
      <c r="D13" s="61"/>
      <c r="E13" s="61"/>
      <c r="F13" s="108">
        <v>24000</v>
      </c>
      <c r="G13" s="62">
        <f>'[7]SUMMARY-CP'!$L$28</f>
        <v>1485.7580105374079</v>
      </c>
      <c r="H13" s="62">
        <f>'[7]SUMMARY-CP'!$L$29</f>
        <v>20057.733142255005</v>
      </c>
      <c r="I13" s="63">
        <f t="shared" si="1"/>
        <v>21543.491152792412</v>
      </c>
      <c r="J13" s="63">
        <f>'[7]SUMMARY-CP'!$L$30</f>
        <v>13867.074765015806</v>
      </c>
      <c r="K13" s="63">
        <f>'[7]SUMMARY-CP'!$L$32</f>
        <v>10759.064963229988</v>
      </c>
      <c r="L13" s="63">
        <f t="shared" si="6"/>
        <v>24626.139728245795</v>
      </c>
      <c r="M13" s="69">
        <f t="shared" si="7"/>
        <v>46169.630881038203</v>
      </c>
      <c r="N13" s="103">
        <f t="shared" si="4"/>
        <v>33300</v>
      </c>
      <c r="O13" s="103">
        <f t="shared" si="5"/>
        <v>12869.630881038203</v>
      </c>
      <c r="Q13" s="103"/>
    </row>
    <row r="14" spans="1:17" ht="15.6" x14ac:dyDescent="0.3">
      <c r="A14" s="6"/>
      <c r="B14" s="57">
        <v>46447</v>
      </c>
      <c r="C14" s="61">
        <f>'[7]SUMMARY-CP'!$M$6</f>
        <v>6550</v>
      </c>
      <c r="D14" s="61"/>
      <c r="E14" s="61"/>
      <c r="F14" s="108">
        <v>26000</v>
      </c>
      <c r="G14" s="62">
        <f>'[7]SUMMARY-CP'!$M$28</f>
        <v>1644.9463688092731</v>
      </c>
      <c r="H14" s="62">
        <f>'[7]SUMMARY-CP'!$M$29</f>
        <v>22206.775978925187</v>
      </c>
      <c r="I14" s="63">
        <f t="shared" si="1"/>
        <v>23851.72234773446</v>
      </c>
      <c r="J14" s="63">
        <f>'[7]SUMMARY-CP'!$M$30</f>
        <v>15352.832775553215</v>
      </c>
      <c r="K14" s="63">
        <f>'[7]SUMMARY-CP'!$M$32</f>
        <v>11911.821923576059</v>
      </c>
      <c r="L14" s="63">
        <f t="shared" si="6"/>
        <v>27264.654699129274</v>
      </c>
      <c r="M14" s="69">
        <f>I14+L14</f>
        <v>51116.377046863738</v>
      </c>
      <c r="N14" s="103">
        <f t="shared" si="4"/>
        <v>32550</v>
      </c>
      <c r="O14" s="103">
        <f t="shared" si="5"/>
        <v>18566.377046863738</v>
      </c>
      <c r="Q14" s="103"/>
    </row>
    <row r="15" spans="1:17" ht="15.6" x14ac:dyDescent="0.3">
      <c r="A15" s="6"/>
      <c r="B15" s="57">
        <v>46478</v>
      </c>
      <c r="C15" s="61">
        <f>'[7]SUMMARY-CP'!$N$6</f>
        <v>4050</v>
      </c>
      <c r="D15" s="61"/>
      <c r="E15" s="61"/>
      <c r="F15" s="108">
        <v>26000</v>
      </c>
      <c r="G15" s="62">
        <f>'[7]SUMMARY-CP'!$N$28</f>
        <v>1591.8835827186513</v>
      </c>
      <c r="H15" s="62">
        <f>'[7]SUMMARY-CP'!$N$29</f>
        <v>21490.428366701792</v>
      </c>
      <c r="I15" s="63">
        <f t="shared" si="1"/>
        <v>23082.311949420444</v>
      </c>
      <c r="J15" s="63">
        <f>'[7]SUMMARY-CP'!$N$30</f>
        <v>14857.58010537408</v>
      </c>
      <c r="K15" s="63">
        <f>'[7]SUMMARY-CP'!$N$32</f>
        <v>11527.569603460703</v>
      </c>
      <c r="L15" s="63">
        <f t="shared" si="2"/>
        <v>26385.149708834782</v>
      </c>
      <c r="M15" s="69">
        <f>I15+L15</f>
        <v>49467.461658255226</v>
      </c>
      <c r="N15" s="103">
        <f t="shared" si="4"/>
        <v>30050</v>
      </c>
      <c r="O15" s="103">
        <f t="shared" si="5"/>
        <v>19417.461658255226</v>
      </c>
      <c r="Q15" s="103"/>
    </row>
    <row r="16" spans="1:17" ht="16.2" thickBot="1" x14ac:dyDescent="0.35">
      <c r="A16" s="6"/>
      <c r="B16" s="57">
        <v>46508</v>
      </c>
      <c r="C16" s="61">
        <f>'[7]SUMMARY-CP'!$O$6</f>
        <v>4050</v>
      </c>
      <c r="D16" s="61"/>
      <c r="E16" s="61"/>
      <c r="F16" s="108">
        <v>26000</v>
      </c>
      <c r="G16" s="62">
        <f>'[7]SUMMARY-CP'!$O$28</f>
        <v>1644.9463688092731</v>
      </c>
      <c r="H16" s="62">
        <f>'[7]SUMMARY-CP'!$O$29</f>
        <v>22206.775978925187</v>
      </c>
      <c r="I16" s="63">
        <f t="shared" si="1"/>
        <v>23851.72234773446</v>
      </c>
      <c r="J16" s="63">
        <f>'[7]SUMMARY-CP'!$O$30</f>
        <v>15352.832775553215</v>
      </c>
      <c r="K16" s="63">
        <f>'[7]SUMMARY-CP'!$O$32</f>
        <v>11911.821923576059</v>
      </c>
      <c r="L16" s="63">
        <f t="shared" si="2"/>
        <v>27264.654699129274</v>
      </c>
      <c r="M16" s="69">
        <f>I16+L16</f>
        <v>51116.377046863738</v>
      </c>
      <c r="N16" s="103">
        <f t="shared" si="4"/>
        <v>30050</v>
      </c>
      <c r="O16" s="103">
        <f t="shared" si="5"/>
        <v>21066.377046863738</v>
      </c>
      <c r="Q16" s="103"/>
    </row>
    <row r="17" spans="1:13" ht="16.5" customHeight="1" thickBot="1" x14ac:dyDescent="0.3">
      <c r="A17" s="6"/>
      <c r="B17" s="10"/>
      <c r="C17" s="125" t="s">
        <v>5</v>
      </c>
      <c r="D17" s="126"/>
      <c r="E17" s="126"/>
      <c r="F17" s="126"/>
      <c r="G17" s="126"/>
      <c r="H17" s="126"/>
      <c r="I17" s="126"/>
      <c r="J17" s="126"/>
      <c r="K17" s="126"/>
      <c r="L17" s="126"/>
      <c r="M17" s="127"/>
    </row>
    <row r="18" spans="1:13" ht="16.2" thickBot="1" x14ac:dyDescent="0.35">
      <c r="B18" s="15" t="s">
        <v>6</v>
      </c>
      <c r="C18" s="20">
        <f t="shared" ref="C18:L18" si="8">SUM(C5:C16)</f>
        <v>346663.5</v>
      </c>
      <c r="D18" s="20">
        <f t="shared" si="8"/>
        <v>0</v>
      </c>
      <c r="E18" s="20">
        <f t="shared" si="8"/>
        <v>0</v>
      </c>
      <c r="F18" s="20">
        <f>SUM(F5:F16)</f>
        <v>149870</v>
      </c>
      <c r="G18" s="20">
        <f t="shared" si="8"/>
        <v>19367.916923076922</v>
      </c>
      <c r="H18" s="20">
        <f>SUM(H5:H16)</f>
        <v>261466.87846153846</v>
      </c>
      <c r="I18" s="20">
        <f t="shared" si="8"/>
        <v>280834.79538461543</v>
      </c>
      <c r="J18" s="20">
        <f t="shared" si="8"/>
        <v>180767.22461538465</v>
      </c>
      <c r="K18" s="20">
        <f t="shared" si="8"/>
        <v>140252.09684210521</v>
      </c>
      <c r="L18" s="20">
        <f t="shared" si="8"/>
        <v>321019.32145748986</v>
      </c>
      <c r="M18" s="20">
        <f>SUM(M5:M16)</f>
        <v>601854.11684210529</v>
      </c>
    </row>
    <row r="19" spans="1:13" ht="15.6" thickBo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6.2" thickBot="1" x14ac:dyDescent="0.35">
      <c r="B20" s="7" t="s">
        <v>7</v>
      </c>
      <c r="C20" s="13">
        <f>AVERAGE(C5:C16)</f>
        <v>28888.625</v>
      </c>
      <c r="D20" s="13" t="e">
        <f t="shared" ref="D20:M20" si="9">AVERAGE(D5:D16)</f>
        <v>#DIV/0!</v>
      </c>
      <c r="E20" s="13" t="e">
        <f t="shared" si="9"/>
        <v>#DIV/0!</v>
      </c>
      <c r="F20" s="13">
        <f t="shared" si="9"/>
        <v>16652.222222222223</v>
      </c>
      <c r="G20" s="13">
        <f t="shared" si="9"/>
        <v>1613.9930769230768</v>
      </c>
      <c r="H20" s="13">
        <f t="shared" si="9"/>
        <v>21788.906538461539</v>
      </c>
      <c r="I20" s="13">
        <f t="shared" si="9"/>
        <v>23402.89961538462</v>
      </c>
      <c r="J20" s="13">
        <f t="shared" si="9"/>
        <v>15063.935384615388</v>
      </c>
      <c r="K20" s="13">
        <f t="shared" si="9"/>
        <v>11687.6747368421</v>
      </c>
      <c r="L20" s="13">
        <f t="shared" si="9"/>
        <v>26751.610121457488</v>
      </c>
      <c r="M20" s="13">
        <f t="shared" si="9"/>
        <v>50154.509736842105</v>
      </c>
    </row>
    <row r="21" spans="1:13" x14ac:dyDescent="0.25">
      <c r="C21" s="130">
        <f>C18+C20</f>
        <v>375552.125</v>
      </c>
      <c r="D21" s="11"/>
      <c r="E21" s="11"/>
      <c r="F21" s="11"/>
    </row>
    <row r="23" spans="1:13" x14ac:dyDescent="0.25">
      <c r="C23" s="3">
        <v>401639</v>
      </c>
      <c r="G23" s="60"/>
      <c r="H23" s="60"/>
      <c r="I23" s="60"/>
    </row>
    <row r="24" spans="1:13" x14ac:dyDescent="0.25">
      <c r="F24" s="60"/>
    </row>
    <row r="25" spans="1:13" x14ac:dyDescent="0.25">
      <c r="C25" s="60">
        <f>C18-C23</f>
        <v>-54975.5</v>
      </c>
      <c r="F25" s="60"/>
    </row>
  </sheetData>
  <mergeCells count="1">
    <mergeCell ref="C17:M17"/>
  </mergeCells>
  <printOptions horizontalCentered="1" verticalCentered="1"/>
  <pageMargins left="0.39370078740157483" right="0.39370078740157483" top="0.39370078740157483" bottom="0.39370078740157483" header="0.35433070866141736" footer="0.39370078740157483"/>
  <pageSetup paperSize="9" scale="81" orientation="landscape" r:id="rId1"/>
  <headerFooter alignWithMargins="0">
    <oddHeader>&amp;C&amp;A</oddHeader>
    <oddFooter>&amp;L&amp;D&amp;C&amp;A&amp;R&amp;P/&amp;N</oddFooter>
  </headerFooter>
  <ignoredErrors>
    <ignoredError sqref="G1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0">
    <tabColor theme="3" tint="0.59999389629810485"/>
    <pageSetUpPr fitToPage="1"/>
  </sheetPr>
  <dimension ref="A2:K27"/>
  <sheetViews>
    <sheetView zoomScaleNormal="100" workbookViewId="0">
      <selection activeCell="F16" sqref="F16"/>
    </sheetView>
  </sheetViews>
  <sheetFormatPr defaultColWidth="11" defaultRowHeight="15" x14ac:dyDescent="0.25"/>
  <cols>
    <col min="1" max="1" width="5.69921875" style="3" customWidth="1"/>
    <col min="2" max="2" width="10.19921875" style="3" customWidth="1"/>
    <col min="3" max="7" width="15.69921875" style="3" customWidth="1"/>
    <col min="8" max="8" width="13.69921875" style="3" customWidth="1"/>
    <col min="9" max="9" width="12.5" style="3" bestFit="1" customWidth="1"/>
    <col min="10" max="16384" width="11" style="3"/>
  </cols>
  <sheetData>
    <row r="2" spans="1:10" ht="30" x14ac:dyDescent="0.5">
      <c r="A2" s="1"/>
      <c r="B2" s="17" t="s">
        <v>0</v>
      </c>
      <c r="C2" s="17"/>
      <c r="D2" s="23"/>
      <c r="E2" s="23"/>
      <c r="F2" s="16"/>
      <c r="G2" s="26"/>
      <c r="H2" s="16"/>
    </row>
    <row r="3" spans="1:10" ht="15.6" thickBot="1" x14ac:dyDescent="0.3">
      <c r="A3" s="1"/>
      <c r="B3" s="2"/>
      <c r="C3" s="2"/>
      <c r="D3" s="2"/>
      <c r="E3" s="2"/>
      <c r="F3" s="2"/>
      <c r="G3" s="2"/>
      <c r="H3" s="1"/>
    </row>
    <row r="4" spans="1:10" s="5" customFormat="1" ht="15.75" customHeight="1" thickBot="1" x14ac:dyDescent="0.35">
      <c r="A4" s="4"/>
      <c r="B4" s="19" t="s">
        <v>4</v>
      </c>
      <c r="C4" s="19" t="s">
        <v>11</v>
      </c>
      <c r="D4" s="19" t="s">
        <v>15</v>
      </c>
      <c r="E4" s="19" t="s">
        <v>13</v>
      </c>
      <c r="F4" s="67" t="s">
        <v>12</v>
      </c>
      <c r="G4" s="72" t="s">
        <v>44</v>
      </c>
      <c r="H4" s="64" t="s">
        <v>10</v>
      </c>
    </row>
    <row r="5" spans="1:10" ht="15.6" x14ac:dyDescent="0.3">
      <c r="A5" s="6"/>
      <c r="B5" s="57">
        <v>46174</v>
      </c>
      <c r="C5" s="61">
        <f>'[7]SUMMARY-CP'!$D$12</f>
        <v>8475</v>
      </c>
      <c r="D5" s="61"/>
      <c r="E5" s="61"/>
      <c r="F5" s="68"/>
      <c r="G5" s="71"/>
      <c r="H5" s="70">
        <f>'[7]SUMMARY-CP'!$D$38</f>
        <v>8737.4817945205486</v>
      </c>
      <c r="I5" s="103">
        <f t="shared" ref="I5:I16" si="0">C5+F5+G5</f>
        <v>8475</v>
      </c>
      <c r="J5" s="103">
        <f>H5-I5</f>
        <v>262.48179452054865</v>
      </c>
    </row>
    <row r="6" spans="1:10" ht="15.6" x14ac:dyDescent="0.3">
      <c r="A6" s="6"/>
      <c r="B6" s="57">
        <v>46204</v>
      </c>
      <c r="C6" s="61">
        <f>'[7]SUMMARY-CP'!$E$12</f>
        <v>6792.5</v>
      </c>
      <c r="D6" s="61"/>
      <c r="E6" s="61"/>
      <c r="F6" s="68"/>
      <c r="G6" s="71"/>
      <c r="H6" s="70">
        <f>'[7]SUMMARY-CP'!$E$38</f>
        <v>9028.7311876712338</v>
      </c>
      <c r="I6" s="103">
        <f t="shared" si="0"/>
        <v>6792.5</v>
      </c>
      <c r="J6" s="103">
        <f t="shared" ref="J6:J16" si="1">H6-I6</f>
        <v>2236.2311876712338</v>
      </c>
    </row>
    <row r="7" spans="1:10" ht="15.6" x14ac:dyDescent="0.3">
      <c r="A7" s="6"/>
      <c r="B7" s="57">
        <v>46235</v>
      </c>
      <c r="C7" s="61">
        <f>'[7]SUMMARY-CP'!$F$12</f>
        <v>8144</v>
      </c>
      <c r="D7" s="61"/>
      <c r="E7" s="61"/>
      <c r="F7" s="68"/>
      <c r="G7" s="71"/>
      <c r="H7" s="70">
        <f>'[7]SUMMARY-CP'!$F$38</f>
        <v>9028.7311876712338</v>
      </c>
      <c r="I7" s="103">
        <f t="shared" si="0"/>
        <v>8144</v>
      </c>
      <c r="J7" s="103">
        <f t="shared" si="1"/>
        <v>884.73118767123378</v>
      </c>
    </row>
    <row r="8" spans="1:10" ht="15.6" x14ac:dyDescent="0.3">
      <c r="A8" s="6"/>
      <c r="B8" s="57">
        <v>46266</v>
      </c>
      <c r="C8" s="61">
        <f>'[7]SUMMARY-CP'!$G$12</f>
        <v>6540</v>
      </c>
      <c r="D8" s="61"/>
      <c r="E8" s="61"/>
      <c r="F8" s="68"/>
      <c r="G8" s="71">
        <v>767</v>
      </c>
      <c r="H8" s="70">
        <f>'[7]SUMMARY-CP'!$G$38</f>
        <v>8737.4817945205486</v>
      </c>
      <c r="I8" s="103">
        <f t="shared" si="0"/>
        <v>7307</v>
      </c>
      <c r="J8" s="103">
        <f t="shared" si="1"/>
        <v>1430.4817945205486</v>
      </c>
    </row>
    <row r="9" spans="1:10" ht="15.6" x14ac:dyDescent="0.3">
      <c r="A9" s="6"/>
      <c r="B9" s="57">
        <v>46296</v>
      </c>
      <c r="C9" s="61">
        <f>'[7]SUMMARY-CP'!$H$12</f>
        <v>7635</v>
      </c>
      <c r="D9" s="61"/>
      <c r="E9" s="61"/>
      <c r="F9" s="68"/>
      <c r="G9" s="71">
        <v>767</v>
      </c>
      <c r="H9" s="70">
        <f>'[7]SUMMARY-CP'!$H$38</f>
        <v>9028.7311876712338</v>
      </c>
      <c r="I9" s="103">
        <f t="shared" si="0"/>
        <v>8402</v>
      </c>
      <c r="J9" s="103">
        <f t="shared" si="1"/>
        <v>626.73118767123378</v>
      </c>
    </row>
    <row r="10" spans="1:10" ht="15.6" x14ac:dyDescent="0.3">
      <c r="A10" s="6"/>
      <c r="B10" s="57">
        <v>46327</v>
      </c>
      <c r="C10" s="61">
        <f>'[7]SUMMARY-CP'!$I$12</f>
        <v>6550</v>
      </c>
      <c r="D10" s="61"/>
      <c r="E10" s="61"/>
      <c r="F10" s="68"/>
      <c r="G10" s="71">
        <v>767</v>
      </c>
      <c r="H10" s="70">
        <f>'[7]SUMMARY-CP'!$I$38</f>
        <v>8737.4817945205486</v>
      </c>
      <c r="I10" s="103">
        <f t="shared" si="0"/>
        <v>7317</v>
      </c>
      <c r="J10" s="103">
        <f t="shared" si="1"/>
        <v>1420.4817945205486</v>
      </c>
    </row>
    <row r="11" spans="1:10" ht="15.6" x14ac:dyDescent="0.3">
      <c r="A11" s="6"/>
      <c r="B11" s="57">
        <v>46357</v>
      </c>
      <c r="C11" s="61">
        <f>'[7]SUMMARY-CP'!$J$12</f>
        <v>5756</v>
      </c>
      <c r="D11" s="61"/>
      <c r="E11" s="61"/>
      <c r="F11" s="68">
        <v>500</v>
      </c>
      <c r="G11" s="71">
        <v>767</v>
      </c>
      <c r="H11" s="70">
        <f>'[7]SUMMARY-CP'!$J$38</f>
        <v>9028.7311876712338</v>
      </c>
      <c r="I11" s="103">
        <f t="shared" si="0"/>
        <v>7023</v>
      </c>
      <c r="J11" s="103">
        <f t="shared" si="1"/>
        <v>2005.7311876712338</v>
      </c>
    </row>
    <row r="12" spans="1:10" ht="15.6" x14ac:dyDescent="0.3">
      <c r="A12" s="6"/>
      <c r="B12" s="57">
        <v>46388</v>
      </c>
      <c r="C12" s="61">
        <f>'[7]SUMMARY-CP'!$K$12</f>
        <v>4610</v>
      </c>
      <c r="D12" s="61"/>
      <c r="E12" s="61"/>
      <c r="F12" s="68">
        <v>500</v>
      </c>
      <c r="G12" s="71">
        <v>767</v>
      </c>
      <c r="H12" s="70">
        <f>'[7]SUMMARY-CP'!$K$38</f>
        <v>9028.7311876712338</v>
      </c>
      <c r="I12" s="103">
        <f t="shared" si="0"/>
        <v>5877</v>
      </c>
      <c r="J12" s="103">
        <f t="shared" si="1"/>
        <v>3151.7311876712338</v>
      </c>
    </row>
    <row r="13" spans="1:10" ht="15.6" x14ac:dyDescent="0.3">
      <c r="A13" s="6"/>
      <c r="B13" s="57">
        <v>46419</v>
      </c>
      <c r="C13" s="61">
        <f>'[7]SUMMARY-CP'!$L$12</f>
        <v>3982</v>
      </c>
      <c r="D13" s="61"/>
      <c r="E13" s="61"/>
      <c r="F13" s="68">
        <v>3000</v>
      </c>
      <c r="G13" s="71">
        <v>767</v>
      </c>
      <c r="H13" s="70">
        <f>'[7]SUMMARY-CP'!$L$38</f>
        <v>8154.9830082191793</v>
      </c>
      <c r="I13" s="103">
        <f t="shared" si="0"/>
        <v>7749</v>
      </c>
      <c r="J13" s="103">
        <f t="shared" si="1"/>
        <v>405.98300821917928</v>
      </c>
    </row>
    <row r="14" spans="1:10" ht="15.6" x14ac:dyDescent="0.3">
      <c r="A14" s="6"/>
      <c r="B14" s="57">
        <v>46447</v>
      </c>
      <c r="C14" s="61">
        <f>'[7]SUMMARY-CP'!$M$12</f>
        <v>2236</v>
      </c>
      <c r="D14" s="61"/>
      <c r="E14" s="61"/>
      <c r="F14" s="68">
        <v>3700</v>
      </c>
      <c r="G14" s="71">
        <v>766</v>
      </c>
      <c r="H14" s="70">
        <f>'[7]SUMMARY-CP'!$M$38</f>
        <v>9028.7311876712338</v>
      </c>
      <c r="I14" s="103">
        <f t="shared" si="0"/>
        <v>6702</v>
      </c>
      <c r="J14" s="103">
        <f t="shared" si="1"/>
        <v>2326.7311876712338</v>
      </c>
    </row>
    <row r="15" spans="1:10" ht="15.6" x14ac:dyDescent="0.3">
      <c r="A15" s="6"/>
      <c r="B15" s="57">
        <v>46478</v>
      </c>
      <c r="C15" s="61">
        <f>'[7]SUMMARY-CP'!$N$12</f>
        <v>3582</v>
      </c>
      <c r="D15" s="61"/>
      <c r="E15" s="61"/>
      <c r="F15" s="68">
        <v>4000</v>
      </c>
      <c r="G15" s="71">
        <v>766</v>
      </c>
      <c r="H15" s="70">
        <f>'[7]SUMMARY-CP'!$N$38</f>
        <v>8737.4817945205486</v>
      </c>
      <c r="I15" s="103">
        <f t="shared" si="0"/>
        <v>8348</v>
      </c>
      <c r="J15" s="103">
        <f t="shared" si="1"/>
        <v>389.48179452054865</v>
      </c>
    </row>
    <row r="16" spans="1:10" ht="16.2" thickBot="1" x14ac:dyDescent="0.35">
      <c r="A16" s="6"/>
      <c r="B16" s="57">
        <v>46508</v>
      </c>
      <c r="C16" s="61">
        <f>'[7]SUMMARY-CP'!$O$12</f>
        <v>4282</v>
      </c>
      <c r="D16" s="61"/>
      <c r="E16" s="61"/>
      <c r="F16" s="68">
        <v>4200</v>
      </c>
      <c r="G16" s="71">
        <v>766</v>
      </c>
      <c r="H16" s="70">
        <f>'[7]SUMMARY-CP'!$O$38</f>
        <v>9028.7311876712338</v>
      </c>
      <c r="I16" s="103">
        <f t="shared" si="0"/>
        <v>9248</v>
      </c>
      <c r="J16" s="103">
        <f t="shared" si="1"/>
        <v>-219.26881232876622</v>
      </c>
    </row>
    <row r="17" spans="1:11" ht="15.6" thickBot="1" x14ac:dyDescent="0.3">
      <c r="A17" s="6"/>
      <c r="B17" s="10"/>
      <c r="C17" s="128" t="s">
        <v>5</v>
      </c>
      <c r="D17" s="129"/>
      <c r="E17" s="129"/>
      <c r="F17" s="129"/>
      <c r="G17" s="129"/>
      <c r="H17" s="129"/>
      <c r="J17" s="103"/>
    </row>
    <row r="18" spans="1:11" ht="16.2" thickBot="1" x14ac:dyDescent="0.35">
      <c r="B18" s="15" t="s">
        <v>6</v>
      </c>
      <c r="C18" s="20">
        <f>SUM(C5:C16)</f>
        <v>68584.5</v>
      </c>
      <c r="D18" s="20">
        <f t="shared" ref="D18:F18" si="2">SUM(D5:D16)</f>
        <v>0</v>
      </c>
      <c r="E18" s="20">
        <f t="shared" si="2"/>
        <v>0</v>
      </c>
      <c r="F18" s="20">
        <f t="shared" si="2"/>
        <v>15900</v>
      </c>
      <c r="G18" s="20">
        <f>SUM(G5:G16)</f>
        <v>6900</v>
      </c>
      <c r="H18" s="20">
        <f>SUM(H5:H16)</f>
        <v>106306.0285</v>
      </c>
      <c r="I18" s="20">
        <f>SUM(I5:I16)</f>
        <v>91384.5</v>
      </c>
    </row>
    <row r="19" spans="1:11" ht="15.6" thickBot="1" x14ac:dyDescent="0.3">
      <c r="B19" s="8"/>
      <c r="C19" s="8"/>
      <c r="D19" s="8"/>
      <c r="E19" s="8"/>
      <c r="F19" s="8"/>
      <c r="G19" s="8"/>
      <c r="H19" s="8"/>
    </row>
    <row r="20" spans="1:11" ht="16.2" thickBot="1" x14ac:dyDescent="0.35">
      <c r="B20" s="7" t="s">
        <v>7</v>
      </c>
      <c r="C20" s="13">
        <f>AVERAGE(C5:C16)</f>
        <v>5715.375</v>
      </c>
      <c r="D20" s="13" t="e">
        <f t="shared" ref="D20:H20" si="3">AVERAGE(D5:D16)</f>
        <v>#DIV/0!</v>
      </c>
      <c r="E20" s="13" t="e">
        <f t="shared" si="3"/>
        <v>#DIV/0!</v>
      </c>
      <c r="F20" s="13">
        <f t="shared" si="3"/>
        <v>2650</v>
      </c>
      <c r="G20" s="13">
        <f t="shared" si="3"/>
        <v>766.66666666666663</v>
      </c>
      <c r="H20" s="13">
        <f t="shared" si="3"/>
        <v>8858.835708333334</v>
      </c>
    </row>
    <row r="21" spans="1:11" x14ac:dyDescent="0.25">
      <c r="C21" s="11"/>
      <c r="D21" s="11"/>
      <c r="E21" s="11"/>
      <c r="F21" s="11"/>
      <c r="G21" s="11"/>
      <c r="H21" s="11"/>
      <c r="K21" s="3">
        <f>6900+1400</f>
        <v>8300</v>
      </c>
    </row>
    <row r="22" spans="1:11" x14ac:dyDescent="0.25">
      <c r="B22" s="11"/>
      <c r="C22" s="18"/>
      <c r="D22" s="11"/>
      <c r="E22" s="11"/>
      <c r="F22" s="11"/>
      <c r="G22" s="11"/>
      <c r="H22" s="11"/>
      <c r="K22" s="3">
        <f>K21/1000</f>
        <v>8.3000000000000007</v>
      </c>
    </row>
    <row r="23" spans="1:11" x14ac:dyDescent="0.25">
      <c r="C23" s="103">
        <v>76814</v>
      </c>
      <c r="F23" s="11"/>
    </row>
    <row r="24" spans="1:11" x14ac:dyDescent="0.25">
      <c r="C24" s="60">
        <f>C18-C23</f>
        <v>-8229.5</v>
      </c>
      <c r="F24" s="11">
        <f>10000+8800</f>
        <v>18800</v>
      </c>
      <c r="H24" s="11"/>
    </row>
    <row r="25" spans="1:11" x14ac:dyDescent="0.25">
      <c r="C25" s="60"/>
      <c r="F25" s="11"/>
    </row>
    <row r="26" spans="1:11" x14ac:dyDescent="0.25">
      <c r="F26" s="103"/>
    </row>
    <row r="27" spans="1:11" x14ac:dyDescent="0.25">
      <c r="F27" s="60">
        <f>C18+F18+G18</f>
        <v>91384.5</v>
      </c>
    </row>
  </sheetData>
  <customSheetViews>
    <customSheetView guid="{9DBBBA8E-6A9B-4823-B2B8-E1FEDF2D81C4}" scale="75" showPageBreaks="1" showGridLines="0" fitToPage="1" showRuler="0">
      <selection activeCell="G16" sqref="G16"/>
      <pageMargins left="0.39370078740157483" right="0.39370078740157483" top="0.82677165354330717" bottom="0.62992125984251968" header="0.35433070866141736" footer="0.39370078740157483"/>
      <pageSetup paperSize="9" scale="50" orientation="landscape" horizontalDpi="360" r:id="rId1"/>
      <headerFooter alignWithMargins="0">
        <oddHeader>&amp;C&amp;A</oddHeader>
        <oddFooter>&amp;C&amp;F</oddFooter>
      </headerFooter>
    </customSheetView>
    <customSheetView guid="{EFEDAD1F-C16C-4D99-BCD0-F7F14475BECA}" scale="75" showGridLines="0" fitToPage="1" showRuler="0" topLeftCell="B1">
      <selection activeCell="C9" sqref="C9"/>
      <pageMargins left="0.39370078740157483" right="0.39370078740157483" top="0.84" bottom="0.64" header="0.37" footer="0.38"/>
      <printOptions horizontalCentered="1"/>
      <pageSetup paperSize="9" scale="50" orientation="landscape" horizontalDpi="360" r:id="rId2"/>
      <headerFooter alignWithMargins="0">
        <oddHeader>&amp;C&amp;F&amp;A</oddHeader>
      </headerFooter>
    </customSheetView>
    <customSheetView guid="{39D96DF0-E547-4D3E-A875-25AB047037FF}" scale="85" showGridLines="0" showRuler="0">
      <selection activeCell="F7" sqref="F7"/>
      <pageMargins left="0.39370078740157483" right="0.39370078740157483" top="0.84" bottom="0.64" header="0.37" footer="0.38"/>
      <printOptions horizontalCentered="1"/>
      <pageSetup paperSize="9" orientation="landscape" horizontalDpi="360" r:id="rId3"/>
      <headerFooter alignWithMargins="0">
        <oddFooter>&amp;R&amp;D</oddFooter>
      </headerFooter>
    </customSheetView>
    <customSheetView guid="{F2D0067E-FDBA-4A89-A490-2FFF819FFC6C}" scale="75" showGridLines="0" fitToPage="1" showRuler="0">
      <selection activeCell="D29" sqref="D29"/>
      <pageMargins left="0.39370078740157483" right="0.39370078740157483" top="0.82677165354330717" bottom="0.62992125984251968" header="0.35433070866141736" footer="0.39370078740157483"/>
      <pageSetup paperSize="9" scale="50" orientation="landscape" horizontalDpi="360" r:id="rId4"/>
      <headerFooter alignWithMargins="0">
        <oddHeader>&amp;C&amp;A</oddHeader>
        <oddFooter>&amp;C&amp;F</oddFooter>
      </headerFooter>
    </customSheetView>
    <customSheetView guid="{DAE49A2A-B5E6-4FC4-8C29-42C17303288D}" scale="75" showGridLines="0" fitToPage="1" showRuler="0">
      <selection activeCell="E37" sqref="E37"/>
      <pageMargins left="0.39370078740157483" right="0.39370078740157483" top="0.82677165354330717" bottom="0.62992125984251968" header="0.35433070866141736" footer="0.39370078740157483"/>
      <pageSetup paperSize="9" scale="50" orientation="landscape" horizontalDpi="360" r:id="rId5"/>
      <headerFooter alignWithMargins="0">
        <oddHeader>&amp;C&amp;A</oddHeader>
        <oddFooter>&amp;C&amp;F</oddFooter>
      </headerFooter>
    </customSheetView>
    <customSheetView guid="{5F1F8321-FC24-428F-8558-8C6074EBB356}" scale="75" showGridLines="0" fitToPage="1" showRuler="0">
      <selection activeCell="L13" sqref="L13"/>
      <pageMargins left="0.39370078740157483" right="0.39370078740157483" top="0.82677165354330717" bottom="0.62992125984251968" header="0.35433070866141736" footer="0.39370078740157483"/>
      <pageSetup paperSize="9" scale="50" orientation="landscape" horizontalDpi="360" r:id="rId6"/>
      <headerFooter alignWithMargins="0">
        <oddHeader>&amp;C&amp;A</oddHeader>
        <oddFooter>&amp;C&amp;F</oddFooter>
      </headerFooter>
    </customSheetView>
    <customSheetView guid="{60B391C3-DE92-4B31-8B84-73C91653406B}" scale="75" showGridLines="0" fitToPage="1" showRuler="0">
      <selection activeCell="G22" sqref="G22"/>
      <pageMargins left="0.39370078740157483" right="0.39370078740157483" top="0.82677165354330717" bottom="0.62992125984251968" header="0.35433070866141736" footer="0.39370078740157483"/>
      <pageSetup paperSize="9" scale="50" orientation="landscape" horizontalDpi="360" r:id="rId7"/>
      <headerFooter alignWithMargins="0">
        <oddHeader>&amp;C&amp;A</oddHeader>
        <oddFooter>&amp;C&amp;F</oddFooter>
      </headerFooter>
    </customSheetView>
  </customSheetViews>
  <mergeCells count="1">
    <mergeCell ref="C17:H17"/>
  </mergeCells>
  <phoneticPr fontId="0" type="noConversion"/>
  <printOptions horizontalCentered="1" verticalCentered="1" gridLines="1" gridLinesSet="0"/>
  <pageMargins left="0.39370078740157483" right="0.39370078740157483" top="0.39370078740157483" bottom="0.39370078740157483" header="0.35433070866141736" footer="0.39370078740157483"/>
  <pageSetup paperSize="9" scale="78" orientation="landscape" r:id="rId8"/>
  <headerFooter alignWithMargins="0">
    <oddHeader>&amp;C&amp;A</oddHeader>
    <oddFooter>&amp;L&amp;D&amp;C&amp;A&amp;R&amp;P/&amp;N</oddFooter>
  </headerFooter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3" tint="0.59999389629810485"/>
    <pageSetUpPr fitToPage="1"/>
  </sheetPr>
  <dimension ref="A1:M32"/>
  <sheetViews>
    <sheetView zoomScale="55" zoomScaleNormal="55" workbookViewId="0">
      <selection activeCell="E18" sqref="E18"/>
    </sheetView>
  </sheetViews>
  <sheetFormatPr defaultColWidth="9" defaultRowHeight="15" x14ac:dyDescent="0.25"/>
  <cols>
    <col min="1" max="1" width="5.69921875" style="3" customWidth="1"/>
    <col min="2" max="2" width="10.19921875" style="3" customWidth="1"/>
    <col min="3" max="4" width="15.69921875" style="3" customWidth="1"/>
    <col min="5" max="5" width="15.69921875" style="22" customWidth="1"/>
    <col min="6" max="7" width="15.69921875" style="3" customWidth="1"/>
    <col min="8" max="8" width="20.19921875" style="3" bestFit="1" customWidth="1"/>
    <col min="9" max="9" width="18.5" style="3" bestFit="1" customWidth="1"/>
    <col min="10" max="10" width="34.09765625" style="3" bestFit="1" customWidth="1"/>
    <col min="11" max="16384" width="9" style="3"/>
  </cols>
  <sheetData>
    <row r="1" spans="1:13" ht="16.2" customHeight="1" x14ac:dyDescent="0.4">
      <c r="A1" s="1"/>
      <c r="B1" s="9"/>
      <c r="C1" s="1"/>
      <c r="D1" s="1"/>
      <c r="F1" s="1"/>
      <c r="G1" s="1"/>
      <c r="H1" s="1"/>
    </row>
    <row r="2" spans="1:13" ht="30" x14ac:dyDescent="0.5">
      <c r="A2" s="1"/>
      <c r="B2" s="17" t="s">
        <v>3</v>
      </c>
      <c r="C2" s="16"/>
      <c r="D2" s="26"/>
      <c r="E2" s="24"/>
      <c r="F2" s="16"/>
      <c r="G2" s="16"/>
      <c r="H2" s="26"/>
      <c r="I2" s="16"/>
      <c r="J2" s="16"/>
    </row>
    <row r="3" spans="1:13" ht="15.6" thickBot="1" x14ac:dyDescent="0.3">
      <c r="A3" s="1"/>
      <c r="B3" s="2"/>
      <c r="C3" s="2"/>
      <c r="D3" s="2"/>
      <c r="E3" s="25"/>
      <c r="F3" s="2"/>
      <c r="G3" s="1"/>
      <c r="H3" s="1"/>
    </row>
    <row r="4" spans="1:13" s="5" customFormat="1" ht="23.25" customHeight="1" thickBot="1" x14ac:dyDescent="0.35">
      <c r="A4" s="4"/>
      <c r="B4" s="19" t="s">
        <v>4</v>
      </c>
      <c r="C4" s="19" t="s">
        <v>11</v>
      </c>
      <c r="D4" s="19" t="s">
        <v>15</v>
      </c>
      <c r="E4" s="19" t="s">
        <v>44</v>
      </c>
      <c r="F4" s="19" t="s">
        <v>12</v>
      </c>
      <c r="G4" s="64" t="s">
        <v>43</v>
      </c>
      <c r="H4" s="64" t="s">
        <v>39</v>
      </c>
      <c r="I4" s="64" t="s">
        <v>31</v>
      </c>
      <c r="J4" s="82" t="s">
        <v>35</v>
      </c>
    </row>
    <row r="5" spans="1:13" ht="15.6" x14ac:dyDescent="0.3">
      <c r="A5" s="6"/>
      <c r="B5" s="57">
        <v>46174</v>
      </c>
      <c r="C5" s="61">
        <f>'[7]SUMMARY-CP'!$D$20</f>
        <v>5428</v>
      </c>
      <c r="D5" s="61"/>
      <c r="E5" s="61"/>
      <c r="F5" s="61"/>
      <c r="G5" s="61">
        <f>'[7]SUMMARY-CP'!$D$40</f>
        <v>1355.886986301369</v>
      </c>
      <c r="H5" s="68">
        <f>'[7]SUMMARY-CP'!$D$42</f>
        <v>1355.886986301369</v>
      </c>
      <c r="I5" s="58">
        <f>'[7]SUMMARY-CP'!$D$41</f>
        <v>2711.773972602738</v>
      </c>
      <c r="J5" s="69">
        <f t="shared" ref="J5:J15" si="0">G5+H5+I5</f>
        <v>5423.547945205476</v>
      </c>
      <c r="K5" s="103">
        <f>C5+F5+E5</f>
        <v>5428</v>
      </c>
      <c r="L5" s="103">
        <f>J5-K5</f>
        <v>-4.4520547945239741</v>
      </c>
    </row>
    <row r="6" spans="1:13" ht="15.6" x14ac:dyDescent="0.3">
      <c r="A6" s="6"/>
      <c r="B6" s="57">
        <v>46204</v>
      </c>
      <c r="C6" s="61">
        <f>'[7]SUMMARY-CP'!$E$20</f>
        <v>5543</v>
      </c>
      <c r="D6" s="61"/>
      <c r="E6" s="61"/>
      <c r="F6" s="61"/>
      <c r="G6" s="61">
        <f>'[7]SUMMARY-CP'!$E$40</f>
        <v>1401.0832191780814</v>
      </c>
      <c r="H6" s="68">
        <f>'[7]SUMMARY-CP'!$E$42</f>
        <v>1401.0832191780814</v>
      </c>
      <c r="I6" s="58">
        <f>'[7]SUMMARY-CP'!$E$41</f>
        <v>2802.1664383561629</v>
      </c>
      <c r="J6" s="69">
        <f>G6+H6+I6</f>
        <v>5604.3328767123257</v>
      </c>
      <c r="K6" s="103">
        <f t="shared" ref="K6:K16" si="1">C6+F6+E6</f>
        <v>5543</v>
      </c>
      <c r="L6" s="103">
        <f t="shared" ref="L6:L16" si="2">J6-K6</f>
        <v>61.332876712325742</v>
      </c>
    </row>
    <row r="7" spans="1:13" ht="15.6" x14ac:dyDescent="0.3">
      <c r="A7" s="6"/>
      <c r="B7" s="57">
        <v>46235</v>
      </c>
      <c r="C7" s="61">
        <f>'[7]SUMMARY-CP'!$F$20</f>
        <v>5538</v>
      </c>
      <c r="D7" s="61"/>
      <c r="E7" s="61"/>
      <c r="F7" s="61"/>
      <c r="G7" s="61">
        <f>'[7]SUMMARY-CP'!$F$40</f>
        <v>1401.0832191780814</v>
      </c>
      <c r="H7" s="68">
        <f>'[7]SUMMARY-CP'!$F$42</f>
        <v>1401.0832191780814</v>
      </c>
      <c r="I7" s="58">
        <f>'[7]SUMMARY-CP'!$F$41</f>
        <v>2802.1664383561629</v>
      </c>
      <c r="J7" s="69">
        <f>G7+H7+I7</f>
        <v>5604.3328767123257</v>
      </c>
      <c r="K7" s="103">
        <f t="shared" si="1"/>
        <v>5538</v>
      </c>
      <c r="L7" s="103">
        <f t="shared" si="2"/>
        <v>66.332876712325742</v>
      </c>
    </row>
    <row r="8" spans="1:13" ht="15.6" x14ac:dyDescent="0.3">
      <c r="A8" s="6"/>
      <c r="B8" s="57">
        <v>46266</v>
      </c>
      <c r="C8" s="61">
        <f>'[7]SUMMARY-CP'!$G$20</f>
        <v>5614</v>
      </c>
      <c r="D8" s="61"/>
      <c r="E8" s="61"/>
      <c r="F8" s="61"/>
      <c r="G8" s="61">
        <f>'[7]SUMMARY-CP'!$G$40</f>
        <v>1355.886986301369</v>
      </c>
      <c r="H8" s="68">
        <f>'[7]SUMMARY-CP'!$G$42</f>
        <v>1355.886986301369</v>
      </c>
      <c r="I8" s="58">
        <f>'[7]SUMMARY-CP'!$G$41</f>
        <v>2711.773972602738</v>
      </c>
      <c r="J8" s="69">
        <f t="shared" si="0"/>
        <v>5423.547945205476</v>
      </c>
      <c r="K8" s="103">
        <f t="shared" si="1"/>
        <v>5614</v>
      </c>
      <c r="L8" s="103">
        <f t="shared" si="2"/>
        <v>-190.45205479452397</v>
      </c>
    </row>
    <row r="9" spans="1:13" ht="15.6" x14ac:dyDescent="0.3">
      <c r="A9" s="6"/>
      <c r="B9" s="57">
        <v>46296</v>
      </c>
      <c r="C9" s="61">
        <f>'[7]SUMMARY-CP'!$H$20</f>
        <v>5542</v>
      </c>
      <c r="D9" s="61"/>
      <c r="E9" s="61"/>
      <c r="F9" s="61"/>
      <c r="G9" s="61">
        <f>'[7]SUMMARY-CP'!$H$40</f>
        <v>1401.0832191780814</v>
      </c>
      <c r="H9" s="68">
        <f>'[7]SUMMARY-CP'!$H$42</f>
        <v>1401.0832191780814</v>
      </c>
      <c r="I9" s="58">
        <f>'[7]SUMMARY-CP'!$H$41</f>
        <v>2802.1664383561629</v>
      </c>
      <c r="J9" s="69">
        <f t="shared" si="0"/>
        <v>5604.3328767123257</v>
      </c>
      <c r="K9" s="103">
        <f t="shared" si="1"/>
        <v>5542</v>
      </c>
      <c r="L9" s="103">
        <f t="shared" si="2"/>
        <v>62.332876712325742</v>
      </c>
    </row>
    <row r="10" spans="1:13" ht="15.6" x14ac:dyDescent="0.3">
      <c r="A10" s="6"/>
      <c r="B10" s="57">
        <v>46327</v>
      </c>
      <c r="C10" s="61">
        <f>'[7]SUMMARY-CP'!$I$20</f>
        <v>4785</v>
      </c>
      <c r="D10" s="61"/>
      <c r="E10" s="61">
        <v>200</v>
      </c>
      <c r="F10" s="61"/>
      <c r="G10" s="61">
        <f>'[7]SUMMARY-CP'!$I$40</f>
        <v>1355.886986301369</v>
      </c>
      <c r="H10" s="68">
        <f>'[7]SUMMARY-CP'!$I$42</f>
        <v>1355.886986301369</v>
      </c>
      <c r="I10" s="58">
        <f>'[7]SUMMARY-CP'!$I$41</f>
        <v>2711.773972602738</v>
      </c>
      <c r="J10" s="69">
        <f t="shared" si="0"/>
        <v>5423.547945205476</v>
      </c>
      <c r="K10" s="103">
        <f t="shared" si="1"/>
        <v>4985</v>
      </c>
      <c r="L10" s="103">
        <f t="shared" si="2"/>
        <v>438.54794520547603</v>
      </c>
    </row>
    <row r="11" spans="1:13" ht="15.6" x14ac:dyDescent="0.3">
      <c r="A11" s="6"/>
      <c r="B11" s="57">
        <v>46357</v>
      </c>
      <c r="C11" s="61">
        <f>'[7]SUMMARY-CP'!$J$20+550</f>
        <v>5315</v>
      </c>
      <c r="D11" s="61"/>
      <c r="E11" s="61">
        <v>200</v>
      </c>
      <c r="F11" s="61"/>
      <c r="G11" s="61">
        <f>'[7]SUMMARY-CP'!$J$40</f>
        <v>1401.0832191780814</v>
      </c>
      <c r="H11" s="68">
        <f>'[7]SUMMARY-CP'!$J$42</f>
        <v>1401.0832191780814</v>
      </c>
      <c r="I11" s="58">
        <f>'[7]SUMMARY-CP'!$J$41</f>
        <v>2802.1664383561629</v>
      </c>
      <c r="J11" s="69">
        <f t="shared" si="0"/>
        <v>5604.3328767123257</v>
      </c>
      <c r="K11" s="103">
        <f t="shared" si="1"/>
        <v>5515</v>
      </c>
      <c r="L11" s="103">
        <f t="shared" si="2"/>
        <v>89.332876712325742</v>
      </c>
    </row>
    <row r="12" spans="1:13" ht="15.6" x14ac:dyDescent="0.3">
      <c r="A12" s="6"/>
      <c r="B12" s="57">
        <v>46388</v>
      </c>
      <c r="C12" s="61">
        <f>'[7]SUMMARY-CP'!$K$20+550</f>
        <v>4710</v>
      </c>
      <c r="D12" s="61"/>
      <c r="E12" s="61">
        <v>200</v>
      </c>
      <c r="F12" s="61">
        <v>250</v>
      </c>
      <c r="G12" s="61">
        <f>'[7]SUMMARY-CP'!$K$40</f>
        <v>1401.0832191780814</v>
      </c>
      <c r="H12" s="68">
        <f>'[7]SUMMARY-CP'!$K$42</f>
        <v>1401.0832191780814</v>
      </c>
      <c r="I12" s="58">
        <f>'[7]SUMMARY-CP'!$K$41</f>
        <v>2802.1664383561629</v>
      </c>
      <c r="J12" s="69">
        <f t="shared" si="0"/>
        <v>5604.3328767123257</v>
      </c>
      <c r="K12" s="103">
        <f t="shared" si="1"/>
        <v>5160</v>
      </c>
      <c r="L12" s="103">
        <f t="shared" si="2"/>
        <v>444.33287671232574</v>
      </c>
    </row>
    <row r="13" spans="1:13" ht="15.6" x14ac:dyDescent="0.3">
      <c r="A13" s="6"/>
      <c r="B13" s="57">
        <v>46419</v>
      </c>
      <c r="C13" s="61">
        <f>'[7]SUMMARY-CP'!$L$20+520</f>
        <v>3060</v>
      </c>
      <c r="D13" s="61"/>
      <c r="E13" s="61">
        <v>200</v>
      </c>
      <c r="F13" s="61">
        <v>1500</v>
      </c>
      <c r="G13" s="61">
        <f>'[7]SUMMARY-CP'!$L$40</f>
        <v>1265.4945205479444</v>
      </c>
      <c r="H13" s="68">
        <f>'[7]SUMMARY-CP'!$L$42</f>
        <v>1265.4945205479444</v>
      </c>
      <c r="I13" s="58">
        <f>'[7]SUMMARY-CP'!$L$41</f>
        <v>2530.9890410958888</v>
      </c>
      <c r="J13" s="69">
        <f t="shared" si="0"/>
        <v>5061.9780821917775</v>
      </c>
      <c r="K13" s="103">
        <f t="shared" si="1"/>
        <v>4760</v>
      </c>
      <c r="L13" s="103">
        <f t="shared" si="2"/>
        <v>301.9780821917775</v>
      </c>
    </row>
    <row r="14" spans="1:13" ht="15.6" x14ac:dyDescent="0.3">
      <c r="A14" s="6"/>
      <c r="B14" s="57">
        <v>46447</v>
      </c>
      <c r="C14" s="61">
        <f>'[7]SUMMARY-CP'!$M$20-550</f>
        <v>1070</v>
      </c>
      <c r="D14" s="61"/>
      <c r="E14" s="61">
        <v>200</v>
      </c>
      <c r="F14" s="61">
        <v>4100</v>
      </c>
      <c r="G14" s="61">
        <f>'[7]SUMMARY-CP'!$M$40</f>
        <v>1401.0832191780814</v>
      </c>
      <c r="H14" s="68">
        <f>'[7]SUMMARY-CP'!$M$42</f>
        <v>1401.0832191780814</v>
      </c>
      <c r="I14" s="58">
        <f>'[7]SUMMARY-CP'!$M$41</f>
        <v>2802.1664383561629</v>
      </c>
      <c r="J14" s="69">
        <f t="shared" si="0"/>
        <v>5604.3328767123257</v>
      </c>
      <c r="K14" s="103">
        <f t="shared" si="1"/>
        <v>5370</v>
      </c>
      <c r="L14" s="103">
        <f t="shared" si="2"/>
        <v>234.33287671232574</v>
      </c>
      <c r="M14" s="103"/>
    </row>
    <row r="15" spans="1:13" ht="15.6" x14ac:dyDescent="0.3">
      <c r="A15" s="6"/>
      <c r="B15" s="57">
        <v>46478</v>
      </c>
      <c r="C15" s="61">
        <f>'[7]SUMMARY-CP'!$N$20-500</f>
        <v>-400</v>
      </c>
      <c r="D15" s="61"/>
      <c r="E15" s="61">
        <v>200</v>
      </c>
      <c r="F15" s="61">
        <v>4700</v>
      </c>
      <c r="G15" s="61">
        <f>'[7]SUMMARY-CP'!$N$40</f>
        <v>1355.886986301369</v>
      </c>
      <c r="H15" s="68">
        <f>'[7]SUMMARY-CP'!$N$42</f>
        <v>1355.886986301369</v>
      </c>
      <c r="I15" s="58">
        <f>'[7]SUMMARY-CP'!$N$41</f>
        <v>2711.773972602738</v>
      </c>
      <c r="J15" s="69">
        <f t="shared" si="0"/>
        <v>5423.547945205476</v>
      </c>
      <c r="K15" s="103">
        <f t="shared" si="1"/>
        <v>4500</v>
      </c>
      <c r="L15" s="103">
        <f t="shared" si="2"/>
        <v>923.54794520547603</v>
      </c>
      <c r="M15" s="103"/>
    </row>
    <row r="16" spans="1:13" ht="16.2" thickBot="1" x14ac:dyDescent="0.35">
      <c r="A16" s="6"/>
      <c r="B16" s="57">
        <v>46508</v>
      </c>
      <c r="C16" s="61">
        <f>'[7]SUMMARY-CP'!$O$20-570</f>
        <v>-470</v>
      </c>
      <c r="D16" s="61"/>
      <c r="E16" s="61">
        <v>200</v>
      </c>
      <c r="F16" s="61">
        <v>4800</v>
      </c>
      <c r="G16" s="61">
        <f>'[7]SUMMARY-CP'!$O$40</f>
        <v>1401.0832191780814</v>
      </c>
      <c r="H16" s="68">
        <f>'[7]SUMMARY-CP'!$O$42</f>
        <v>1401.0832191780814</v>
      </c>
      <c r="I16" s="58">
        <f>'[7]SUMMARY-CP'!$O$41</f>
        <v>2802.1664383561629</v>
      </c>
      <c r="J16" s="69">
        <f t="shared" ref="J16" si="3">G16+H16+I16</f>
        <v>5604.3328767123257</v>
      </c>
      <c r="K16" s="103">
        <f t="shared" si="1"/>
        <v>4530</v>
      </c>
      <c r="L16" s="103">
        <f t="shared" si="2"/>
        <v>1074.3328767123257</v>
      </c>
      <c r="M16" s="103"/>
    </row>
    <row r="17" spans="1:10" ht="16.5" customHeight="1" thickBot="1" x14ac:dyDescent="0.3">
      <c r="A17" s="6"/>
      <c r="B17" s="10"/>
      <c r="C17" s="125" t="s">
        <v>5</v>
      </c>
      <c r="D17" s="126"/>
      <c r="E17" s="126"/>
      <c r="F17" s="126"/>
      <c r="G17" s="126"/>
      <c r="H17" s="126"/>
      <c r="I17" s="126"/>
      <c r="J17" s="127"/>
    </row>
    <row r="18" spans="1:10" ht="16.2" thickBot="1" x14ac:dyDescent="0.35">
      <c r="B18" s="15" t="s">
        <v>6</v>
      </c>
      <c r="C18" s="20">
        <f>SUM(C5:C16)</f>
        <v>45735</v>
      </c>
      <c r="D18" s="20">
        <f t="shared" ref="D18:I18" si="4">SUM(D5:D16)</f>
        <v>0</v>
      </c>
      <c r="E18" s="20">
        <f t="shared" si="4"/>
        <v>1400</v>
      </c>
      <c r="F18" s="20">
        <f>SUM(F5:F16)</f>
        <v>15350</v>
      </c>
      <c r="G18" s="20">
        <f t="shared" si="4"/>
        <v>16496.624999999993</v>
      </c>
      <c r="H18" s="20">
        <f t="shared" si="4"/>
        <v>16496.624999999993</v>
      </c>
      <c r="I18" s="20">
        <f t="shared" si="4"/>
        <v>32993.249999999985</v>
      </c>
      <c r="J18" s="20">
        <f>SUM(J5:J16)</f>
        <v>65986.499999999971</v>
      </c>
    </row>
    <row r="19" spans="1:10" ht="15.6" thickBot="1" x14ac:dyDescent="0.3">
      <c r="B19" s="8"/>
      <c r="C19" s="8"/>
      <c r="D19" s="8"/>
      <c r="E19" s="8"/>
      <c r="F19" s="106"/>
      <c r="G19" s="8"/>
      <c r="H19" s="8"/>
      <c r="I19" s="8"/>
      <c r="J19" s="8"/>
    </row>
    <row r="20" spans="1:10" ht="16.2" thickBot="1" x14ac:dyDescent="0.35">
      <c r="B20" s="7" t="s">
        <v>7</v>
      </c>
      <c r="C20" s="13">
        <f t="shared" ref="C20:I20" si="5">AVERAGE(C5:C16)</f>
        <v>3811.25</v>
      </c>
      <c r="D20" s="13" t="e">
        <f t="shared" si="5"/>
        <v>#DIV/0!</v>
      </c>
      <c r="E20" s="13">
        <f t="shared" si="5"/>
        <v>200</v>
      </c>
      <c r="F20" s="13">
        <f t="shared" si="5"/>
        <v>3070</v>
      </c>
      <c r="G20" s="13">
        <f t="shared" si="5"/>
        <v>1374.7187499999993</v>
      </c>
      <c r="H20" s="13">
        <f t="shared" si="5"/>
        <v>1374.7187499999993</v>
      </c>
      <c r="I20" s="13">
        <f t="shared" si="5"/>
        <v>2749.4374999999986</v>
      </c>
      <c r="J20" s="13">
        <f>AVERAGE(J5:J16)</f>
        <v>5498.8749999999973</v>
      </c>
    </row>
    <row r="21" spans="1:10" x14ac:dyDescent="0.25">
      <c r="C21" s="11"/>
      <c r="D21" s="11"/>
      <c r="F21" s="11"/>
      <c r="G21" s="11"/>
      <c r="H21" s="11"/>
    </row>
    <row r="22" spans="1:10" x14ac:dyDescent="0.25">
      <c r="B22" s="11"/>
      <c r="C22" s="18">
        <v>60037.642465753408</v>
      </c>
      <c r="D22" s="11"/>
      <c r="F22" s="11"/>
      <c r="G22" s="11"/>
      <c r="H22" s="11"/>
    </row>
    <row r="23" spans="1:10" x14ac:dyDescent="0.25">
      <c r="B23" s="11"/>
      <c r="C23" s="18"/>
      <c r="D23" s="11"/>
      <c r="E23" s="11">
        <v>13500</v>
      </c>
      <c r="F23" s="11">
        <f>7500+8500</f>
        <v>16000</v>
      </c>
      <c r="G23" s="11"/>
      <c r="H23" s="11"/>
    </row>
    <row r="24" spans="1:10" ht="15.6" x14ac:dyDescent="0.25">
      <c r="B24" s="11"/>
      <c r="C24" s="21"/>
      <c r="D24" s="11"/>
      <c r="F24" s="11">
        <v>17500</v>
      </c>
      <c r="G24" s="11"/>
      <c r="H24" s="11"/>
    </row>
    <row r="25" spans="1:10" ht="15.6" x14ac:dyDescent="0.25">
      <c r="C25" s="21"/>
    </row>
    <row r="26" spans="1:10" x14ac:dyDescent="0.25">
      <c r="C26" s="33"/>
    </row>
    <row r="32" spans="1:10" x14ac:dyDescent="0.25">
      <c r="G32" s="60"/>
    </row>
  </sheetData>
  <mergeCells count="1">
    <mergeCell ref="C17:J17"/>
  </mergeCells>
  <printOptions horizontalCentered="1" verticalCentered="1"/>
  <pageMargins left="0.39370078740157483" right="0.39370078740157483" top="0.39370078740157483" bottom="0.39370078740157483" header="0.35433070866141736" footer="0.39370078740157483"/>
  <pageSetup paperSize="9" scale="77" orientation="landscape" r:id="rId1"/>
  <headerFooter alignWithMargins="0">
    <oddHeader>&amp;C&amp;A</oddHeader>
    <oddFooter>&amp;L&amp;D&amp;C&amp;A&amp;R&amp;P/&amp;N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R33"/>
  <sheetViews>
    <sheetView workbookViewId="0">
      <selection activeCell="M27" sqref="M27"/>
    </sheetView>
  </sheetViews>
  <sheetFormatPr defaultRowHeight="15.6" x14ac:dyDescent="0.3"/>
  <cols>
    <col min="1" max="1" width="21.69921875" bestFit="1" customWidth="1"/>
    <col min="2" max="2" width="11.3984375" bestFit="1" customWidth="1"/>
    <col min="3" max="6" width="11.3984375" customWidth="1"/>
    <col min="7" max="7" width="10.59765625" bestFit="1" customWidth="1"/>
    <col min="8" max="8" width="14.3984375" bestFit="1" customWidth="1"/>
    <col min="9" max="10" width="11.3984375" bestFit="1" customWidth="1"/>
    <col min="11" max="11" width="11.3984375" customWidth="1"/>
  </cols>
  <sheetData>
    <row r="1" spans="1:18" ht="30" x14ac:dyDescent="0.5">
      <c r="A1" s="17" t="s">
        <v>0</v>
      </c>
      <c r="B1" s="17"/>
      <c r="C1" s="23"/>
      <c r="D1" s="23"/>
      <c r="E1" s="23"/>
      <c r="F1" s="23"/>
      <c r="G1" s="23"/>
      <c r="H1" s="23"/>
      <c r="I1" s="16"/>
      <c r="J1" s="16"/>
      <c r="K1" s="1"/>
    </row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1"/>
      <c r="K2" s="1"/>
    </row>
    <row r="3" spans="1:18" ht="16.2" thickBot="1" x14ac:dyDescent="0.35"/>
    <row r="4" spans="1:18" ht="27" thickBot="1" x14ac:dyDescent="0.35">
      <c r="A4" s="19" t="s">
        <v>4</v>
      </c>
      <c r="B4" s="85" t="s">
        <v>55</v>
      </c>
      <c r="C4" s="86" t="s">
        <v>44</v>
      </c>
      <c r="D4" s="67" t="s">
        <v>12</v>
      </c>
      <c r="E4" s="87" t="s">
        <v>54</v>
      </c>
      <c r="F4" s="88" t="s">
        <v>44</v>
      </c>
      <c r="G4" s="19" t="s">
        <v>15</v>
      </c>
      <c r="H4" s="19" t="s">
        <v>13</v>
      </c>
      <c r="I4" s="67" t="s">
        <v>12</v>
      </c>
      <c r="J4" s="84" t="s">
        <v>52</v>
      </c>
      <c r="K4" s="82" t="s">
        <v>53</v>
      </c>
    </row>
    <row r="5" spans="1:18" x14ac:dyDescent="0.3">
      <c r="A5" s="57">
        <v>46174</v>
      </c>
      <c r="B5" s="61">
        <f>'[7]SCB-CP'!$AV$214+100</f>
        <v>3621</v>
      </c>
      <c r="C5" s="61"/>
      <c r="D5" s="61"/>
      <c r="E5" s="61">
        <f>'[7]SCB-CP'!$BM$227-200</f>
        <v>-200</v>
      </c>
      <c r="F5" s="61"/>
      <c r="G5" s="61"/>
      <c r="H5" s="61"/>
      <c r="I5" s="68"/>
      <c r="J5" s="70">
        <v>3919.7752191780819</v>
      </c>
      <c r="K5" s="70">
        <v>4817.7065753424649</v>
      </c>
      <c r="L5" s="89">
        <f>B5+C5+D5</f>
        <v>3621</v>
      </c>
      <c r="M5" s="89">
        <f>J5-L5</f>
        <v>298.7752191780819</v>
      </c>
      <c r="N5" s="89">
        <f>E5+F5+I5</f>
        <v>-200</v>
      </c>
      <c r="O5" s="89">
        <f>K5-N5</f>
        <v>5017.7065753424649</v>
      </c>
      <c r="P5" s="89"/>
      <c r="Q5" s="89"/>
      <c r="R5" s="89"/>
    </row>
    <row r="6" spans="1:18" x14ac:dyDescent="0.3">
      <c r="A6" s="57">
        <v>46204</v>
      </c>
      <c r="B6" s="61">
        <f>'[7]SCB-CP'!$AW$214+200</f>
        <v>3693.5</v>
      </c>
      <c r="C6" s="61"/>
      <c r="D6" s="61"/>
      <c r="E6" s="61">
        <f>'[7]SCB-CP'!$BN$227-200</f>
        <v>-200</v>
      </c>
      <c r="F6" s="61"/>
      <c r="G6" s="61"/>
      <c r="H6" s="61"/>
      <c r="I6" s="68"/>
      <c r="J6" s="70">
        <v>4050.4343931506851</v>
      </c>
      <c r="K6" s="70">
        <v>4978.2967945205473</v>
      </c>
      <c r="L6" s="89">
        <f t="shared" ref="L6:L16" si="0">B6+C6+D6</f>
        <v>3693.5</v>
      </c>
      <c r="M6" s="89">
        <f t="shared" ref="M6:M16" si="1">J6-L6</f>
        <v>356.93439315068508</v>
      </c>
      <c r="N6" s="89">
        <f t="shared" ref="N6:N16" si="2">E6+F6+I6</f>
        <v>-200</v>
      </c>
      <c r="O6" s="89">
        <f t="shared" ref="O6:O16" si="3">K6-N6</f>
        <v>5178.2967945205473</v>
      </c>
      <c r="P6" s="89"/>
      <c r="Q6" s="89"/>
      <c r="R6" s="89"/>
    </row>
    <row r="7" spans="1:18" x14ac:dyDescent="0.3">
      <c r="A7" s="57">
        <v>46235</v>
      </c>
      <c r="B7" s="61">
        <f>'[7]SCB-CP'!$AX$214</f>
        <v>3630</v>
      </c>
      <c r="C7" s="61"/>
      <c r="D7" s="61"/>
      <c r="E7" s="61">
        <f>'[7]SCB-CP'!$BO$227</f>
        <v>0</v>
      </c>
      <c r="F7" s="61"/>
      <c r="G7" s="61"/>
      <c r="H7" s="61"/>
      <c r="I7" s="68"/>
      <c r="J7" s="70">
        <v>4050.4343931506851</v>
      </c>
      <c r="K7" s="70">
        <v>4978.2967945205473</v>
      </c>
      <c r="L7" s="89">
        <f t="shared" si="0"/>
        <v>3630</v>
      </c>
      <c r="M7" s="89">
        <f t="shared" si="1"/>
        <v>420.43439315068508</v>
      </c>
      <c r="N7" s="89">
        <f t="shared" si="2"/>
        <v>0</v>
      </c>
      <c r="O7" s="89">
        <f t="shared" si="3"/>
        <v>4978.2967945205473</v>
      </c>
      <c r="P7" s="89"/>
      <c r="Q7" s="89"/>
      <c r="R7" s="89"/>
    </row>
    <row r="8" spans="1:18" x14ac:dyDescent="0.3">
      <c r="A8" s="57">
        <v>46266</v>
      </c>
      <c r="B8" s="61">
        <f>'[7]SCB-CP'!$AY$214+285</f>
        <v>3071</v>
      </c>
      <c r="C8" s="61">
        <v>400</v>
      </c>
      <c r="D8" s="61"/>
      <c r="E8" s="61">
        <f>'[7]SCB-CP'!$BP$227-250</f>
        <v>-250</v>
      </c>
      <c r="F8" s="61">
        <v>300</v>
      </c>
      <c r="G8" s="61"/>
      <c r="H8" s="61"/>
      <c r="I8" s="68"/>
      <c r="J8" s="70">
        <v>3919.7752191780819</v>
      </c>
      <c r="K8" s="70">
        <v>4817.7065753424649</v>
      </c>
      <c r="L8" s="89">
        <f t="shared" si="0"/>
        <v>3471</v>
      </c>
      <c r="M8" s="89">
        <f t="shared" si="1"/>
        <v>448.7752191780819</v>
      </c>
      <c r="N8" s="89">
        <f t="shared" si="2"/>
        <v>50</v>
      </c>
      <c r="O8" s="89">
        <f t="shared" si="3"/>
        <v>4767.7065753424649</v>
      </c>
      <c r="P8" s="89"/>
      <c r="Q8" s="89"/>
      <c r="R8" s="89"/>
    </row>
    <row r="9" spans="1:18" x14ac:dyDescent="0.3">
      <c r="A9" s="57">
        <v>46296</v>
      </c>
      <c r="B9" s="61">
        <f>'[7]SCB-CP'!$AZ$214</f>
        <v>3036</v>
      </c>
      <c r="C9" s="61">
        <v>400</v>
      </c>
      <c r="D9" s="61"/>
      <c r="E9" s="61">
        <f>'[7]SCB-CP'!$BQ$227</f>
        <v>0</v>
      </c>
      <c r="F9" s="61">
        <v>300</v>
      </c>
      <c r="G9" s="61"/>
      <c r="H9" s="61"/>
      <c r="I9" s="68"/>
      <c r="J9" s="70">
        <v>4050.4343931506851</v>
      </c>
      <c r="K9" s="70">
        <v>4978.2967945205473</v>
      </c>
      <c r="L9" s="89">
        <f t="shared" si="0"/>
        <v>3436</v>
      </c>
      <c r="M9" s="89">
        <f t="shared" si="1"/>
        <v>614.43439315068508</v>
      </c>
      <c r="N9" s="89">
        <f t="shared" si="2"/>
        <v>300</v>
      </c>
      <c r="O9" s="89">
        <f t="shared" si="3"/>
        <v>4678.2967945205473</v>
      </c>
      <c r="P9" s="89"/>
      <c r="Q9" s="89"/>
      <c r="R9" s="89"/>
    </row>
    <row r="10" spans="1:18" x14ac:dyDescent="0.3">
      <c r="A10" s="57">
        <v>46327</v>
      </c>
      <c r="B10" s="61">
        <f>'[7]SCB-CP'!$BA$214</f>
        <v>3106</v>
      </c>
      <c r="C10" s="61">
        <v>300</v>
      </c>
      <c r="D10" s="61">
        <v>400</v>
      </c>
      <c r="E10" s="61">
        <f>'[7]SCB-CP'!$BR$227</f>
        <v>0</v>
      </c>
      <c r="F10" s="61">
        <v>300</v>
      </c>
      <c r="G10" s="61"/>
      <c r="H10" s="61"/>
      <c r="I10" s="68">
        <v>100</v>
      </c>
      <c r="J10" s="70">
        <v>3919.7752191780819</v>
      </c>
      <c r="K10" s="70">
        <v>4817.7065753424649</v>
      </c>
      <c r="L10" s="89">
        <f t="shared" si="0"/>
        <v>3806</v>
      </c>
      <c r="M10" s="89">
        <f t="shared" si="1"/>
        <v>113.7752191780819</v>
      </c>
      <c r="N10" s="89">
        <f t="shared" si="2"/>
        <v>400</v>
      </c>
      <c r="O10" s="89">
        <f t="shared" si="3"/>
        <v>4417.7065753424649</v>
      </c>
      <c r="P10" s="89"/>
      <c r="Q10" s="89"/>
      <c r="R10" s="89"/>
    </row>
    <row r="11" spans="1:18" ht="15" customHeight="1" x14ac:dyDescent="0.3">
      <c r="A11" s="57">
        <v>46357</v>
      </c>
      <c r="B11" s="61">
        <f>'[7]SCB-CP'!$BB$214-405</f>
        <v>2772</v>
      </c>
      <c r="C11" s="61">
        <v>200</v>
      </c>
      <c r="D11" s="61">
        <v>500</v>
      </c>
      <c r="E11" s="61">
        <f>'[7]SCB-CP'!$BS$227+500</f>
        <v>500</v>
      </c>
      <c r="F11" s="61">
        <v>300</v>
      </c>
      <c r="G11" s="61"/>
      <c r="H11" s="61"/>
      <c r="I11" s="68">
        <v>100</v>
      </c>
      <c r="J11" s="70">
        <v>4050.4343931506851</v>
      </c>
      <c r="K11" s="70">
        <v>4978.2967945205473</v>
      </c>
      <c r="L11" s="89">
        <f t="shared" si="0"/>
        <v>3472</v>
      </c>
      <c r="M11" s="89">
        <f t="shared" si="1"/>
        <v>578.43439315068508</v>
      </c>
      <c r="N11" s="89">
        <f t="shared" si="2"/>
        <v>900</v>
      </c>
      <c r="O11" s="89">
        <f t="shared" si="3"/>
        <v>4078.2967945205473</v>
      </c>
      <c r="P11" s="89"/>
      <c r="Q11" s="89"/>
      <c r="R11" s="89"/>
    </row>
    <row r="12" spans="1:18" x14ac:dyDescent="0.3">
      <c r="A12" s="57">
        <v>46388</v>
      </c>
      <c r="B12" s="61">
        <f>'[7]SCB-CP'!$BC$214</f>
        <v>2639</v>
      </c>
      <c r="C12" s="61">
        <v>200</v>
      </c>
      <c r="D12" s="61">
        <v>650</v>
      </c>
      <c r="E12" s="61">
        <f>'[7]SCB-CP'!$BT$227+1700</f>
        <v>1700</v>
      </c>
      <c r="F12" s="61">
        <v>300</v>
      </c>
      <c r="G12" s="61"/>
      <c r="H12" s="61"/>
      <c r="I12" s="68">
        <v>100</v>
      </c>
      <c r="J12" s="70">
        <v>4050.4343931506851</v>
      </c>
      <c r="K12" s="70">
        <v>4978.2967945205473</v>
      </c>
      <c r="L12" s="89">
        <f t="shared" si="0"/>
        <v>3489</v>
      </c>
      <c r="M12" s="89">
        <f t="shared" si="1"/>
        <v>561.43439315068508</v>
      </c>
      <c r="N12" s="89">
        <f t="shared" si="2"/>
        <v>2100</v>
      </c>
      <c r="O12" s="89">
        <f t="shared" si="3"/>
        <v>2878.2967945205473</v>
      </c>
      <c r="P12" s="89"/>
      <c r="Q12" s="89"/>
      <c r="R12" s="89"/>
    </row>
    <row r="13" spans="1:18" x14ac:dyDescent="0.3">
      <c r="A13" s="57">
        <v>46419</v>
      </c>
      <c r="B13" s="61">
        <f>'[7]SCB-CP'!$BD$214+500</f>
        <v>2671</v>
      </c>
      <c r="C13" s="61">
        <v>200</v>
      </c>
      <c r="D13" s="61">
        <v>800</v>
      </c>
      <c r="E13" s="61">
        <f>'[7]SCB-CP'!$BU$227</f>
        <v>0</v>
      </c>
      <c r="F13" s="61">
        <v>300</v>
      </c>
      <c r="G13" s="61"/>
      <c r="H13" s="61"/>
      <c r="I13" s="68">
        <v>1500</v>
      </c>
      <c r="J13" s="70">
        <v>3658.4568712328764</v>
      </c>
      <c r="K13" s="70">
        <v>4496.5261369863001</v>
      </c>
      <c r="L13" s="89">
        <f t="shared" si="0"/>
        <v>3671</v>
      </c>
      <c r="M13" s="89">
        <f t="shared" si="1"/>
        <v>-12.543128767123562</v>
      </c>
      <c r="N13" s="89">
        <f t="shared" si="2"/>
        <v>1800</v>
      </c>
      <c r="O13" s="89">
        <f t="shared" si="3"/>
        <v>2696.5261369863001</v>
      </c>
      <c r="P13" s="89"/>
      <c r="Q13" s="89"/>
      <c r="R13" s="89"/>
    </row>
    <row r="14" spans="1:18" x14ac:dyDescent="0.3">
      <c r="A14" s="57">
        <v>46447</v>
      </c>
      <c r="B14" s="61">
        <f>'[7]SCB-CP'!$BE$214+500</f>
        <v>1500</v>
      </c>
      <c r="C14" s="61">
        <v>200</v>
      </c>
      <c r="D14" s="61">
        <v>1500</v>
      </c>
      <c r="E14" s="61">
        <f>'[7]SCB-CP'!$BV$227</f>
        <v>0</v>
      </c>
      <c r="F14" s="61">
        <v>300</v>
      </c>
      <c r="G14" s="61"/>
      <c r="H14" s="61"/>
      <c r="I14" s="68">
        <v>1400</v>
      </c>
      <c r="J14" s="70">
        <v>4050.4343931506851</v>
      </c>
      <c r="K14" s="70">
        <v>4978.2967945205473</v>
      </c>
      <c r="L14" s="89">
        <f t="shared" si="0"/>
        <v>3200</v>
      </c>
      <c r="M14" s="89">
        <f t="shared" si="1"/>
        <v>850.43439315068508</v>
      </c>
      <c r="N14" s="89">
        <f t="shared" si="2"/>
        <v>1700</v>
      </c>
      <c r="O14" s="89">
        <f t="shared" si="3"/>
        <v>3278.2967945205473</v>
      </c>
      <c r="P14" s="89"/>
      <c r="Q14" s="89"/>
      <c r="R14" s="89"/>
    </row>
    <row r="15" spans="1:18" x14ac:dyDescent="0.3">
      <c r="A15" s="57">
        <v>46478</v>
      </c>
      <c r="B15" s="61">
        <f>'[7]SCB-CP'!$BF$214+500</f>
        <v>1500</v>
      </c>
      <c r="C15" s="61">
        <v>200</v>
      </c>
      <c r="D15" s="61">
        <v>1800</v>
      </c>
      <c r="E15" s="61">
        <f>'[7]SCB-CP'!$BW$227</f>
        <v>0</v>
      </c>
      <c r="F15" s="61">
        <v>300</v>
      </c>
      <c r="G15" s="61"/>
      <c r="H15" s="61"/>
      <c r="I15" s="68">
        <v>1400</v>
      </c>
      <c r="J15" s="70">
        <v>3919.7752191780819</v>
      </c>
      <c r="K15" s="70">
        <v>4817.7065753424649</v>
      </c>
      <c r="L15" s="89">
        <f t="shared" si="0"/>
        <v>3500</v>
      </c>
      <c r="M15" s="89">
        <f t="shared" si="1"/>
        <v>419.7752191780819</v>
      </c>
      <c r="N15" s="89">
        <f t="shared" si="2"/>
        <v>1700</v>
      </c>
      <c r="O15" s="89">
        <f t="shared" si="3"/>
        <v>3117.7065753424649</v>
      </c>
      <c r="P15" s="89"/>
      <c r="Q15" s="89"/>
      <c r="R15" s="89"/>
    </row>
    <row r="16" spans="1:18" ht="16.2" thickBot="1" x14ac:dyDescent="0.35">
      <c r="A16" s="57">
        <v>46508</v>
      </c>
      <c r="B16" s="61">
        <f>'[7]SCB-CP'!$BG$214</f>
        <v>1850</v>
      </c>
      <c r="C16" s="61">
        <v>200</v>
      </c>
      <c r="D16" s="61">
        <v>2300</v>
      </c>
      <c r="E16" s="61">
        <f>'[7]SCB-CP'!$BX$227-1550</f>
        <v>-1550</v>
      </c>
      <c r="F16" s="61">
        <v>300</v>
      </c>
      <c r="G16" s="61"/>
      <c r="H16" s="61"/>
      <c r="I16" s="68">
        <v>1600</v>
      </c>
      <c r="J16" s="70">
        <v>4050.4343931506851</v>
      </c>
      <c r="K16" s="70">
        <v>4978.2967945205473</v>
      </c>
      <c r="L16" s="89">
        <f t="shared" si="0"/>
        <v>4350</v>
      </c>
      <c r="M16" s="89">
        <f t="shared" si="1"/>
        <v>-299.56560684931492</v>
      </c>
      <c r="N16" s="89">
        <f t="shared" si="2"/>
        <v>350</v>
      </c>
      <c r="O16" s="89">
        <f t="shared" si="3"/>
        <v>4628.2967945205473</v>
      </c>
      <c r="P16" s="89"/>
      <c r="Q16" s="89"/>
      <c r="R16" s="89"/>
    </row>
    <row r="17" spans="1:18" ht="16.2" thickBot="1" x14ac:dyDescent="0.35">
      <c r="A17" s="10"/>
      <c r="B17" s="128" t="s">
        <v>5</v>
      </c>
      <c r="C17" s="129"/>
      <c r="D17" s="129"/>
      <c r="E17" s="129"/>
      <c r="F17" s="129"/>
      <c r="G17" s="129"/>
      <c r="H17" s="129"/>
      <c r="I17" s="129"/>
      <c r="J17" s="129"/>
      <c r="K17" s="129"/>
      <c r="M17" s="91"/>
      <c r="R17" s="89"/>
    </row>
    <row r="18" spans="1:18" ht="16.2" thickBot="1" x14ac:dyDescent="0.35">
      <c r="A18" s="15" t="s">
        <v>6</v>
      </c>
      <c r="B18" s="20">
        <f t="shared" ref="B18:J18" si="4">SUM(B5:B16)</f>
        <v>33089.5</v>
      </c>
      <c r="C18" s="20">
        <f t="shared" si="4"/>
        <v>2300</v>
      </c>
      <c r="D18" s="20">
        <f t="shared" si="4"/>
        <v>7950</v>
      </c>
      <c r="E18" s="20">
        <f t="shared" si="4"/>
        <v>0</v>
      </c>
      <c r="F18" s="20">
        <f t="shared" si="4"/>
        <v>2700</v>
      </c>
      <c r="G18" s="20">
        <f t="shared" si="4"/>
        <v>0</v>
      </c>
      <c r="H18" s="20">
        <f t="shared" si="4"/>
        <v>0</v>
      </c>
      <c r="I18" s="20">
        <f t="shared" si="4"/>
        <v>6200</v>
      </c>
      <c r="J18" s="20">
        <f t="shared" si="4"/>
        <v>47690.5985</v>
      </c>
      <c r="K18" s="20">
        <f>SUM(K5:K16)</f>
        <v>58615.429999999993</v>
      </c>
    </row>
    <row r="19" spans="1:18" ht="16.2" thickBot="1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8" ht="16.2" thickBot="1" x14ac:dyDescent="0.35">
      <c r="A20" s="7" t="s">
        <v>7</v>
      </c>
      <c r="B20" s="13">
        <f>AVERAGE(B5:B16)</f>
        <v>2757.4583333333335</v>
      </c>
      <c r="C20" s="13">
        <f t="shared" ref="C20:J20" si="5">AVERAGE(C5:C16)</f>
        <v>255.55555555555554</v>
      </c>
      <c r="D20" s="13"/>
      <c r="E20" s="13">
        <f t="shared" si="5"/>
        <v>0</v>
      </c>
      <c r="F20" s="13">
        <f t="shared" si="5"/>
        <v>300</v>
      </c>
      <c r="G20" s="13" t="e">
        <f t="shared" si="5"/>
        <v>#DIV/0!</v>
      </c>
      <c r="H20" s="13" t="e">
        <f t="shared" si="5"/>
        <v>#DIV/0!</v>
      </c>
      <c r="I20" s="13">
        <f t="shared" si="5"/>
        <v>885.71428571428567</v>
      </c>
      <c r="J20" s="13">
        <f t="shared" si="5"/>
        <v>3974.2165416666667</v>
      </c>
      <c r="K20" s="13">
        <f>AVERAGE(K5:K16)</f>
        <v>4884.6191666666664</v>
      </c>
    </row>
    <row r="21" spans="1:18" x14ac:dyDescent="0.3">
      <c r="A21" s="3"/>
      <c r="B21" s="11"/>
      <c r="C21" s="11"/>
      <c r="D21" s="11"/>
      <c r="E21" s="11">
        <f>'Tab. Machining'!C18+'Tab. Machining'!F18+'Tab. Machining'!G18</f>
        <v>91384.5</v>
      </c>
      <c r="F21" s="11"/>
      <c r="G21" s="11"/>
      <c r="H21" s="11"/>
      <c r="I21" s="11"/>
      <c r="J21" s="11"/>
      <c r="K21" s="11"/>
    </row>
    <row r="22" spans="1:18" x14ac:dyDescent="0.3">
      <c r="C22" s="90"/>
      <c r="D22" s="90">
        <v>7800</v>
      </c>
      <c r="E22" s="91">
        <f>B18+C18+E18+I18</f>
        <v>41589.5</v>
      </c>
      <c r="J22" s="91"/>
    </row>
    <row r="23" spans="1:18" x14ac:dyDescent="0.3">
      <c r="A23" t="s">
        <v>51</v>
      </c>
      <c r="B23" s="90"/>
      <c r="C23" s="91"/>
      <c r="D23" s="91"/>
      <c r="E23" s="91">
        <f>E21-E22</f>
        <v>49795</v>
      </c>
      <c r="I23" s="91">
        <f>3500+1100</f>
        <v>4600</v>
      </c>
      <c r="J23" s="91"/>
    </row>
    <row r="24" spans="1:18" x14ac:dyDescent="0.3">
      <c r="B24" s="91">
        <v>41385.5</v>
      </c>
      <c r="C24" s="91"/>
      <c r="D24" s="91"/>
      <c r="E24" s="91"/>
      <c r="G24" s="91">
        <f>B18+C18+D18+E18+F18+I18</f>
        <v>52239.5</v>
      </c>
      <c r="J24" s="91"/>
    </row>
    <row r="25" spans="1:18" x14ac:dyDescent="0.3">
      <c r="B25" s="91">
        <f>B18-B24</f>
        <v>-8296</v>
      </c>
      <c r="C25" s="91"/>
      <c r="D25" s="91"/>
      <c r="E25" s="91"/>
      <c r="F25" s="91"/>
      <c r="G25">
        <v>106704.5</v>
      </c>
      <c r="I25" s="91"/>
    </row>
    <row r="26" spans="1:18" x14ac:dyDescent="0.3">
      <c r="B26" s="91"/>
      <c r="C26" s="91"/>
      <c r="D26" s="91"/>
    </row>
    <row r="27" spans="1:18" x14ac:dyDescent="0.3">
      <c r="B27" s="90"/>
      <c r="C27" s="91"/>
      <c r="D27" s="91"/>
      <c r="E27">
        <v>49519</v>
      </c>
      <c r="H27">
        <f>8900-7800</f>
        <v>1100</v>
      </c>
    </row>
    <row r="28" spans="1:18" x14ac:dyDescent="0.3">
      <c r="B28" s="91"/>
      <c r="E28" s="91">
        <f>E27-E18</f>
        <v>49519</v>
      </c>
      <c r="I28" s="91"/>
    </row>
    <row r="29" spans="1:18" x14ac:dyDescent="0.3">
      <c r="B29" s="91"/>
    </row>
    <row r="31" spans="1:18" x14ac:dyDescent="0.3">
      <c r="C31" s="90"/>
      <c r="D31" s="90"/>
    </row>
    <row r="32" spans="1:18" x14ac:dyDescent="0.3">
      <c r="C32" s="91"/>
      <c r="D32" s="91"/>
    </row>
    <row r="33" spans="3:4" x14ac:dyDescent="0.3">
      <c r="C33" s="90"/>
      <c r="D33" s="90"/>
    </row>
  </sheetData>
  <mergeCells count="1">
    <mergeCell ref="B17:K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59999389629810485"/>
    <pageSetUpPr fitToPage="1"/>
  </sheetPr>
  <dimension ref="A2:I25"/>
  <sheetViews>
    <sheetView zoomScaleNormal="100" workbookViewId="0">
      <selection activeCell="F10" sqref="F10"/>
    </sheetView>
  </sheetViews>
  <sheetFormatPr defaultColWidth="11" defaultRowHeight="15" x14ac:dyDescent="0.25"/>
  <cols>
    <col min="1" max="1" width="5.69921875" style="3" customWidth="1"/>
    <col min="2" max="2" width="10.19921875" style="3" customWidth="1"/>
    <col min="3" max="6" width="15.69921875" style="3" customWidth="1"/>
    <col min="7" max="7" width="13.69921875" style="3" customWidth="1"/>
    <col min="8" max="8" width="6.09765625" style="3" bestFit="1" customWidth="1"/>
    <col min="9" max="16384" width="11" style="3"/>
  </cols>
  <sheetData>
    <row r="2" spans="1:9" ht="30" x14ac:dyDescent="0.5">
      <c r="A2" s="1"/>
      <c r="B2" s="17" t="s">
        <v>37</v>
      </c>
      <c r="C2" s="17"/>
      <c r="D2" s="23"/>
      <c r="E2" s="23"/>
      <c r="F2" s="16"/>
      <c r="G2" s="16"/>
    </row>
    <row r="3" spans="1:9" ht="15.6" thickBot="1" x14ac:dyDescent="0.3">
      <c r="A3" s="1"/>
      <c r="B3" s="2"/>
      <c r="C3" s="2"/>
      <c r="D3" s="2"/>
      <c r="E3" s="2"/>
      <c r="F3" s="2"/>
      <c r="G3" s="1"/>
    </row>
    <row r="4" spans="1:9" s="5" customFormat="1" ht="15.75" customHeight="1" thickBot="1" x14ac:dyDescent="0.35">
      <c r="A4" s="4"/>
      <c r="B4" s="19" t="s">
        <v>4</v>
      </c>
      <c r="C4" s="19" t="s">
        <v>11</v>
      </c>
      <c r="D4" s="19" t="s">
        <v>15</v>
      </c>
      <c r="E4" s="19" t="s">
        <v>13</v>
      </c>
      <c r="F4" s="72" t="s">
        <v>44</v>
      </c>
      <c r="G4" s="64" t="s">
        <v>10</v>
      </c>
    </row>
    <row r="5" spans="1:9" ht="15.6" x14ac:dyDescent="0.3">
      <c r="A5" s="6"/>
      <c r="B5" s="57">
        <v>46174</v>
      </c>
      <c r="C5" s="61">
        <f>'[7]SUMMARY-CP'!$D$22</f>
        <v>1800</v>
      </c>
      <c r="D5" s="61"/>
      <c r="E5" s="61"/>
      <c r="F5" s="68"/>
      <c r="G5" s="70">
        <f>'[7]SUMMARY-CP'!$D$45</f>
        <v>2264.6691616438352</v>
      </c>
      <c r="H5" s="103">
        <f>C5+F5</f>
        <v>1800</v>
      </c>
      <c r="I5" s="103">
        <f>G5-H5</f>
        <v>464.6691616438352</v>
      </c>
    </row>
    <row r="6" spans="1:9" ht="15.6" x14ac:dyDescent="0.3">
      <c r="A6" s="6"/>
      <c r="B6" s="57">
        <v>46204</v>
      </c>
      <c r="C6" s="61">
        <f>'[7]SUMMARY-CP'!$E$22</f>
        <v>1600</v>
      </c>
      <c r="D6" s="61"/>
      <c r="E6" s="61"/>
      <c r="F6" s="68"/>
      <c r="G6" s="70">
        <f>'[7]SUMMARY-CP'!$E$45</f>
        <v>2340.1581336986296</v>
      </c>
      <c r="H6" s="103">
        <f t="shared" ref="H6:H16" si="0">C6+F6</f>
        <v>1600</v>
      </c>
      <c r="I6" s="103">
        <f t="shared" ref="I6:I16" si="1">G6-H6</f>
        <v>740.15813369862963</v>
      </c>
    </row>
    <row r="7" spans="1:9" ht="15.6" x14ac:dyDescent="0.3">
      <c r="A7" s="6"/>
      <c r="B7" s="57">
        <v>46235</v>
      </c>
      <c r="C7" s="61">
        <f>'[7]SUMMARY-CP'!$F$22</f>
        <v>1500</v>
      </c>
      <c r="D7" s="61"/>
      <c r="E7" s="61"/>
      <c r="F7" s="68"/>
      <c r="G7" s="70">
        <f>'[7]SUMMARY-CP'!$F$45</f>
        <v>2340.1581336986296</v>
      </c>
      <c r="H7" s="103">
        <f t="shared" si="0"/>
        <v>1500</v>
      </c>
      <c r="I7" s="103">
        <f t="shared" si="1"/>
        <v>840.15813369862963</v>
      </c>
    </row>
    <row r="8" spans="1:9" ht="15.6" x14ac:dyDescent="0.3">
      <c r="A8" s="6"/>
      <c r="B8" s="57">
        <v>46266</v>
      </c>
      <c r="C8" s="61">
        <f>'[7]SUMMARY-CP'!$G$22</f>
        <v>1400</v>
      </c>
      <c r="D8" s="61"/>
      <c r="E8" s="61"/>
      <c r="F8" s="68"/>
      <c r="G8" s="70">
        <f>'[7]SUMMARY-CP'!$G$45</f>
        <v>2264.6691616438352</v>
      </c>
      <c r="H8" s="103">
        <f t="shared" si="0"/>
        <v>1400</v>
      </c>
      <c r="I8" s="103">
        <f t="shared" si="1"/>
        <v>864.6691616438352</v>
      </c>
    </row>
    <row r="9" spans="1:9" ht="15.6" x14ac:dyDescent="0.3">
      <c r="A9" s="6"/>
      <c r="B9" s="57">
        <v>46296</v>
      </c>
      <c r="C9" s="61">
        <f>'[7]SUMMARY-CP'!$H$22</f>
        <v>1300</v>
      </c>
      <c r="D9" s="61"/>
      <c r="E9" s="61"/>
      <c r="F9" s="68"/>
      <c r="G9" s="70">
        <f>'[7]SUMMARY-CP'!$H$45</f>
        <v>2340.1581336986296</v>
      </c>
      <c r="H9" s="103">
        <f t="shared" si="0"/>
        <v>1300</v>
      </c>
      <c r="I9" s="103">
        <f t="shared" si="1"/>
        <v>1040.1581336986296</v>
      </c>
    </row>
    <row r="10" spans="1:9" ht="15.6" x14ac:dyDescent="0.3">
      <c r="A10" s="6"/>
      <c r="B10" s="57">
        <v>46327</v>
      </c>
      <c r="C10" s="61">
        <f>'[7]SUMMARY-CP'!$I$22</f>
        <v>1200</v>
      </c>
      <c r="D10" s="61"/>
      <c r="E10" s="61"/>
      <c r="F10" s="68">
        <v>600</v>
      </c>
      <c r="G10" s="70">
        <f>'[7]SUMMARY-CP'!$I$45</f>
        <v>2264.6691616438352</v>
      </c>
      <c r="H10" s="103">
        <f t="shared" si="0"/>
        <v>1800</v>
      </c>
      <c r="I10" s="103">
        <f t="shared" si="1"/>
        <v>464.6691616438352</v>
      </c>
    </row>
    <row r="11" spans="1:9" ht="15.6" x14ac:dyDescent="0.3">
      <c r="A11" s="6"/>
      <c r="B11" s="57">
        <v>46357</v>
      </c>
      <c r="C11" s="61">
        <f>'[7]SUMMARY-CP'!$J$22</f>
        <v>1100</v>
      </c>
      <c r="D11" s="61"/>
      <c r="E11" s="61"/>
      <c r="F11" s="68">
        <v>600</v>
      </c>
      <c r="G11" s="70">
        <f>'[7]SUMMARY-CP'!$J$45</f>
        <v>2340.1581336986296</v>
      </c>
      <c r="H11" s="103">
        <f t="shared" si="0"/>
        <v>1700</v>
      </c>
      <c r="I11" s="103">
        <f t="shared" si="1"/>
        <v>640.15813369862963</v>
      </c>
    </row>
    <row r="12" spans="1:9" ht="15.6" x14ac:dyDescent="0.3">
      <c r="A12" s="6"/>
      <c r="B12" s="57">
        <v>46388</v>
      </c>
      <c r="C12" s="61">
        <f>'[7]SUMMARY-CP'!$K$22</f>
        <v>1100</v>
      </c>
      <c r="D12" s="61"/>
      <c r="E12" s="61"/>
      <c r="F12" s="68">
        <v>600</v>
      </c>
      <c r="G12" s="70">
        <f>'[7]SUMMARY-CP'!$K$45</f>
        <v>2340.1581336986296</v>
      </c>
      <c r="H12" s="103">
        <f t="shared" si="0"/>
        <v>1700</v>
      </c>
      <c r="I12" s="103">
        <f t="shared" si="1"/>
        <v>640.15813369862963</v>
      </c>
    </row>
    <row r="13" spans="1:9" ht="15.6" x14ac:dyDescent="0.3">
      <c r="A13" s="6"/>
      <c r="B13" s="57">
        <v>46419</v>
      </c>
      <c r="C13" s="61">
        <f>'[7]SUMMARY-CP'!$L$22</f>
        <v>1100</v>
      </c>
      <c r="D13" s="61"/>
      <c r="E13" s="61"/>
      <c r="F13" s="68">
        <v>600</v>
      </c>
      <c r="G13" s="70">
        <f>'[7]SUMMARY-CP'!$L$45</f>
        <v>2113.6912175342463</v>
      </c>
      <c r="H13" s="103">
        <f t="shared" si="0"/>
        <v>1700</v>
      </c>
      <c r="I13" s="103">
        <f t="shared" si="1"/>
        <v>413.69121753424633</v>
      </c>
    </row>
    <row r="14" spans="1:9" ht="15.6" x14ac:dyDescent="0.3">
      <c r="A14" s="6"/>
      <c r="B14" s="57">
        <v>46447</v>
      </c>
      <c r="C14" s="61">
        <f>'[7]SUMMARY-CP'!$M$22</f>
        <v>1176</v>
      </c>
      <c r="D14" s="61"/>
      <c r="E14" s="61"/>
      <c r="F14" s="68">
        <v>600</v>
      </c>
      <c r="G14" s="70">
        <f>'[7]SUMMARY-CP'!$M$45</f>
        <v>2340.1581336986296</v>
      </c>
      <c r="H14" s="103">
        <f t="shared" si="0"/>
        <v>1776</v>
      </c>
      <c r="I14" s="103">
        <f t="shared" si="1"/>
        <v>564.15813369862963</v>
      </c>
    </row>
    <row r="15" spans="1:9" ht="15.6" x14ac:dyDescent="0.3">
      <c r="A15" s="6"/>
      <c r="B15" s="57">
        <v>46478</v>
      </c>
      <c r="C15" s="61">
        <f>'[7]SUMMARY-CP'!$N$22</f>
        <v>1000</v>
      </c>
      <c r="D15" s="61"/>
      <c r="E15" s="61"/>
      <c r="F15" s="68">
        <v>600</v>
      </c>
      <c r="G15" s="70">
        <f>'[7]SUMMARY-CP'!$N$45</f>
        <v>2264.6691616438352</v>
      </c>
      <c r="H15" s="103">
        <f t="shared" si="0"/>
        <v>1600</v>
      </c>
      <c r="I15" s="103">
        <f t="shared" si="1"/>
        <v>664.6691616438352</v>
      </c>
    </row>
    <row r="16" spans="1:9" ht="16.2" thickBot="1" x14ac:dyDescent="0.35">
      <c r="A16" s="6"/>
      <c r="B16" s="57">
        <v>46508</v>
      </c>
      <c r="C16" s="61">
        <f>'[7]SUMMARY-CP'!$O$22</f>
        <v>1000</v>
      </c>
      <c r="D16" s="61"/>
      <c r="E16" s="61"/>
      <c r="F16" s="68">
        <v>600</v>
      </c>
      <c r="G16" s="70">
        <f>'[7]SUMMARY-CP'!$O$45</f>
        <v>2340.1581336986296</v>
      </c>
      <c r="H16" s="103">
        <f t="shared" si="0"/>
        <v>1600</v>
      </c>
      <c r="I16" s="103">
        <f t="shared" si="1"/>
        <v>740.15813369862963</v>
      </c>
    </row>
    <row r="17" spans="1:7" ht="15.6" thickBot="1" x14ac:dyDescent="0.3">
      <c r="A17" s="6"/>
      <c r="B17" s="10"/>
      <c r="C17" s="125" t="s">
        <v>5</v>
      </c>
      <c r="D17" s="126"/>
      <c r="E17" s="126"/>
      <c r="F17" s="126"/>
      <c r="G17" s="126"/>
    </row>
    <row r="18" spans="1:7" ht="16.2" thickBot="1" x14ac:dyDescent="0.35">
      <c r="B18" s="15" t="s">
        <v>6</v>
      </c>
      <c r="C18" s="20">
        <f t="shared" ref="C18:F18" si="2">SUM(C5:C16)</f>
        <v>15276</v>
      </c>
      <c r="D18" s="20">
        <f t="shared" si="2"/>
        <v>0</v>
      </c>
      <c r="E18" s="20">
        <f t="shared" si="2"/>
        <v>0</v>
      </c>
      <c r="F18" s="20">
        <f t="shared" si="2"/>
        <v>4200</v>
      </c>
      <c r="G18" s="20">
        <f>SUM(G5:G16)</f>
        <v>27553.4748</v>
      </c>
    </row>
    <row r="19" spans="1:7" ht="15.6" thickBot="1" x14ac:dyDescent="0.3">
      <c r="B19" s="8"/>
      <c r="C19" s="8"/>
      <c r="D19" s="8"/>
      <c r="E19" s="8"/>
      <c r="F19" s="8"/>
      <c r="G19" s="8"/>
    </row>
    <row r="20" spans="1:7" ht="16.2" thickBot="1" x14ac:dyDescent="0.35">
      <c r="B20" s="7" t="s">
        <v>7</v>
      </c>
      <c r="C20" s="13">
        <f t="shared" ref="C20:F20" si="3">AVERAGE(C5:C16)</f>
        <v>1273</v>
      </c>
      <c r="D20" s="13" t="e">
        <f t="shared" si="3"/>
        <v>#DIV/0!</v>
      </c>
      <c r="E20" s="13" t="e">
        <f t="shared" si="3"/>
        <v>#DIV/0!</v>
      </c>
      <c r="F20" s="13">
        <f t="shared" si="3"/>
        <v>600</v>
      </c>
      <c r="G20" s="13">
        <f>AVERAGE(G5:G16)</f>
        <v>2296.1228999999998</v>
      </c>
    </row>
    <row r="21" spans="1:7" x14ac:dyDescent="0.25">
      <c r="C21" s="11"/>
      <c r="D21" s="11"/>
      <c r="E21" s="11"/>
      <c r="F21" s="11"/>
      <c r="G21" s="11"/>
    </row>
    <row r="22" spans="1:7" x14ac:dyDescent="0.25">
      <c r="B22" s="11"/>
      <c r="C22" s="18"/>
      <c r="D22" s="11"/>
      <c r="E22" s="11"/>
      <c r="F22" s="11"/>
      <c r="G22" s="11"/>
    </row>
    <row r="23" spans="1:7" x14ac:dyDescent="0.25">
      <c r="C23" s="60"/>
      <c r="F23" s="60"/>
      <c r="G23" s="11"/>
    </row>
    <row r="24" spans="1:7" x14ac:dyDescent="0.25">
      <c r="C24" s="60"/>
      <c r="G24" s="11"/>
    </row>
    <row r="25" spans="1:7" x14ac:dyDescent="0.25">
      <c r="G25" s="11"/>
    </row>
  </sheetData>
  <mergeCells count="1">
    <mergeCell ref="C17:G17"/>
  </mergeCells>
  <printOptions horizontalCentered="1" verticalCentered="1" gridLines="1" gridLinesSet="0"/>
  <pageMargins left="0.39370078740157483" right="0.39370078740157483" top="0.39370078740157483" bottom="0.39370078740157483" header="0.35433070866141736" footer="0.39370078740157483"/>
  <pageSetup paperSize="9" scale="78" orientation="landscape" r:id="rId1"/>
  <headerFooter alignWithMargins="0">
    <oddHeader>&amp;C&amp;A</oddHeader>
    <oddFooter>&amp;L&amp;D&amp;C&amp;A&amp;R&amp;P/&amp;N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A2:J24"/>
  <sheetViews>
    <sheetView workbookViewId="0">
      <selection activeCell="F10" sqref="F10"/>
    </sheetView>
  </sheetViews>
  <sheetFormatPr defaultColWidth="11" defaultRowHeight="15" x14ac:dyDescent="0.25"/>
  <cols>
    <col min="1" max="1" width="5.69921875" style="3" customWidth="1"/>
    <col min="2" max="2" width="10.19921875" style="3" customWidth="1"/>
    <col min="3" max="6" width="15.69921875" style="3" customWidth="1"/>
    <col min="7" max="7" width="13.69921875" style="3" customWidth="1"/>
    <col min="8" max="8" width="5.69921875" style="3" customWidth="1"/>
    <col min="9" max="16384" width="11" style="3"/>
  </cols>
  <sheetData>
    <row r="2" spans="1:10" ht="30" x14ac:dyDescent="0.5">
      <c r="A2" s="1"/>
      <c r="B2" s="17" t="s">
        <v>38</v>
      </c>
      <c r="C2" s="17"/>
      <c r="D2" s="23"/>
      <c r="E2" s="23"/>
      <c r="F2" s="16"/>
      <c r="G2" s="16"/>
    </row>
    <row r="3" spans="1:10" ht="15.6" thickBot="1" x14ac:dyDescent="0.3">
      <c r="A3" s="1"/>
      <c r="B3" s="2"/>
      <c r="C3" s="2"/>
      <c r="D3" s="2"/>
      <c r="E3" s="2"/>
      <c r="F3" s="2"/>
      <c r="G3" s="1"/>
    </row>
    <row r="4" spans="1:10" s="5" customFormat="1" ht="15.75" customHeight="1" thickBot="1" x14ac:dyDescent="0.35">
      <c r="A4" s="4"/>
      <c r="B4" s="19" t="s">
        <v>4</v>
      </c>
      <c r="C4" s="19" t="s">
        <v>11</v>
      </c>
      <c r="D4" s="19" t="s">
        <v>15</v>
      </c>
      <c r="E4" s="19" t="s">
        <v>13</v>
      </c>
      <c r="F4" s="72" t="s">
        <v>44</v>
      </c>
      <c r="G4" s="64" t="s">
        <v>10</v>
      </c>
    </row>
    <row r="5" spans="1:10" x14ac:dyDescent="0.25">
      <c r="A5" s="6"/>
      <c r="B5" s="57">
        <v>46174</v>
      </c>
      <c r="C5" s="61">
        <f>'[7]SUMMARY-CP'!$D$23</f>
        <v>1300</v>
      </c>
      <c r="D5" s="61"/>
      <c r="E5" s="61"/>
      <c r="F5" s="68"/>
      <c r="G5" s="107">
        <f>'[7]SUMMARY-CP'!$D$46</f>
        <v>2441.1008219178079</v>
      </c>
      <c r="I5" s="103">
        <f>C5+F5</f>
        <v>1300</v>
      </c>
      <c r="J5" s="103">
        <f>G5-I5</f>
        <v>1141.1008219178079</v>
      </c>
    </row>
    <row r="6" spans="1:10" x14ac:dyDescent="0.25">
      <c r="A6" s="6"/>
      <c r="B6" s="57">
        <v>46204</v>
      </c>
      <c r="C6" s="61">
        <f>'[7]SUMMARY-CP'!$E$23</f>
        <v>1300</v>
      </c>
      <c r="D6" s="61"/>
      <c r="E6" s="61"/>
      <c r="F6" s="68"/>
      <c r="G6" s="107">
        <f>'[7]SUMMARY-CP'!$E$46</f>
        <v>2522.4708493150683</v>
      </c>
      <c r="I6" s="103">
        <f t="shared" ref="I6:I16" si="0">C6+F6</f>
        <v>1300</v>
      </c>
      <c r="J6" s="103">
        <f t="shared" ref="J6:J16" si="1">G6-I6</f>
        <v>1222.4708493150683</v>
      </c>
    </row>
    <row r="7" spans="1:10" x14ac:dyDescent="0.25">
      <c r="A7" s="6"/>
      <c r="B7" s="57">
        <v>46235</v>
      </c>
      <c r="C7" s="61">
        <f>'[7]SUMMARY-CP'!$F$23</f>
        <v>1200</v>
      </c>
      <c r="D7" s="61"/>
      <c r="E7" s="61"/>
      <c r="F7" s="68"/>
      <c r="G7" s="107">
        <f>'[7]SUMMARY-CP'!$F$46</f>
        <v>2522.4708493150683</v>
      </c>
      <c r="I7" s="103">
        <f t="shared" si="0"/>
        <v>1200</v>
      </c>
      <c r="J7" s="103">
        <f t="shared" si="1"/>
        <v>1322.4708493150683</v>
      </c>
    </row>
    <row r="8" spans="1:10" x14ac:dyDescent="0.25">
      <c r="A8" s="6"/>
      <c r="B8" s="57">
        <v>46266</v>
      </c>
      <c r="C8" s="61">
        <f>'[7]SUMMARY-CP'!$G$23</f>
        <v>1000</v>
      </c>
      <c r="D8" s="61"/>
      <c r="E8" s="61"/>
      <c r="F8" s="68">
        <v>1400</v>
      </c>
      <c r="G8" s="107">
        <f>'[7]SUMMARY-CP'!$G$46</f>
        <v>2441.1008219178079</v>
      </c>
      <c r="I8" s="103">
        <f t="shared" si="0"/>
        <v>2400</v>
      </c>
      <c r="J8" s="103">
        <f t="shared" si="1"/>
        <v>41.100821917807934</v>
      </c>
    </row>
    <row r="9" spans="1:10" x14ac:dyDescent="0.25">
      <c r="A9" s="6"/>
      <c r="B9" s="57">
        <v>46296</v>
      </c>
      <c r="C9" s="61">
        <f>'[7]SUMMARY-CP'!$H$23</f>
        <v>1000</v>
      </c>
      <c r="D9" s="61"/>
      <c r="E9" s="61"/>
      <c r="F9" s="68">
        <v>1500</v>
      </c>
      <c r="G9" s="107">
        <f>'[7]SUMMARY-CP'!$H$46</f>
        <v>2522.4708493150683</v>
      </c>
      <c r="I9" s="103">
        <f t="shared" si="0"/>
        <v>2500</v>
      </c>
      <c r="J9" s="103">
        <f t="shared" si="1"/>
        <v>22.470849315068335</v>
      </c>
    </row>
    <row r="10" spans="1:10" x14ac:dyDescent="0.25">
      <c r="A10" s="6"/>
      <c r="B10" s="57">
        <v>46327</v>
      </c>
      <c r="C10" s="61">
        <f>'[7]SUMMARY-CP'!$I$23</f>
        <v>890</v>
      </c>
      <c r="D10" s="61"/>
      <c r="E10" s="61"/>
      <c r="F10" s="68">
        <v>1556</v>
      </c>
      <c r="G10" s="107">
        <f>'[7]SUMMARY-CP'!$I$46</f>
        <v>2441.1008219178079</v>
      </c>
      <c r="I10" s="103">
        <f t="shared" si="0"/>
        <v>2446</v>
      </c>
      <c r="J10" s="103">
        <f t="shared" si="1"/>
        <v>-4.8991780821920656</v>
      </c>
    </row>
    <row r="11" spans="1:10" x14ac:dyDescent="0.25">
      <c r="A11" s="6"/>
      <c r="B11" s="57">
        <v>46357</v>
      </c>
      <c r="C11" s="61">
        <f>'[7]SUMMARY-CP'!$J$23</f>
        <v>800</v>
      </c>
      <c r="D11" s="61"/>
      <c r="E11" s="61"/>
      <c r="F11" s="68">
        <v>1556</v>
      </c>
      <c r="G11" s="107">
        <f>'[7]SUMMARY-CP'!$J$46</f>
        <v>2522.4708493150683</v>
      </c>
      <c r="I11" s="103">
        <f t="shared" si="0"/>
        <v>2356</v>
      </c>
      <c r="J11" s="103">
        <f t="shared" si="1"/>
        <v>166.47084931506834</v>
      </c>
    </row>
    <row r="12" spans="1:10" x14ac:dyDescent="0.25">
      <c r="A12" s="6"/>
      <c r="B12" s="57">
        <v>46388</v>
      </c>
      <c r="C12" s="61">
        <f>'[7]SUMMARY-CP'!$K$23</f>
        <v>700</v>
      </c>
      <c r="D12" s="61"/>
      <c r="E12" s="61"/>
      <c r="F12" s="68">
        <v>1556</v>
      </c>
      <c r="G12" s="107">
        <f>'[7]SUMMARY-CP'!$K$46</f>
        <v>2522.4708493150683</v>
      </c>
      <c r="I12" s="103">
        <f t="shared" si="0"/>
        <v>2256</v>
      </c>
      <c r="J12" s="103">
        <f t="shared" si="1"/>
        <v>266.47084931506834</v>
      </c>
    </row>
    <row r="13" spans="1:10" x14ac:dyDescent="0.25">
      <c r="A13" s="6"/>
      <c r="B13" s="57">
        <v>46419</v>
      </c>
      <c r="C13" s="61">
        <f>'[7]SUMMARY-CP'!$L$23</f>
        <v>600</v>
      </c>
      <c r="D13" s="61"/>
      <c r="E13" s="61"/>
      <c r="F13" s="68">
        <v>1555</v>
      </c>
      <c r="G13" s="107">
        <f>'[7]SUMMARY-CP'!$L$46</f>
        <v>2278.3607671232876</v>
      </c>
      <c r="I13" s="103">
        <f t="shared" si="0"/>
        <v>2155</v>
      </c>
      <c r="J13" s="103">
        <f t="shared" si="1"/>
        <v>123.36076712328759</v>
      </c>
    </row>
    <row r="14" spans="1:10" x14ac:dyDescent="0.25">
      <c r="A14" s="6"/>
      <c r="B14" s="57">
        <v>46447</v>
      </c>
      <c r="C14" s="61">
        <f>'[7]SUMMARY-CP'!$M$23</f>
        <v>500</v>
      </c>
      <c r="D14" s="61"/>
      <c r="E14" s="61"/>
      <c r="F14" s="68">
        <v>1555</v>
      </c>
      <c r="G14" s="107">
        <f>'[7]SUMMARY-CP'!$M$46</f>
        <v>2522.4708493150683</v>
      </c>
      <c r="I14" s="103">
        <f t="shared" si="0"/>
        <v>2055</v>
      </c>
      <c r="J14" s="103">
        <f t="shared" si="1"/>
        <v>467.47084931506834</v>
      </c>
    </row>
    <row r="15" spans="1:10" x14ac:dyDescent="0.25">
      <c r="A15" s="6"/>
      <c r="B15" s="57">
        <v>46478</v>
      </c>
      <c r="C15" s="61">
        <f>'[7]SUMMARY-CP'!$N$23</f>
        <v>500</v>
      </c>
      <c r="D15" s="61"/>
      <c r="E15" s="61"/>
      <c r="F15" s="68">
        <v>1555</v>
      </c>
      <c r="G15" s="107">
        <f>'[7]SUMMARY-CP'!$N$46</f>
        <v>2441.1008219178079</v>
      </c>
      <c r="I15" s="103">
        <f t="shared" si="0"/>
        <v>2055</v>
      </c>
      <c r="J15" s="103">
        <f t="shared" si="1"/>
        <v>386.10082191780793</v>
      </c>
    </row>
    <row r="16" spans="1:10" ht="15.6" thickBot="1" x14ac:dyDescent="0.3">
      <c r="A16" s="6"/>
      <c r="B16" s="57">
        <v>46508</v>
      </c>
      <c r="C16" s="61">
        <f>'[7]SUMMARY-CP'!$O$23</f>
        <v>470</v>
      </c>
      <c r="D16" s="61"/>
      <c r="E16" s="61"/>
      <c r="F16" s="68">
        <v>1555</v>
      </c>
      <c r="G16" s="107">
        <f>'[7]SUMMARY-CP'!$O$46</f>
        <v>2522.4708493150683</v>
      </c>
      <c r="I16" s="103">
        <f t="shared" si="0"/>
        <v>2025</v>
      </c>
      <c r="J16" s="103">
        <f t="shared" si="1"/>
        <v>497.47084931506834</v>
      </c>
    </row>
    <row r="17" spans="1:7" ht="15.6" thickBot="1" x14ac:dyDescent="0.3">
      <c r="A17" s="6"/>
      <c r="B17" s="10"/>
      <c r="C17" s="125" t="s">
        <v>5</v>
      </c>
      <c r="D17" s="126"/>
      <c r="E17" s="126"/>
      <c r="F17" s="126"/>
      <c r="G17" s="126"/>
    </row>
    <row r="18" spans="1:7" ht="16.2" thickBot="1" x14ac:dyDescent="0.35">
      <c r="B18" s="15" t="s">
        <v>6</v>
      </c>
      <c r="C18" s="20">
        <f t="shared" ref="C18:F18" si="2">SUM(C5:C16)</f>
        <v>10260</v>
      </c>
      <c r="D18" s="20">
        <f t="shared" si="2"/>
        <v>0</v>
      </c>
      <c r="E18" s="20">
        <f t="shared" si="2"/>
        <v>0</v>
      </c>
      <c r="F18" s="20">
        <f t="shared" si="2"/>
        <v>13788</v>
      </c>
      <c r="G18" s="20">
        <f>SUM(G5:G16)</f>
        <v>29700.059999999994</v>
      </c>
    </row>
    <row r="19" spans="1:7" ht="15.6" thickBot="1" x14ac:dyDescent="0.3">
      <c r="B19" s="8"/>
      <c r="C19" s="8"/>
      <c r="D19" s="8"/>
      <c r="E19" s="8"/>
      <c r="F19" s="8"/>
      <c r="G19" s="8"/>
    </row>
    <row r="20" spans="1:7" ht="16.2" thickBot="1" x14ac:dyDescent="0.35">
      <c r="B20" s="7" t="s">
        <v>7</v>
      </c>
      <c r="C20" s="13">
        <f t="shared" ref="C20:F20" si="3">AVERAGE(C5:C16)</f>
        <v>855</v>
      </c>
      <c r="D20" s="13" t="e">
        <f t="shared" si="3"/>
        <v>#DIV/0!</v>
      </c>
      <c r="E20" s="13" t="e">
        <f t="shared" si="3"/>
        <v>#DIV/0!</v>
      </c>
      <c r="F20" s="13">
        <f t="shared" si="3"/>
        <v>1532</v>
      </c>
      <c r="G20" s="13">
        <f>AVERAGE(G5:G16)</f>
        <v>2475.0049999999997</v>
      </c>
    </row>
    <row r="21" spans="1:7" x14ac:dyDescent="0.25">
      <c r="C21" s="11"/>
      <c r="D21" s="11"/>
      <c r="E21" s="11"/>
      <c r="F21" s="11"/>
      <c r="G21" s="11"/>
    </row>
    <row r="22" spans="1:7" x14ac:dyDescent="0.25">
      <c r="B22" s="11"/>
      <c r="C22" s="18"/>
      <c r="D22" s="11"/>
      <c r="E22" s="11"/>
      <c r="F22" s="11"/>
    </row>
    <row r="23" spans="1:7" x14ac:dyDescent="0.25">
      <c r="C23" s="103"/>
      <c r="F23" s="60"/>
      <c r="G23" s="11"/>
    </row>
    <row r="24" spans="1:7" x14ac:dyDescent="0.25">
      <c r="C24" s="60"/>
    </row>
  </sheetData>
  <mergeCells count="1">
    <mergeCell ref="C17:G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>
    <tabColor theme="3" tint="0.59999389629810485"/>
    <pageSetUpPr fitToPage="1"/>
  </sheetPr>
  <dimension ref="A1:L25"/>
  <sheetViews>
    <sheetView zoomScale="85" zoomScaleNormal="85" workbookViewId="0">
      <selection activeCell="B5" sqref="B5:B16"/>
    </sheetView>
  </sheetViews>
  <sheetFormatPr defaultColWidth="11" defaultRowHeight="15" x14ac:dyDescent="0.25"/>
  <cols>
    <col min="1" max="1" width="5.69921875" style="3" customWidth="1"/>
    <col min="2" max="2" width="10.19921875" style="3" customWidth="1"/>
    <col min="3" max="6" width="15.69921875" style="3" customWidth="1"/>
    <col min="7" max="7" width="14" style="3" bestFit="1" customWidth="1"/>
    <col min="8" max="8" width="14.69921875" style="3" bestFit="1" customWidth="1"/>
    <col min="9" max="9" width="27.3984375" style="3" bestFit="1" customWidth="1"/>
    <col min="10" max="10" width="17.3984375" style="3" bestFit="1" customWidth="1"/>
    <col min="11" max="11" width="17.3984375" style="3" customWidth="1"/>
    <col min="12" max="12" width="15.69921875" style="3" customWidth="1"/>
    <col min="13" max="16384" width="11" style="3"/>
  </cols>
  <sheetData>
    <row r="1" spans="1:12" ht="16.2" customHeight="1" x14ac:dyDescent="0.4">
      <c r="A1" s="1"/>
      <c r="B1" s="9"/>
      <c r="C1" s="1"/>
      <c r="D1" s="1"/>
      <c r="E1" s="1"/>
      <c r="F1" s="1"/>
      <c r="G1" s="1"/>
    </row>
    <row r="2" spans="1:12" ht="30" x14ac:dyDescent="0.5">
      <c r="A2" s="1"/>
      <c r="B2" s="17" t="s">
        <v>8</v>
      </c>
      <c r="C2" s="16"/>
      <c r="D2" s="26"/>
      <c r="E2" s="26"/>
      <c r="F2" s="16"/>
      <c r="G2" s="16"/>
      <c r="H2" s="16"/>
      <c r="I2" s="16"/>
      <c r="J2" s="16"/>
      <c r="K2" s="26"/>
      <c r="L2" s="16"/>
    </row>
    <row r="3" spans="1:12" ht="15.6" thickBot="1" x14ac:dyDescent="0.3">
      <c r="A3" s="1"/>
      <c r="B3" s="2"/>
      <c r="C3" s="2"/>
      <c r="D3" s="2"/>
      <c r="E3" s="2"/>
      <c r="F3" s="2"/>
      <c r="G3" s="1"/>
    </row>
    <row r="4" spans="1:12" s="5" customFormat="1" ht="52.5" customHeight="1" thickBot="1" x14ac:dyDescent="0.35">
      <c r="A4" s="4"/>
      <c r="B4" s="19" t="s">
        <v>4</v>
      </c>
      <c r="C4" s="19" t="s">
        <v>11</v>
      </c>
      <c r="D4" s="19" t="s">
        <v>15</v>
      </c>
      <c r="E4" s="19" t="s">
        <v>13</v>
      </c>
      <c r="F4" s="19" t="s">
        <v>12</v>
      </c>
      <c r="G4" s="64" t="s">
        <v>42</v>
      </c>
      <c r="H4" s="64" t="s">
        <v>31</v>
      </c>
      <c r="I4" s="65" t="s">
        <v>32</v>
      </c>
      <c r="J4" s="64" t="s">
        <v>41</v>
      </c>
      <c r="K4" s="64" t="s">
        <v>44</v>
      </c>
      <c r="L4" s="66" t="s">
        <v>35</v>
      </c>
    </row>
    <row r="5" spans="1:12" ht="15.6" x14ac:dyDescent="0.3">
      <c r="A5" s="6"/>
      <c r="B5" s="57">
        <v>46174</v>
      </c>
      <c r="C5" s="14">
        <f>'Tab. Welding'!C5+'Tab. Assembly'!C5+'Tab. Machining'!C5+'Tab. RR'!C5+'Tab. Plating'!C5</f>
        <v>66834.25</v>
      </c>
      <c r="D5" s="14">
        <f>'Tab. Welding'!D5+'Tab. Assembly'!D5+'Tab. Machining'!D5+'Tab. RR'!D5+'Tab. Plating'!D5</f>
        <v>0</v>
      </c>
      <c r="E5" s="14">
        <f>'Tab. Welding'!E5+'Tab. Assembly'!E5+'Tab. Machining'!E5+'Tab. RR'!E5+'Tab. Plating'!E5</f>
        <v>0</v>
      </c>
      <c r="F5" s="14">
        <f>'Tab. Welding'!F5+'Tab. Assembly'!F5+'Tab. Machining'!F5</f>
        <v>0</v>
      </c>
      <c r="G5" s="62">
        <f>'Tab. Welding'!G5+'Tab. Assembly'!G5+'Tab. Machining'!H5+'Tab. RR'!G5+'Tab. Plating'!G5</f>
        <v>16391.022347102211</v>
      </c>
      <c r="H5" s="59">
        <f>'Tab. Welding'!H5+'Tab. Assembly'!I5</f>
        <v>24202.202339304531</v>
      </c>
      <c r="I5" s="63">
        <f t="shared" ref="I5:I7" si="0">G5+H5</f>
        <v>40593.224686406742</v>
      </c>
      <c r="J5" s="63">
        <f>'Tab. Welding'!L5+'Tab. Assembly'!H5</f>
        <v>27741.03669513615</v>
      </c>
      <c r="K5" s="73">
        <f>'Tab. Machining'!G5+'Tab. Assembly'!E5</f>
        <v>0</v>
      </c>
      <c r="L5" s="69">
        <f t="shared" ref="L5:L15" si="1">I5+J5</f>
        <v>68334.261381542892</v>
      </c>
    </row>
    <row r="6" spans="1:12" ht="15.6" x14ac:dyDescent="0.3">
      <c r="A6" s="6"/>
      <c r="B6" s="57">
        <v>46204</v>
      </c>
      <c r="C6" s="14">
        <f>'Tab. Welding'!C6+'Tab. Assembly'!C6+'Tab. Machining'!C6+'Tab. RR'!C6+'Tab. Plating'!C6</f>
        <v>64262.25</v>
      </c>
      <c r="D6" s="14">
        <f>'Tab. Welding'!D6+'Tab. Assembly'!D6+'Tab. Machining'!D6+'Tab. RR'!D6+'Tab. Plating'!D6</f>
        <v>0</v>
      </c>
      <c r="E6" s="14">
        <f>'Tab. Welding'!E6+'Tab. Assembly'!E6+'Tab. Machining'!E6+'Tab. RR'!E6+'Tab. Plating'!E6</f>
        <v>0</v>
      </c>
      <c r="F6" s="14">
        <f>'Tab. Welding'!F6+'Tab. Assembly'!F6+'Tab. Machining'!F6</f>
        <v>435</v>
      </c>
      <c r="G6" s="62">
        <f>'Tab. Welding'!G6+'Tab. Assembly'!G6+'Tab. Machining'!H6+'Tab. RR'!G6+'Tab. Plating'!G6</f>
        <v>16937.389758672289</v>
      </c>
      <c r="H6" s="59">
        <f>'Tab. Welding'!H6+'Tab. Assembly'!I6</f>
        <v>25008.942417281349</v>
      </c>
      <c r="I6" s="63">
        <f t="shared" si="0"/>
        <v>41946.332175953634</v>
      </c>
      <c r="J6" s="63">
        <f>'Tab. Welding'!L6+'Tab. Assembly'!H6</f>
        <v>28665.737918307357</v>
      </c>
      <c r="K6" s="73">
        <f>'Tab. Machining'!G6+'Tab. Assembly'!E6</f>
        <v>0</v>
      </c>
      <c r="L6" s="69">
        <f t="shared" si="1"/>
        <v>70612.070094260998</v>
      </c>
    </row>
    <row r="7" spans="1:12" ht="15.6" x14ac:dyDescent="0.3">
      <c r="A7" s="6"/>
      <c r="B7" s="57">
        <v>46235</v>
      </c>
      <c r="C7" s="14">
        <f>'Tab. Welding'!C7+'Tab. Assembly'!C7+'Tab. Machining'!C7+'Tab. RR'!C7+'Tab. Plating'!C7</f>
        <v>63695.75</v>
      </c>
      <c r="D7" s="14">
        <f>'Tab. Welding'!D7+'Tab. Assembly'!D7+'Tab. Machining'!D7+'Tab. RR'!D7+'Tab. Plating'!D7</f>
        <v>0</v>
      </c>
      <c r="E7" s="14">
        <f>'Tab. Welding'!E7+'Tab. Assembly'!E7+'Tab. Machining'!E7+'Tab. RR'!E7+'Tab. Plating'!E7</f>
        <v>0</v>
      </c>
      <c r="F7" s="14">
        <f>'Tab. Welding'!F7+'Tab. Assembly'!F7+'Tab. Machining'!F7</f>
        <v>435</v>
      </c>
      <c r="G7" s="62">
        <f>'Tab. Welding'!G7+'Tab. Assembly'!G7+'Tab. Machining'!H7+'Tab. RR'!G7+'Tab. Plating'!G7</f>
        <v>16937.389758672289</v>
      </c>
      <c r="H7" s="59">
        <f>'Tab. Welding'!H7+'Tab. Assembly'!I7</f>
        <v>25008.942417281349</v>
      </c>
      <c r="I7" s="63">
        <f t="shared" si="0"/>
        <v>41946.332175953634</v>
      </c>
      <c r="J7" s="63">
        <f>'Tab. Welding'!L7+'Tab. Assembly'!H7</f>
        <v>28665.737918307357</v>
      </c>
      <c r="K7" s="73">
        <f>'Tab. Machining'!G7+'Tab. Assembly'!E7</f>
        <v>0</v>
      </c>
      <c r="L7" s="69">
        <f t="shared" si="1"/>
        <v>70612.070094260998</v>
      </c>
    </row>
    <row r="8" spans="1:12" ht="15.6" x14ac:dyDescent="0.3">
      <c r="A8" s="6"/>
      <c r="B8" s="57">
        <v>46266</v>
      </c>
      <c r="C8" s="14">
        <f>'Tab. Welding'!C8+'Tab. Assembly'!C8+'Tab. Machining'!C8+'Tab. RR'!C8+'Tab. Plating'!C8</f>
        <v>59171.75</v>
      </c>
      <c r="D8" s="14">
        <f>'Tab. Welding'!D8+'Tab. Assembly'!D8+'Tab. Machining'!D8+'Tab. RR'!D8+'Tab. Plating'!D8</f>
        <v>0</v>
      </c>
      <c r="E8" s="14">
        <f>'Tab. Welding'!E8+'Tab. Assembly'!E8+'Tab. Machining'!E8+'Tab. RR'!E8+'Tab. Plating'!E8</f>
        <v>0</v>
      </c>
      <c r="F8" s="14">
        <f>'Tab. Welding'!F8+'Tab. Assembly'!F8+'Tab. Machining'!F8</f>
        <v>0</v>
      </c>
      <c r="G8" s="62">
        <f>'Tab. Welding'!G8+'Tab. Assembly'!G8+'Tab. Machining'!H8+'Tab. RR'!G8+'Tab. Plating'!G8</f>
        <v>16391.022347102211</v>
      </c>
      <c r="H8" s="59">
        <f>'Tab. Welding'!H8+'Tab. Assembly'!I8</f>
        <v>24202.202339304531</v>
      </c>
      <c r="I8" s="63">
        <f t="shared" ref="I8:I15" si="2">G8+H8</f>
        <v>40593.224686406742</v>
      </c>
      <c r="J8" s="63">
        <f>'Tab. Welding'!L8+'Tab. Assembly'!H8</f>
        <v>27741.03669513615</v>
      </c>
      <c r="K8" s="73">
        <f>'Tab. Machining'!G8+'Tab. Assembly'!E8+'Tab. RR'!F8+'Tab. Plating'!F8</f>
        <v>2167</v>
      </c>
      <c r="L8" s="69">
        <f t="shared" ref="L8:L14" si="3">I8+J8</f>
        <v>68334.261381542892</v>
      </c>
    </row>
    <row r="9" spans="1:12" ht="15.6" x14ac:dyDescent="0.3">
      <c r="A9" s="6"/>
      <c r="B9" s="57">
        <v>46296</v>
      </c>
      <c r="C9" s="14">
        <f>'Tab. Welding'!C9+'Tab. Assembly'!C9+'Tab. Machining'!C9+'Tab. RR'!C9+'Tab. Plating'!C9</f>
        <v>60160.5</v>
      </c>
      <c r="D9" s="14">
        <f>'Tab. Welding'!D9+'Tab. Assembly'!D9+'Tab. Machining'!D9+'Tab. RR'!D9+'Tab. Plating'!D9</f>
        <v>0</v>
      </c>
      <c r="E9" s="14">
        <f>'Tab. Welding'!E9+'Tab. Assembly'!E9+'Tab. Machining'!E9+'Tab. RR'!E9+'Tab. Plating'!E9</f>
        <v>0</v>
      </c>
      <c r="F9" s="14">
        <f>'Tab. Welding'!F9+'Tab. Assembly'!F9+'Tab. Machining'!F9</f>
        <v>0</v>
      </c>
      <c r="G9" s="62">
        <f>'Tab. Welding'!G9+'Tab. Assembly'!G9+'Tab. Machining'!H9+'Tab. RR'!G9+'Tab. Plating'!G9</f>
        <v>16937.389758672289</v>
      </c>
      <c r="H9" s="59">
        <f>'Tab. Welding'!H9+'Tab. Assembly'!I9</f>
        <v>25008.942417281349</v>
      </c>
      <c r="I9" s="63">
        <f t="shared" si="2"/>
        <v>41946.332175953634</v>
      </c>
      <c r="J9" s="63">
        <f>'Tab. Welding'!L9+'Tab. Assembly'!H9</f>
        <v>28665.737918307357</v>
      </c>
      <c r="K9" s="73">
        <f>'Tab. Machining'!G9+'Tab. Assembly'!E9+'Tab. RR'!F9+'Tab. Plating'!F9</f>
        <v>2267</v>
      </c>
      <c r="L9" s="69">
        <f t="shared" si="3"/>
        <v>70612.070094260998</v>
      </c>
    </row>
    <row r="10" spans="1:12" ht="15.6" x14ac:dyDescent="0.3">
      <c r="A10" s="6"/>
      <c r="B10" s="57">
        <v>46327</v>
      </c>
      <c r="C10" s="14">
        <f>'Tab. Welding'!C10+'Tab. Assembly'!C10+'Tab. Machining'!C10+'Tab. RR'!C10+'Tab. Plating'!C10</f>
        <v>54701.5</v>
      </c>
      <c r="D10" s="14">
        <f>'Tab. Welding'!D10+'Tab. Assembly'!D10+'Tab. Machining'!D10+'Tab. RR'!D10+'Tab. Plating'!D10</f>
        <v>0</v>
      </c>
      <c r="E10" s="14">
        <f>'Tab. Welding'!E10+'Tab. Assembly'!E10+'Tab. Machining'!E10+'Tab. RR'!E10+'Tab. Plating'!E10</f>
        <v>200</v>
      </c>
      <c r="F10" s="14">
        <f>'Tab. Welding'!F10+'Tab. Assembly'!F10+'Tab. Machining'!F10</f>
        <v>5000</v>
      </c>
      <c r="G10" s="62">
        <f>'Tab. Welding'!G10+'Tab. Assembly'!G10+'Tab. Machining'!H10+'Tab. RR'!G10+'Tab. Plating'!G10</f>
        <v>16391.022347102211</v>
      </c>
      <c r="H10" s="59">
        <f>'Tab. Welding'!H10+'Tab. Assembly'!I10</f>
        <v>24202.202339304531</v>
      </c>
      <c r="I10" s="63">
        <f t="shared" ref="I10:I14" si="4">G10+H10</f>
        <v>40593.224686406742</v>
      </c>
      <c r="J10" s="63">
        <f>'Tab. Welding'!L10+'Tab. Assembly'!H10</f>
        <v>27741.03669513615</v>
      </c>
      <c r="K10" s="73">
        <f>'Tab. Machining'!G10+'Tab. Assembly'!E10+'Tab. RR'!F10+'Tab. Plating'!F10</f>
        <v>3123</v>
      </c>
      <c r="L10" s="69">
        <f t="shared" si="3"/>
        <v>68334.261381542892</v>
      </c>
    </row>
    <row r="11" spans="1:12" ht="15.6" x14ac:dyDescent="0.3">
      <c r="A11" s="6"/>
      <c r="B11" s="57">
        <v>46357</v>
      </c>
      <c r="C11" s="14">
        <f>'Tab. Welding'!C11+'Tab. Assembly'!C11+'Tab. Machining'!C11+'Tab. RR'!C11+'Tab. Plating'!C11</f>
        <v>37946</v>
      </c>
      <c r="D11" s="14">
        <f>'Tab. Welding'!D11+'Tab. Assembly'!D11+'Tab. Machining'!D11+'Tab. RR'!D11+'Tab. Plating'!D11</f>
        <v>0</v>
      </c>
      <c r="E11" s="14">
        <f>'Tab. Welding'!E11+'Tab. Assembly'!E11+'Tab. Machining'!E11+'Tab. RR'!E11+'Tab. Plating'!E11</f>
        <v>200</v>
      </c>
      <c r="F11" s="14">
        <f>'Tab. Welding'!F11+'Tab. Assembly'!F11+'Tab. Machining'!F11</f>
        <v>20500</v>
      </c>
      <c r="G11" s="62">
        <f>'Tab. Welding'!G11+'Tab. Assembly'!G11+'Tab. Machining'!H11+'Tab. RR'!G11+'Tab. Plating'!G11</f>
        <v>16937.389758672289</v>
      </c>
      <c r="H11" s="59">
        <f>'Tab. Welding'!H11+'Tab. Assembly'!I11</f>
        <v>25008.942417281349</v>
      </c>
      <c r="I11" s="63">
        <f t="shared" si="4"/>
        <v>41946.332175953634</v>
      </c>
      <c r="J11" s="63">
        <f>'Tab. Welding'!L11+'Tab. Assembly'!H11</f>
        <v>28665.737918307357</v>
      </c>
      <c r="K11" s="73">
        <f>'Tab. Machining'!G11+'Tab. Assembly'!E11+'Tab. RR'!F11+'Tab. Plating'!F11</f>
        <v>3123</v>
      </c>
      <c r="L11" s="69">
        <f t="shared" si="3"/>
        <v>70612.070094260998</v>
      </c>
    </row>
    <row r="12" spans="1:12" ht="15.6" x14ac:dyDescent="0.3">
      <c r="A12" s="6"/>
      <c r="B12" s="57">
        <v>46388</v>
      </c>
      <c r="C12" s="14">
        <f>'Tab. Welding'!C12+'Tab. Assembly'!C12+'Tab. Machining'!C12+'Tab. RR'!C12+'Tab. Plating'!C12</f>
        <v>32109</v>
      </c>
      <c r="D12" s="14">
        <f>'Tab. Welding'!D12+'Tab. Assembly'!D12+'Tab. Machining'!D12+'Tab. RR'!D12+'Tab. Plating'!D12</f>
        <v>0</v>
      </c>
      <c r="E12" s="14">
        <f>'Tab. Welding'!E12+'Tab. Assembly'!E12+'Tab. Machining'!E12+'Tab. RR'!E12+'Tab. Plating'!E12</f>
        <v>200</v>
      </c>
      <c r="F12" s="14">
        <f>'Tab. Welding'!F12+'Tab. Assembly'!F12+'Tab. Machining'!F12</f>
        <v>22750</v>
      </c>
      <c r="G12" s="62">
        <f>'Tab. Welding'!G12+'Tab. Assembly'!G12+'Tab. Machining'!H12+'Tab. RR'!G12+'Tab. Plating'!G12</f>
        <v>16937.389758672289</v>
      </c>
      <c r="H12" s="59">
        <f>'Tab. Welding'!H12+'Tab. Assembly'!I12</f>
        <v>25008.942417281349</v>
      </c>
      <c r="I12" s="63">
        <f t="shared" si="4"/>
        <v>41946.332175953634</v>
      </c>
      <c r="J12" s="63">
        <f>'Tab. Welding'!L12+'Tab. Assembly'!H12</f>
        <v>28665.737918307357</v>
      </c>
      <c r="K12" s="73">
        <f>'Tab. Machining'!G12+'Tab. Assembly'!E12+'Tab. RR'!F12+'Tab. Plating'!F12</f>
        <v>3123</v>
      </c>
      <c r="L12" s="69">
        <f t="shared" si="3"/>
        <v>70612.070094260998</v>
      </c>
    </row>
    <row r="13" spans="1:12" ht="15.6" x14ac:dyDescent="0.3">
      <c r="A13" s="6"/>
      <c r="B13" s="57">
        <v>46419</v>
      </c>
      <c r="C13" s="14">
        <f>'Tab. Welding'!C13+'Tab. Assembly'!C13+'Tab. Machining'!C13+'Tab. RR'!C13+'Tab. Plating'!C13</f>
        <v>18042</v>
      </c>
      <c r="D13" s="14">
        <f>'Tab. Welding'!D13+'Tab. Assembly'!D13+'Tab. Machining'!D13+'Tab. RR'!D13+'Tab. Plating'!D13</f>
        <v>0</v>
      </c>
      <c r="E13" s="14">
        <f>'Tab. Welding'!E13+'Tab. Assembly'!E13+'Tab. Machining'!E13+'Tab. RR'!E13+'Tab. Plating'!E13</f>
        <v>200</v>
      </c>
      <c r="F13" s="14">
        <f>'Tab. Welding'!F13+'Tab. Assembly'!F13+'Tab. Machining'!F13</f>
        <v>28500</v>
      </c>
      <c r="G13" s="62">
        <f>'Tab. Welding'!G13+'Tab. Assembly'!G13+'Tab. Machining'!H13+'Tab. RR'!G13+'Tab. Plating'!G13</f>
        <v>15298.287523962066</v>
      </c>
      <c r="H13" s="59">
        <f>'Tab. Welding'!H13+'Tab. Assembly'!I13</f>
        <v>22588.722183350896</v>
      </c>
      <c r="I13" s="63">
        <f t="shared" si="4"/>
        <v>37887.009707312958</v>
      </c>
      <c r="J13" s="63">
        <f>'Tab. Welding'!L13+'Tab. Assembly'!H13</f>
        <v>25891.63424879374</v>
      </c>
      <c r="K13" s="73">
        <f>'Tab. Machining'!G13+'Tab. Assembly'!E13+'Tab. RR'!F13+'Tab. Plating'!F13</f>
        <v>3122</v>
      </c>
      <c r="L13" s="69">
        <f t="shared" si="3"/>
        <v>63778.643956106695</v>
      </c>
    </row>
    <row r="14" spans="1:12" ht="15.6" x14ac:dyDescent="0.3">
      <c r="A14" s="6"/>
      <c r="B14" s="57">
        <v>46447</v>
      </c>
      <c r="C14" s="14">
        <f>'Tab. Welding'!C14+'Tab. Assembly'!C14+'Tab. Machining'!C14+'Tab. RR'!C14+'Tab. Plating'!C14</f>
        <v>11532</v>
      </c>
      <c r="D14" s="14">
        <f>'Tab. Welding'!D14+'Tab. Assembly'!D14+'Tab. Machining'!D14+'Tab. RR'!D14+'Tab. Plating'!D14</f>
        <v>0</v>
      </c>
      <c r="E14" s="14">
        <f>'Tab. Welding'!E14+'Tab. Assembly'!E14+'Tab. Machining'!E14+'Tab. RR'!E14+'Tab. Plating'!E14</f>
        <v>200</v>
      </c>
      <c r="F14" s="14">
        <f>'Tab. Welding'!F14+'Tab. Assembly'!F14+'Tab. Machining'!F14</f>
        <v>33800</v>
      </c>
      <c r="G14" s="62">
        <f>'Tab. Welding'!G14+'Tab. Assembly'!G14+'Tab. Machining'!H14+'Tab. RR'!G14+'Tab. Plating'!G14</f>
        <v>16937.389758672289</v>
      </c>
      <c r="H14" s="59">
        <f>'Tab. Welding'!H14+'Tab. Assembly'!I14</f>
        <v>25008.942417281349</v>
      </c>
      <c r="I14" s="63">
        <f t="shared" si="4"/>
        <v>41946.332175953634</v>
      </c>
      <c r="J14" s="63">
        <f>'Tab. Welding'!L14+'Tab. Assembly'!H14</f>
        <v>28665.737918307357</v>
      </c>
      <c r="K14" s="73">
        <f>'Tab. Machining'!G14+'Tab. Assembly'!E14+'Tab. RR'!F14+'Tab. Plating'!F14</f>
        <v>3121</v>
      </c>
      <c r="L14" s="69">
        <f t="shared" si="3"/>
        <v>70612.070094260998</v>
      </c>
    </row>
    <row r="15" spans="1:12" ht="15.6" x14ac:dyDescent="0.3">
      <c r="A15" s="6"/>
      <c r="B15" s="57">
        <v>46478</v>
      </c>
      <c r="C15" s="14">
        <f>'Tab. Welding'!C15+'Tab. Assembly'!C15+'Tab. Machining'!C15+'Tab. RR'!C15+'Tab. Plating'!C15</f>
        <v>8732</v>
      </c>
      <c r="D15" s="14">
        <f>'Tab. Welding'!D15+'Tab. Assembly'!D15+'Tab. Machining'!D15+'Tab. RR'!D15+'Tab. Plating'!D15</f>
        <v>0</v>
      </c>
      <c r="E15" s="14">
        <f>'Tab. Welding'!E15+'Tab. Assembly'!E15+'Tab. Machining'!E15+'Tab. RR'!E15+'Tab. Plating'!E15</f>
        <v>200</v>
      </c>
      <c r="F15" s="14">
        <f>'Tab. Welding'!F15+'Tab. Assembly'!F15+'Tab. Machining'!F15</f>
        <v>34700</v>
      </c>
      <c r="G15" s="62">
        <f>'Tab. Welding'!G15+'Tab. Assembly'!G15+'Tab. Machining'!H15+'Tab. RR'!G15+'Tab. Plating'!G15</f>
        <v>16391.022347102211</v>
      </c>
      <c r="H15" s="59">
        <f>'Tab. Welding'!H15+'Tab. Assembly'!I15</f>
        <v>24202.202339304531</v>
      </c>
      <c r="I15" s="63">
        <f t="shared" si="2"/>
        <v>40593.224686406742</v>
      </c>
      <c r="J15" s="63">
        <f>'Tab. Welding'!L15+'Tab. Assembly'!H15</f>
        <v>27741.03669513615</v>
      </c>
      <c r="K15" s="73">
        <f>'Tab. Machining'!G15+'Tab. Assembly'!E15+'Tab. RR'!F15+'Tab. Plating'!F15</f>
        <v>3121</v>
      </c>
      <c r="L15" s="69">
        <f t="shared" si="1"/>
        <v>68334.261381542892</v>
      </c>
    </row>
    <row r="16" spans="1:12" ht="16.2" thickBot="1" x14ac:dyDescent="0.35">
      <c r="A16" s="6"/>
      <c r="B16" s="57">
        <v>46508</v>
      </c>
      <c r="C16" s="14">
        <f>'Tab. Welding'!C16+'Tab. Assembly'!C16+'Tab. Machining'!C16+'Tab. RR'!C16+'Tab. Plating'!C16</f>
        <v>9332</v>
      </c>
      <c r="D16" s="14">
        <f>'Tab. Welding'!D16+'Tab. Assembly'!D16+'Tab. Machining'!D16+'Tab. RR'!D16+'Tab. Plating'!D16</f>
        <v>0</v>
      </c>
      <c r="E16" s="14">
        <f>'Tab. Welding'!E16+'Tab. Assembly'!E16+'Tab. Machining'!E16+'Tab. RR'!E16+'Tab. Plating'!E16</f>
        <v>200</v>
      </c>
      <c r="F16" s="14">
        <f>'Tab. Welding'!F16+'Tab. Assembly'!F16+'Tab. Machining'!F16</f>
        <v>35000</v>
      </c>
      <c r="G16" s="62">
        <f>'Tab. Welding'!G16+'Tab. Assembly'!G16+'Tab. Machining'!H16+'Tab. RR'!G16+'Tab. Plating'!G16</f>
        <v>16937.389758672289</v>
      </c>
      <c r="H16" s="59">
        <f>'Tab. Welding'!H16+'Tab. Assembly'!I16</f>
        <v>25008.942417281349</v>
      </c>
      <c r="I16" s="63">
        <f t="shared" ref="I16" si="5">G16+H16</f>
        <v>41946.332175953634</v>
      </c>
      <c r="J16" s="63">
        <f>'Tab. Welding'!L16+'Tab. Assembly'!H16</f>
        <v>28665.737918307357</v>
      </c>
      <c r="K16" s="73">
        <f>'Tab. Machining'!G16+'Tab. Assembly'!E16+'Tab. RR'!F16+'Tab. Plating'!F16</f>
        <v>3121</v>
      </c>
      <c r="L16" s="69">
        <f t="shared" ref="L16" si="6">I16+J16</f>
        <v>70612.070094260998</v>
      </c>
    </row>
    <row r="17" spans="1:12" ht="16.5" customHeight="1" thickBot="1" x14ac:dyDescent="0.3">
      <c r="A17" s="6"/>
      <c r="B17" s="10"/>
      <c r="C17" s="125" t="s">
        <v>5</v>
      </c>
      <c r="D17" s="126"/>
      <c r="E17" s="126"/>
      <c r="F17" s="126"/>
      <c r="G17" s="126"/>
      <c r="H17" s="126"/>
      <c r="I17" s="126"/>
      <c r="J17" s="126"/>
      <c r="K17" s="126"/>
      <c r="L17" s="127"/>
    </row>
    <row r="18" spans="1:12" ht="16.2" thickBot="1" x14ac:dyDescent="0.35">
      <c r="B18" s="15" t="s">
        <v>6</v>
      </c>
      <c r="C18" s="20">
        <f t="shared" ref="C18:K18" si="7">SUM(C5:C16)</f>
        <v>486519</v>
      </c>
      <c r="D18" s="20">
        <f t="shared" si="7"/>
        <v>0</v>
      </c>
      <c r="E18" s="20">
        <f t="shared" si="7"/>
        <v>1400</v>
      </c>
      <c r="F18" s="20">
        <f t="shared" si="7"/>
        <v>181120</v>
      </c>
      <c r="G18" s="20">
        <f t="shared" si="7"/>
        <v>199424.10522307694</v>
      </c>
      <c r="H18" s="20">
        <f t="shared" si="7"/>
        <v>294460.12846153846</v>
      </c>
      <c r="I18" s="20">
        <f t="shared" si="7"/>
        <v>493884.23368461535</v>
      </c>
      <c r="J18" s="20">
        <f t="shared" si="7"/>
        <v>337515.94645748986</v>
      </c>
      <c r="K18" s="20">
        <f t="shared" si="7"/>
        <v>26288</v>
      </c>
      <c r="L18" s="20">
        <f>SUM(L5:L16)</f>
        <v>831400.18014210521</v>
      </c>
    </row>
    <row r="19" spans="1:12" ht="15.6" thickBo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6.2" thickBot="1" x14ac:dyDescent="0.35">
      <c r="B20" s="7" t="s">
        <v>7</v>
      </c>
      <c r="C20" s="13">
        <f>AVERAGE(C5:C16)</f>
        <v>40543.25</v>
      </c>
      <c r="D20" s="13">
        <f t="shared" ref="D20:L20" si="8">AVERAGE(D5:D16)</f>
        <v>0</v>
      </c>
      <c r="E20" s="13">
        <f t="shared" si="8"/>
        <v>116.66666666666667</v>
      </c>
      <c r="F20" s="13">
        <f t="shared" si="8"/>
        <v>15093.333333333334</v>
      </c>
      <c r="G20" s="13">
        <f t="shared" si="8"/>
        <v>16618.675435256413</v>
      </c>
      <c r="H20" s="13">
        <f t="shared" si="8"/>
        <v>24538.344038461539</v>
      </c>
      <c r="I20" s="13">
        <f t="shared" si="8"/>
        <v>41157.019473717948</v>
      </c>
      <c r="J20" s="13">
        <f t="shared" si="8"/>
        <v>28126.328871457488</v>
      </c>
      <c r="K20" s="13">
        <f t="shared" si="8"/>
        <v>2190.6666666666665</v>
      </c>
      <c r="L20" s="13">
        <f t="shared" si="8"/>
        <v>69283.348345175429</v>
      </c>
    </row>
    <row r="21" spans="1:12" x14ac:dyDescent="0.25">
      <c r="C21" s="11"/>
      <c r="D21" s="11"/>
      <c r="E21" s="11"/>
      <c r="F21" s="11"/>
      <c r="G21" s="11"/>
    </row>
    <row r="23" spans="1:12" x14ac:dyDescent="0.25">
      <c r="C23" s="60"/>
    </row>
    <row r="24" spans="1:12" x14ac:dyDescent="0.25">
      <c r="C24" s="60"/>
    </row>
    <row r="25" spans="1:12" x14ac:dyDescent="0.25">
      <c r="H25" s="60"/>
      <c r="I25" s="60"/>
    </row>
  </sheetData>
  <mergeCells count="1">
    <mergeCell ref="C17:L17"/>
  </mergeCells>
  <conditionalFormatting sqref="I5:I16">
    <cfRule type="cellIs" dxfId="0" priority="1" operator="equal">
      <formula>0</formula>
    </cfRule>
  </conditionalFormatting>
  <printOptions horizontalCentered="1" verticalCentered="1"/>
  <pageMargins left="0.39370078740157483" right="0.39370078740157483" top="0.39370078740157483" bottom="0.39370078740157483" header="0.35433070866141736" footer="0.39370078740157483"/>
  <pageSetup paperSize="9" scale="74" orientation="landscape" r:id="rId1"/>
  <headerFooter alignWithMargins="0">
    <oddHeader>&amp;C&amp;A</oddHeader>
    <oddFooter>&amp;L&amp;D&amp;C&amp;A&amp;R&amp;P/&amp;N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>
    <tabColor theme="3" tint="0.59999389629810485"/>
    <pageSetUpPr fitToPage="1"/>
  </sheetPr>
  <dimension ref="C1:BU102"/>
  <sheetViews>
    <sheetView showGridLines="0" tabSelected="1" topLeftCell="I14" zoomScale="70" zoomScaleNormal="70" zoomScaleSheetLayoutView="55" workbookViewId="0">
      <selection activeCell="C50" sqref="C50"/>
    </sheetView>
  </sheetViews>
  <sheetFormatPr defaultColWidth="11" defaultRowHeight="15.6" x14ac:dyDescent="0.3"/>
  <cols>
    <col min="1" max="1" width="3.09765625" customWidth="1"/>
    <col min="2" max="2" width="2.69921875" customWidth="1"/>
    <col min="3" max="3" width="5.69921875" customWidth="1"/>
    <col min="5" max="5" width="5.59765625" customWidth="1"/>
    <col min="6" max="6" width="2" customWidth="1"/>
    <col min="8" max="8" width="15.09765625" customWidth="1"/>
    <col min="9" max="9" width="11.69921875" bestFit="1" customWidth="1"/>
    <col min="10" max="10" width="10.09765625" customWidth="1"/>
    <col min="11" max="11" width="5.59765625" customWidth="1"/>
    <col min="12" max="12" width="2" customWidth="1"/>
    <col min="15" max="15" width="11.69921875" bestFit="1" customWidth="1"/>
    <col min="17" max="17" width="11.5" customWidth="1"/>
    <col min="18" max="18" width="3.3984375" customWidth="1"/>
    <col min="19" max="19" width="5.69921875" style="31" customWidth="1"/>
    <col min="20" max="20" width="11.5" customWidth="1"/>
    <col min="21" max="21" width="5.59765625" customWidth="1"/>
    <col min="22" max="22" width="2" customWidth="1"/>
    <col min="26" max="26" width="11.5" customWidth="1"/>
    <col min="27" max="27" width="5.59765625" customWidth="1"/>
    <col min="28" max="28" width="2" customWidth="1"/>
    <col min="33" max="33" width="11" customWidth="1"/>
    <col min="36" max="36" width="5.59765625" customWidth="1"/>
    <col min="37" max="37" width="5.09765625" customWidth="1"/>
    <col min="42" max="42" width="5.59765625" customWidth="1"/>
    <col min="47" max="47" width="5" customWidth="1"/>
    <col min="49" max="49" width="5.59765625" customWidth="1"/>
    <col min="54" max="54" width="5.8984375" customWidth="1"/>
    <col min="55" max="55" width="5.69921875" customWidth="1"/>
    <col min="58" max="58" width="11" customWidth="1"/>
    <col min="59" max="59" width="9.69921875" customWidth="1"/>
    <col min="60" max="60" width="4.69921875" customWidth="1"/>
    <col min="62" max="62" width="5.5" customWidth="1"/>
    <col min="66" max="66" width="10.09765625" bestFit="1" customWidth="1"/>
    <col min="67" max="67" width="2.59765625" customWidth="1"/>
    <col min="68" max="68" width="5.5" customWidth="1"/>
  </cols>
  <sheetData>
    <row r="1" spans="3:73" x14ac:dyDescent="0.3">
      <c r="C1" s="31"/>
    </row>
    <row r="2" spans="3:73" ht="20.25" customHeight="1" x14ac:dyDescent="0.3">
      <c r="C2" s="110" t="s">
        <v>36</v>
      </c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</row>
    <row r="3" spans="3:73" ht="20.25" customHeight="1" x14ac:dyDescent="0.3"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</row>
    <row r="5" spans="3:73" ht="15.75" customHeight="1" x14ac:dyDescent="0.3">
      <c r="C5" s="111" t="s">
        <v>16</v>
      </c>
      <c r="S5" s="111"/>
      <c r="AU5" s="114" t="s">
        <v>46</v>
      </c>
      <c r="AV5" s="75"/>
      <c r="AW5" s="28"/>
      <c r="AX5" s="28"/>
      <c r="AY5" s="28"/>
      <c r="AZ5" s="28"/>
      <c r="BA5" s="28"/>
      <c r="BB5" s="28"/>
      <c r="BC5" s="28"/>
      <c r="BD5" s="28"/>
      <c r="BE5" s="28"/>
      <c r="BF5" s="76"/>
      <c r="BH5" s="114" t="s">
        <v>47</v>
      </c>
      <c r="BI5" s="75"/>
      <c r="BJ5" s="28"/>
      <c r="BK5" s="28"/>
      <c r="BL5" s="28"/>
      <c r="BM5" s="28"/>
      <c r="BN5" s="28"/>
      <c r="BO5" s="28"/>
      <c r="BP5" s="28"/>
      <c r="BQ5" s="28"/>
      <c r="BR5" s="28"/>
      <c r="BS5" s="76"/>
      <c r="BU5" s="114" t="s">
        <v>56</v>
      </c>
    </row>
    <row r="6" spans="3:73" x14ac:dyDescent="0.3">
      <c r="C6" s="112"/>
      <c r="S6" s="112"/>
      <c r="AU6" s="114"/>
      <c r="BE6" s="74"/>
      <c r="BF6" s="78"/>
      <c r="BH6" s="114"/>
      <c r="BI6" s="77"/>
      <c r="BR6" s="74"/>
      <c r="BS6" s="78"/>
      <c r="BU6" s="114"/>
    </row>
    <row r="7" spans="3:73" x14ac:dyDescent="0.3">
      <c r="C7" s="112"/>
      <c r="S7" s="112"/>
      <c r="AU7" s="114"/>
      <c r="AV7" s="77"/>
      <c r="BF7" s="78"/>
      <c r="BH7" s="114"/>
      <c r="BI7" s="77"/>
      <c r="BS7" s="78"/>
      <c r="BU7" s="114"/>
    </row>
    <row r="8" spans="3:73" x14ac:dyDescent="0.3">
      <c r="C8" s="112"/>
      <c r="S8" s="112"/>
      <c r="AU8" s="114"/>
      <c r="AV8" s="77"/>
      <c r="BE8" s="74"/>
      <c r="BF8" s="78"/>
      <c r="BH8" s="114"/>
      <c r="BI8" s="77"/>
      <c r="BR8" s="74"/>
      <c r="BS8" s="78"/>
      <c r="BU8" s="114"/>
    </row>
    <row r="9" spans="3:73" x14ac:dyDescent="0.3">
      <c r="C9" s="112"/>
      <c r="S9" s="112"/>
      <c r="AU9" s="114"/>
      <c r="AV9" s="77"/>
      <c r="BF9" s="78"/>
      <c r="BH9" s="114"/>
      <c r="BI9" s="77"/>
      <c r="BS9" s="78"/>
      <c r="BU9" s="114"/>
    </row>
    <row r="10" spans="3:73" x14ac:dyDescent="0.3">
      <c r="C10" s="112"/>
      <c r="S10" s="112"/>
      <c r="AU10" s="114"/>
      <c r="AV10" s="77"/>
      <c r="BF10" s="78"/>
      <c r="BH10" s="114"/>
      <c r="BI10" s="77"/>
      <c r="BS10" s="78"/>
      <c r="BU10" s="114"/>
    </row>
    <row r="11" spans="3:73" x14ac:dyDescent="0.3">
      <c r="C11" s="112"/>
      <c r="S11" s="112"/>
      <c r="AU11" s="114"/>
      <c r="AV11" s="77"/>
      <c r="BF11" s="78"/>
      <c r="BH11" s="114"/>
      <c r="BI11" s="77"/>
      <c r="BS11" s="78"/>
      <c r="BU11" s="114"/>
    </row>
    <row r="12" spans="3:73" x14ac:dyDescent="0.3">
      <c r="C12" s="112"/>
      <c r="S12" s="112"/>
      <c r="AU12" s="114"/>
      <c r="AV12" s="77"/>
      <c r="BF12" s="78"/>
      <c r="BH12" s="114"/>
      <c r="BI12" s="77"/>
      <c r="BS12" s="78"/>
      <c r="BU12" s="114"/>
    </row>
    <row r="13" spans="3:73" x14ac:dyDescent="0.3">
      <c r="C13" s="112"/>
      <c r="S13" s="112"/>
      <c r="AU13" s="114"/>
      <c r="AV13" s="77"/>
      <c r="BF13" s="78"/>
      <c r="BH13" s="114"/>
      <c r="BI13" s="77"/>
      <c r="BS13" s="78"/>
      <c r="BU13" s="114"/>
    </row>
    <row r="14" spans="3:73" x14ac:dyDescent="0.3">
      <c r="C14" s="112"/>
      <c r="S14" s="112"/>
      <c r="AU14" s="114"/>
      <c r="AV14" s="77"/>
      <c r="BF14" s="78"/>
      <c r="BH14" s="114"/>
      <c r="BI14" s="77"/>
      <c r="BS14" s="78"/>
      <c r="BU14" s="114"/>
    </row>
    <row r="15" spans="3:73" x14ac:dyDescent="0.3">
      <c r="C15" s="112"/>
      <c r="S15" s="112"/>
      <c r="AS15" s="53"/>
      <c r="AU15" s="114"/>
      <c r="AV15" s="77"/>
      <c r="BF15" s="78"/>
      <c r="BH15" s="114"/>
      <c r="BI15" s="77"/>
      <c r="BS15" s="78"/>
      <c r="BU15" s="114"/>
    </row>
    <row r="16" spans="3:73" x14ac:dyDescent="0.3">
      <c r="C16" s="112"/>
      <c r="S16" s="112"/>
      <c r="AS16" s="53"/>
      <c r="AU16" s="114"/>
      <c r="AV16" s="77"/>
      <c r="BF16" s="78"/>
      <c r="BH16" s="114"/>
      <c r="BI16" s="77"/>
      <c r="BS16" s="78"/>
      <c r="BU16" s="114"/>
    </row>
    <row r="17" spans="3:73" x14ac:dyDescent="0.3">
      <c r="C17" s="112"/>
      <c r="S17" s="112"/>
      <c r="AU17" s="114"/>
      <c r="AV17" s="77"/>
      <c r="BF17" s="78"/>
      <c r="BH17" s="114"/>
      <c r="BI17" s="77"/>
      <c r="BS17" s="78"/>
      <c r="BU17" s="114"/>
    </row>
    <row r="18" spans="3:73" x14ac:dyDescent="0.3">
      <c r="C18" s="112"/>
      <c r="S18" s="112"/>
      <c r="AS18" s="53"/>
      <c r="AU18" s="114"/>
      <c r="AV18" s="77"/>
      <c r="BF18" s="78"/>
      <c r="BH18" s="114"/>
      <c r="BI18" s="77"/>
      <c r="BS18" s="78"/>
      <c r="BU18" s="114"/>
    </row>
    <row r="19" spans="3:73" x14ac:dyDescent="0.3">
      <c r="C19" s="112"/>
      <c r="S19" s="112"/>
      <c r="AU19" s="114"/>
      <c r="AV19" s="77"/>
      <c r="BF19" s="78"/>
      <c r="BH19" s="114"/>
      <c r="BI19" s="77"/>
      <c r="BS19" s="78"/>
      <c r="BU19" s="114"/>
    </row>
    <row r="20" spans="3:73" x14ac:dyDescent="0.3">
      <c r="C20" s="112"/>
      <c r="S20" s="112"/>
      <c r="AU20" s="114"/>
      <c r="AV20" s="77"/>
      <c r="BF20" s="78"/>
      <c r="BH20" s="114"/>
      <c r="BI20" s="77"/>
      <c r="BS20" s="78"/>
      <c r="BU20" s="114"/>
    </row>
    <row r="21" spans="3:73" x14ac:dyDescent="0.3">
      <c r="C21" s="112"/>
      <c r="S21" s="112"/>
      <c r="AU21" s="114"/>
      <c r="AV21" s="77"/>
      <c r="BF21" s="78"/>
      <c r="BH21" s="114"/>
      <c r="BI21" s="77"/>
      <c r="BS21" s="78"/>
      <c r="BU21" s="114"/>
    </row>
    <row r="22" spans="3:73" x14ac:dyDescent="0.3">
      <c r="C22" s="112"/>
      <c r="S22" s="112"/>
      <c r="AU22" s="114"/>
      <c r="AV22" s="77"/>
      <c r="BF22" s="78"/>
      <c r="BH22" s="114"/>
      <c r="BI22" s="77"/>
      <c r="BS22" s="78"/>
      <c r="BU22" s="114"/>
    </row>
    <row r="23" spans="3:73" x14ac:dyDescent="0.3">
      <c r="C23" s="112"/>
      <c r="S23" s="112"/>
      <c r="AU23" s="114"/>
      <c r="AV23" s="77"/>
      <c r="BF23" s="78"/>
      <c r="BH23" s="114"/>
      <c r="BI23" s="77"/>
      <c r="BS23" s="78"/>
      <c r="BU23" s="114"/>
    </row>
    <row r="24" spans="3:73" x14ac:dyDescent="0.3">
      <c r="C24" s="112"/>
      <c r="S24" s="112"/>
      <c r="AU24" s="114"/>
      <c r="AV24" s="77"/>
      <c r="BF24" s="78"/>
      <c r="BH24" s="114"/>
      <c r="BI24" s="77"/>
      <c r="BS24" s="78"/>
      <c r="BU24" s="114"/>
    </row>
    <row r="25" spans="3:73" x14ac:dyDescent="0.3">
      <c r="C25" s="112"/>
      <c r="S25" s="112"/>
      <c r="AU25" s="114"/>
      <c r="AV25" s="79"/>
      <c r="AW25" s="27"/>
      <c r="AX25" s="27"/>
      <c r="AY25" s="27"/>
      <c r="AZ25" s="27"/>
      <c r="BA25" s="27"/>
      <c r="BB25" s="27"/>
      <c r="BC25" s="27"/>
      <c r="BD25" s="27"/>
      <c r="BE25" s="27"/>
      <c r="BF25" s="80"/>
      <c r="BH25" s="114"/>
      <c r="BI25" s="79"/>
      <c r="BJ25" s="27"/>
      <c r="BK25" s="27"/>
      <c r="BL25" s="27"/>
      <c r="BM25" s="27"/>
      <c r="BN25" s="27"/>
      <c r="BO25" s="27"/>
      <c r="BP25" s="27"/>
      <c r="BQ25" s="27"/>
      <c r="BR25" s="27"/>
      <c r="BS25" s="80"/>
    </row>
    <row r="26" spans="3:73" ht="15" customHeight="1" x14ac:dyDescent="0.3">
      <c r="S26"/>
    </row>
    <row r="27" spans="3:73" x14ac:dyDescent="0.3">
      <c r="C27" s="113" t="s">
        <v>17</v>
      </c>
      <c r="S27" s="111"/>
      <c r="AU27" s="114" t="s">
        <v>59</v>
      </c>
      <c r="AV27" s="75"/>
      <c r="AW27" s="28"/>
      <c r="AX27" s="28"/>
      <c r="AY27" s="28"/>
      <c r="AZ27" s="28"/>
      <c r="BA27" s="28"/>
      <c r="BB27" s="28"/>
      <c r="BC27" s="81"/>
      <c r="BD27" s="28"/>
      <c r="BE27" s="28"/>
      <c r="BF27" s="76"/>
    </row>
    <row r="28" spans="3:73" ht="15.75" customHeight="1" x14ac:dyDescent="0.3">
      <c r="C28" s="112"/>
      <c r="S28" s="112"/>
      <c r="AU28" s="114"/>
      <c r="AV28" s="77"/>
      <c r="BF28" s="83"/>
      <c r="BH28" s="115" t="s">
        <v>57</v>
      </c>
      <c r="BU28" s="115" t="s">
        <v>58</v>
      </c>
    </row>
    <row r="29" spans="3:73" x14ac:dyDescent="0.3">
      <c r="C29" s="112"/>
      <c r="S29" s="112"/>
      <c r="AU29" s="114"/>
      <c r="AV29" s="77"/>
      <c r="BC29" s="11"/>
      <c r="BF29" s="78"/>
      <c r="BH29" s="116"/>
      <c r="BU29" s="116"/>
    </row>
    <row r="30" spans="3:73" x14ac:dyDescent="0.3">
      <c r="C30" s="112"/>
      <c r="S30" s="112"/>
      <c r="AU30" s="114"/>
      <c r="AV30" s="77"/>
      <c r="BE30" s="74"/>
      <c r="BF30" s="78"/>
      <c r="BH30" s="116"/>
      <c r="BU30" s="116"/>
    </row>
    <row r="31" spans="3:73" x14ac:dyDescent="0.3">
      <c r="C31" s="112"/>
      <c r="S31" s="112"/>
      <c r="AU31" s="114"/>
      <c r="AV31" s="77"/>
      <c r="BF31" s="78"/>
      <c r="BH31" s="116"/>
      <c r="BU31" s="116"/>
    </row>
    <row r="32" spans="3:73" x14ac:dyDescent="0.3">
      <c r="C32" s="112"/>
      <c r="S32" s="112"/>
      <c r="AU32" s="114"/>
      <c r="AV32" s="77"/>
      <c r="BF32" s="78"/>
      <c r="BH32" s="116"/>
      <c r="BU32" s="116"/>
    </row>
    <row r="33" spans="3:73" x14ac:dyDescent="0.3">
      <c r="C33" s="112"/>
      <c r="S33" s="112"/>
      <c r="AU33" s="114"/>
      <c r="AV33" s="77"/>
      <c r="BF33" s="78"/>
      <c r="BH33" s="116"/>
      <c r="BU33" s="116"/>
    </row>
    <row r="34" spans="3:73" x14ac:dyDescent="0.3">
      <c r="C34" s="112"/>
      <c r="S34" s="112"/>
      <c r="AU34" s="114"/>
      <c r="AV34" s="77"/>
      <c r="BF34" s="78"/>
      <c r="BH34" s="116"/>
      <c r="BU34" s="116"/>
    </row>
    <row r="35" spans="3:73" x14ac:dyDescent="0.3">
      <c r="C35" s="112"/>
      <c r="S35" s="112"/>
      <c r="AU35" s="114"/>
      <c r="AV35" s="77"/>
      <c r="BF35" s="78"/>
      <c r="BH35" s="116"/>
      <c r="BU35" s="116"/>
    </row>
    <row r="36" spans="3:73" x14ac:dyDescent="0.3">
      <c r="C36" s="112"/>
      <c r="S36" s="112"/>
      <c r="AU36" s="114"/>
      <c r="AV36" s="77"/>
      <c r="BF36" s="78"/>
      <c r="BH36" s="116"/>
      <c r="BU36" s="116"/>
    </row>
    <row r="37" spans="3:73" x14ac:dyDescent="0.3">
      <c r="C37" s="112"/>
      <c r="S37" s="112"/>
      <c r="AU37" s="114"/>
      <c r="AV37" s="77"/>
      <c r="BF37" s="78"/>
      <c r="BH37" s="116"/>
      <c r="BU37" s="116"/>
    </row>
    <row r="38" spans="3:73" x14ac:dyDescent="0.3">
      <c r="C38" s="112"/>
      <c r="S38" s="112"/>
      <c r="AU38" s="114"/>
      <c r="AV38" s="77"/>
      <c r="BF38" s="78"/>
      <c r="BH38" s="116"/>
      <c r="BU38" s="116"/>
    </row>
    <row r="39" spans="3:73" x14ac:dyDescent="0.3">
      <c r="C39" s="112"/>
      <c r="S39" s="112"/>
      <c r="AU39" s="114"/>
      <c r="AV39" s="77"/>
      <c r="BF39" s="78"/>
      <c r="BH39" s="116"/>
      <c r="BU39" s="116"/>
    </row>
    <row r="40" spans="3:73" x14ac:dyDescent="0.3">
      <c r="C40" s="112"/>
      <c r="S40" s="112"/>
      <c r="AU40" s="114"/>
      <c r="AV40" s="77"/>
      <c r="BF40" s="78"/>
      <c r="BH40" s="116"/>
      <c r="BU40" s="116"/>
    </row>
    <row r="41" spans="3:73" x14ac:dyDescent="0.3">
      <c r="C41" s="112"/>
      <c r="S41" s="112"/>
      <c r="AU41" s="114"/>
      <c r="AV41" s="77"/>
      <c r="BF41" s="78"/>
      <c r="BH41" s="116"/>
      <c r="BU41" s="116"/>
    </row>
    <row r="42" spans="3:73" x14ac:dyDescent="0.3">
      <c r="C42" s="112"/>
      <c r="S42" s="112"/>
      <c r="AU42" s="114"/>
      <c r="AV42" s="77"/>
      <c r="BF42" s="78"/>
      <c r="BH42" s="116"/>
      <c r="BU42" s="116"/>
    </row>
    <row r="43" spans="3:73" x14ac:dyDescent="0.3">
      <c r="C43" s="112"/>
      <c r="S43" s="112"/>
      <c r="AU43" s="114"/>
      <c r="AV43" s="77"/>
      <c r="BF43" s="78"/>
      <c r="BH43" s="116"/>
      <c r="BU43" s="116"/>
    </row>
    <row r="44" spans="3:73" x14ac:dyDescent="0.3">
      <c r="C44" s="112"/>
      <c r="S44" s="112"/>
      <c r="AU44" s="114"/>
      <c r="AV44" s="77"/>
      <c r="BF44" s="78"/>
      <c r="BH44" s="116"/>
      <c r="BU44" s="116"/>
    </row>
    <row r="45" spans="3:73" x14ac:dyDescent="0.3">
      <c r="C45" s="112"/>
      <c r="S45" s="112"/>
      <c r="AU45" s="114"/>
      <c r="AV45" s="77"/>
      <c r="BF45" s="78"/>
      <c r="BH45" s="116"/>
      <c r="BU45" s="116"/>
    </row>
    <row r="46" spans="3:73" x14ac:dyDescent="0.3">
      <c r="C46" s="112"/>
      <c r="S46" s="112"/>
      <c r="AU46" s="114"/>
      <c r="AV46" s="77"/>
      <c r="BF46" s="78"/>
      <c r="BH46" s="116"/>
      <c r="BU46" s="116"/>
    </row>
    <row r="47" spans="3:73" x14ac:dyDescent="0.3">
      <c r="C47" s="112"/>
      <c r="S47" s="112"/>
      <c r="AU47" s="114"/>
      <c r="AV47" s="79"/>
      <c r="AW47" s="27"/>
      <c r="AX47" s="27"/>
      <c r="AY47" s="27"/>
      <c r="AZ47" s="27"/>
      <c r="BA47" s="27"/>
      <c r="BB47" s="27"/>
      <c r="BC47" s="27"/>
      <c r="BD47" s="27"/>
      <c r="BE47" s="27"/>
      <c r="BF47" s="80"/>
      <c r="BH47" s="116"/>
      <c r="BU47" s="116"/>
    </row>
    <row r="48" spans="3:73" x14ac:dyDescent="0.3">
      <c r="BH48" s="117"/>
      <c r="BU48" s="117"/>
    </row>
    <row r="49" spans="4:73" x14ac:dyDescent="0.3">
      <c r="D49" s="121" t="s">
        <v>21</v>
      </c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3"/>
      <c r="S49" s="109" t="s">
        <v>19</v>
      </c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I49" s="109" t="s">
        <v>19</v>
      </c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V49" s="109" t="s">
        <v>48</v>
      </c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I49" s="109" t="s">
        <v>50</v>
      </c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</row>
    <row r="50" spans="4:73" x14ac:dyDescent="0.3">
      <c r="D50" s="28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28"/>
      <c r="Q50" s="28"/>
      <c r="T50" s="94"/>
      <c r="U50" s="94"/>
      <c r="V50" s="94"/>
      <c r="W50" s="97"/>
      <c r="X50" s="97"/>
      <c r="Y50" s="97"/>
      <c r="Z50" s="97"/>
      <c r="AA50" s="97"/>
      <c r="AB50" s="97"/>
      <c r="AC50" s="97"/>
      <c r="AD50" s="97"/>
      <c r="AE50" s="97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</row>
    <row r="51" spans="4:73" x14ac:dyDescent="0.3">
      <c r="E51" s="96"/>
      <c r="F51" s="97"/>
      <c r="G51" s="11" t="s">
        <v>14</v>
      </c>
      <c r="H51" s="97"/>
      <c r="I51" s="12">
        <f>'Tab. Production'!G18</f>
        <v>199424.10522307694</v>
      </c>
      <c r="J51" s="97"/>
      <c r="K51" s="104"/>
      <c r="L51" s="97"/>
      <c r="M51" s="11" t="s">
        <v>1</v>
      </c>
      <c r="N51" s="97"/>
      <c r="O51" s="12">
        <f>'Tab. Production'!C18</f>
        <v>486519</v>
      </c>
      <c r="P51" s="12"/>
      <c r="Q51" s="11"/>
      <c r="T51" s="94"/>
      <c r="U51" s="93"/>
      <c r="V51" s="94"/>
      <c r="W51" s="11" t="s">
        <v>14</v>
      </c>
      <c r="X51" s="97"/>
      <c r="Y51" s="12">
        <f>'Tab. Machining'!H18</f>
        <v>106306.0285</v>
      </c>
      <c r="Z51" s="97"/>
      <c r="AA51" s="105"/>
      <c r="AB51" s="97"/>
      <c r="AC51" s="11" t="s">
        <v>1</v>
      </c>
      <c r="AD51" s="97"/>
      <c r="AE51" s="12">
        <f>'Tab. Machining'!C18</f>
        <v>68584.5</v>
      </c>
      <c r="AJ51" s="102"/>
      <c r="AK51" s="97"/>
      <c r="AL51" s="11" t="s">
        <v>14</v>
      </c>
      <c r="AM51" s="97"/>
      <c r="AN51" s="12">
        <f>'Tab. RR'!G18</f>
        <v>27553.4748</v>
      </c>
      <c r="AO51" s="97"/>
      <c r="AP51" s="104"/>
      <c r="AQ51" s="97"/>
      <c r="AR51" s="11" t="s">
        <v>1</v>
      </c>
      <c r="AS51" s="97"/>
      <c r="AT51" s="12">
        <f>'Tab. RR'!C18</f>
        <v>15276</v>
      </c>
      <c r="AW51" s="32"/>
      <c r="AX51" s="97"/>
      <c r="AY51" s="11" t="s">
        <v>14</v>
      </c>
      <c r="AZ51" s="97"/>
      <c r="BA51" s="12" t="e">
        <f>'Service Machining'!#REF!</f>
        <v>#REF!</v>
      </c>
      <c r="BB51" s="97"/>
      <c r="BC51" s="104"/>
      <c r="BD51" s="97"/>
      <c r="BE51" s="11" t="s">
        <v>1</v>
      </c>
      <c r="BF51" s="97"/>
      <c r="BG51" s="12" t="e">
        <f>'Service Machining'!#REF!</f>
        <v>#REF!</v>
      </c>
      <c r="BJ51" s="32"/>
      <c r="BL51" s="11" t="s">
        <v>14</v>
      </c>
      <c r="BM51" s="97"/>
      <c r="BN51" s="12">
        <f>'Service Machining'!K18</f>
        <v>58615.429999999993</v>
      </c>
      <c r="BO51" s="97"/>
      <c r="BP51" s="104"/>
      <c r="BQ51" s="97"/>
      <c r="BR51" s="11" t="s">
        <v>1</v>
      </c>
      <c r="BS51" s="97"/>
      <c r="BT51" s="97"/>
      <c r="BU51" s="12">
        <f>'Service Machining'!E18</f>
        <v>0</v>
      </c>
    </row>
    <row r="52" spans="4:73" ht="5.0999999999999996" customHeight="1" x14ac:dyDescent="0.3"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T52" s="94"/>
      <c r="U52" s="94"/>
      <c r="V52" s="94"/>
      <c r="W52" s="97"/>
      <c r="X52" s="97"/>
      <c r="Y52" s="97"/>
      <c r="Z52" s="97"/>
      <c r="AA52" s="97"/>
      <c r="AB52" s="97"/>
      <c r="AC52" s="97"/>
      <c r="AD52" s="97"/>
      <c r="AE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</row>
    <row r="53" spans="4:73" x14ac:dyDescent="0.3">
      <c r="E53" s="98"/>
      <c r="F53" s="97"/>
      <c r="G53" s="11" t="s">
        <v>33</v>
      </c>
      <c r="H53" s="97"/>
      <c r="I53" s="12">
        <f>'Tab. Production'!I18</f>
        <v>493884.23368461535</v>
      </c>
      <c r="J53" s="97"/>
      <c r="K53" s="99"/>
      <c r="L53" s="97"/>
      <c r="M53" s="11" t="s">
        <v>2</v>
      </c>
      <c r="N53" s="97"/>
      <c r="O53" s="12">
        <f>'Tab. Production'!F18</f>
        <v>181120</v>
      </c>
      <c r="P53" s="12"/>
      <c r="T53" s="94"/>
      <c r="U53" s="94"/>
      <c r="V53" s="94"/>
      <c r="W53" s="11"/>
      <c r="X53" s="97"/>
      <c r="Y53" s="12"/>
      <c r="Z53" s="97"/>
      <c r="AA53" s="99"/>
      <c r="AB53" s="97"/>
      <c r="AC53" s="11" t="s">
        <v>2</v>
      </c>
      <c r="AD53" s="97"/>
      <c r="AE53" s="12">
        <f>'Tab. Machining'!F18</f>
        <v>15900</v>
      </c>
      <c r="AJ53" s="97"/>
      <c r="AK53" s="97"/>
      <c r="AL53" s="11"/>
      <c r="AM53" s="97"/>
      <c r="AN53" s="12"/>
      <c r="AO53" s="97"/>
      <c r="AP53" s="99"/>
      <c r="AQ53" s="97"/>
      <c r="AR53" s="11" t="s">
        <v>2</v>
      </c>
      <c r="AS53" s="97"/>
      <c r="AT53" s="12">
        <f>'Tab. RR'!F18</f>
        <v>4200</v>
      </c>
      <c r="AX53" s="97"/>
      <c r="AY53" s="11"/>
      <c r="AZ53" s="97"/>
      <c r="BA53" s="12"/>
      <c r="BB53" s="97"/>
      <c r="BC53" s="99"/>
      <c r="BD53" s="97"/>
      <c r="BE53" s="11" t="s">
        <v>2</v>
      </c>
      <c r="BF53" s="97"/>
      <c r="BG53" s="12">
        <f>'Tab. Machining'!AE18</f>
        <v>0</v>
      </c>
      <c r="BL53" s="11"/>
      <c r="BM53" s="97"/>
      <c r="BN53" s="12"/>
      <c r="BO53" s="97"/>
      <c r="BP53" s="99"/>
      <c r="BQ53" s="97"/>
      <c r="BR53" s="11" t="s">
        <v>2</v>
      </c>
      <c r="BS53" s="97"/>
      <c r="BT53" s="97"/>
      <c r="BU53" s="12">
        <f>'Service Machining'!I18</f>
        <v>6200</v>
      </c>
    </row>
    <row r="54" spans="4:73" ht="6" customHeight="1" x14ac:dyDescent="0.3">
      <c r="E54" s="97"/>
      <c r="F54" s="97"/>
      <c r="G54" s="11"/>
      <c r="H54" s="97"/>
      <c r="I54" s="12"/>
      <c r="J54" s="97"/>
      <c r="K54" s="97"/>
      <c r="L54" s="97"/>
      <c r="M54" s="11"/>
      <c r="N54" s="97"/>
      <c r="O54" s="12"/>
      <c r="P54" s="12"/>
      <c r="T54" s="94"/>
      <c r="U54" s="94"/>
      <c r="V54" s="94"/>
      <c r="W54" s="11"/>
      <c r="X54" s="97"/>
      <c r="Y54" s="12"/>
      <c r="Z54" s="97"/>
      <c r="AA54" s="97"/>
      <c r="AB54" s="97"/>
      <c r="AC54" s="11"/>
      <c r="AD54" s="97"/>
      <c r="AE54" s="12"/>
      <c r="AJ54" s="97"/>
      <c r="AK54" s="97"/>
      <c r="AL54" s="11"/>
      <c r="AM54" s="97"/>
      <c r="AN54" s="12"/>
      <c r="AO54" s="97"/>
      <c r="AP54" s="97"/>
      <c r="AQ54" s="97"/>
      <c r="AR54" s="11"/>
      <c r="AS54" s="97"/>
      <c r="AT54" s="12"/>
      <c r="AX54" s="97"/>
      <c r="AY54" s="11"/>
      <c r="AZ54" s="97"/>
      <c r="BA54" s="12"/>
      <c r="BB54" s="97"/>
      <c r="BC54" s="97"/>
      <c r="BD54" s="97"/>
      <c r="BE54" s="11"/>
      <c r="BF54" s="97"/>
      <c r="BG54" s="12"/>
      <c r="BL54" s="11"/>
      <c r="BM54" s="97"/>
      <c r="BN54" s="12"/>
      <c r="BO54" s="97"/>
      <c r="BP54" s="97"/>
      <c r="BQ54" s="97"/>
      <c r="BR54" s="11"/>
      <c r="BS54" s="97"/>
      <c r="BT54" s="97"/>
      <c r="BU54" s="12"/>
    </row>
    <row r="55" spans="4:73" x14ac:dyDescent="0.3">
      <c r="E55" s="97"/>
      <c r="F55" s="97"/>
      <c r="G55" s="97"/>
      <c r="H55" s="97"/>
      <c r="I55" s="97"/>
      <c r="J55" s="97"/>
      <c r="K55" s="100"/>
      <c r="L55" s="97"/>
      <c r="M55" s="11" t="s">
        <v>45</v>
      </c>
      <c r="N55" s="97"/>
      <c r="O55" s="12">
        <f>'Tab. Production'!K18</f>
        <v>26288</v>
      </c>
      <c r="T55" s="94"/>
      <c r="U55" s="94"/>
      <c r="V55" s="94"/>
      <c r="W55" s="97"/>
      <c r="X55" s="97"/>
      <c r="Y55" s="97"/>
      <c r="Z55" s="97"/>
      <c r="AA55" s="100"/>
      <c r="AB55" s="97"/>
      <c r="AC55" s="11" t="s">
        <v>45</v>
      </c>
      <c r="AD55" s="97"/>
      <c r="AE55" s="12">
        <f>'Tab. Machining'!G18</f>
        <v>6900</v>
      </c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X55" s="97"/>
      <c r="AY55" s="97"/>
      <c r="AZ55" s="97"/>
      <c r="BA55" s="97"/>
      <c r="BB55" s="97"/>
      <c r="BC55" s="100"/>
      <c r="BD55" s="97"/>
      <c r="BE55" s="11" t="s">
        <v>45</v>
      </c>
      <c r="BF55" s="97"/>
      <c r="BG55" s="12"/>
      <c r="BL55" s="97"/>
      <c r="BM55" s="97"/>
      <c r="BN55" s="97"/>
      <c r="BO55" s="97"/>
      <c r="BP55" s="100"/>
      <c r="BQ55" s="97"/>
      <c r="BR55" s="11" t="s">
        <v>45</v>
      </c>
      <c r="BS55" s="97"/>
      <c r="BT55" s="97"/>
      <c r="BU55" s="12">
        <f>'Service Machining'!F18</f>
        <v>2700</v>
      </c>
    </row>
    <row r="56" spans="4:73" x14ac:dyDescent="0.3">
      <c r="E56" s="101"/>
      <c r="F56" s="97"/>
      <c r="G56" s="11" t="s">
        <v>34</v>
      </c>
      <c r="H56" s="97"/>
      <c r="I56" s="12">
        <f>'Tab. Production'!L18</f>
        <v>831400.18014210521</v>
      </c>
      <c r="J56" s="97"/>
      <c r="K56" s="97"/>
      <c r="L56" s="97"/>
      <c r="M56" s="11"/>
      <c r="N56" s="97"/>
      <c r="O56" s="12"/>
      <c r="P56" s="12"/>
      <c r="W56" s="11"/>
      <c r="X56" s="97"/>
      <c r="Y56" s="12"/>
      <c r="Z56" s="97"/>
      <c r="AA56" s="97"/>
      <c r="AB56" s="97"/>
      <c r="AC56" s="11"/>
      <c r="AD56" s="97"/>
      <c r="AE56" s="12"/>
      <c r="AH56" s="11"/>
      <c r="AL56" s="11"/>
      <c r="AN56" s="12"/>
      <c r="AR56" s="11"/>
      <c r="AT56" s="12"/>
      <c r="BL56" s="97"/>
      <c r="BM56" s="97"/>
      <c r="BN56" s="97"/>
      <c r="BO56" s="97"/>
      <c r="BP56" s="97"/>
      <c r="BQ56" s="97"/>
      <c r="BR56" s="97"/>
      <c r="BS56" s="97"/>
      <c r="BT56" s="97"/>
      <c r="BU56" s="97"/>
    </row>
    <row r="57" spans="4:73" ht="5.0999999999999996" customHeight="1" x14ac:dyDescent="0.3">
      <c r="E57" s="97"/>
      <c r="F57" s="97"/>
      <c r="G57" s="11"/>
      <c r="H57" s="97"/>
      <c r="I57" s="12"/>
      <c r="J57" s="97"/>
      <c r="K57" s="97"/>
      <c r="L57" s="97"/>
      <c r="M57" s="11"/>
      <c r="N57" s="97"/>
      <c r="O57" s="12"/>
      <c r="P57" s="12"/>
    </row>
    <row r="58" spans="4:73" ht="5.0999999999999996" customHeight="1" x14ac:dyDescent="0.3"/>
    <row r="59" spans="4:73" x14ac:dyDescent="0.3">
      <c r="D59" s="27"/>
      <c r="E59" s="27"/>
      <c r="F59" s="27"/>
      <c r="G59" s="29"/>
      <c r="H59" s="27"/>
      <c r="I59" s="30"/>
      <c r="J59" s="27"/>
      <c r="K59" s="27"/>
      <c r="L59" s="27"/>
      <c r="M59" s="27"/>
      <c r="N59" s="27"/>
      <c r="O59" s="27"/>
      <c r="P59" s="27"/>
      <c r="Q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BE59" s="1"/>
      <c r="BR59" s="1"/>
    </row>
    <row r="60" spans="4:73" x14ac:dyDescent="0.3">
      <c r="G60" s="11"/>
      <c r="I60" s="12"/>
      <c r="BG60" s="12"/>
      <c r="BU60" s="12"/>
    </row>
    <row r="61" spans="4:73" x14ac:dyDescent="0.3">
      <c r="D61" s="124" t="s">
        <v>18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3"/>
      <c r="T61" s="118" t="s">
        <v>20</v>
      </c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20"/>
      <c r="AI61" s="109" t="s">
        <v>19</v>
      </c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V61" s="109" t="s">
        <v>49</v>
      </c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I61" s="109" t="s">
        <v>57</v>
      </c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</row>
    <row r="62" spans="4:73" x14ac:dyDescent="0.3"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I62" s="92"/>
      <c r="AJ62" s="92"/>
      <c r="AK62" s="95"/>
      <c r="AL62" s="95"/>
      <c r="AM62" s="95"/>
      <c r="AN62" s="95"/>
      <c r="AO62" s="95"/>
      <c r="AP62" s="95"/>
      <c r="AQ62" s="95"/>
      <c r="AR62" s="95"/>
      <c r="AS62" s="95"/>
      <c r="AT62" s="95"/>
    </row>
    <row r="63" spans="4:73" x14ac:dyDescent="0.3">
      <c r="E63" s="54"/>
      <c r="G63" s="11" t="s">
        <v>14</v>
      </c>
      <c r="H63" s="97"/>
      <c r="I63" s="12">
        <f>'Tab. Welding'!G18</f>
        <v>19367.916923076922</v>
      </c>
      <c r="J63" s="97"/>
      <c r="K63" s="104"/>
      <c r="L63" s="97"/>
      <c r="M63" s="11" t="s">
        <v>1</v>
      </c>
      <c r="N63" s="97"/>
      <c r="O63" s="12">
        <f>'Tab. Welding'!C18</f>
        <v>346663.5</v>
      </c>
      <c r="P63" s="12"/>
      <c r="Q63" s="11"/>
      <c r="U63" s="54"/>
      <c r="W63" s="11" t="s">
        <v>14</v>
      </c>
      <c r="X63" s="97"/>
      <c r="Y63" s="12">
        <f>'Tab. Assembly'!G18</f>
        <v>16496.624999999993</v>
      </c>
      <c r="Z63" s="97"/>
      <c r="AA63" s="104"/>
      <c r="AB63" s="97"/>
      <c r="AC63" s="11" t="s">
        <v>1</v>
      </c>
      <c r="AD63" s="97"/>
      <c r="AE63" s="12">
        <f>'Tab. Assembly'!C18</f>
        <v>45735</v>
      </c>
      <c r="AI63" s="94"/>
      <c r="AJ63" s="93"/>
      <c r="AK63" s="97"/>
      <c r="AL63" s="11" t="s">
        <v>14</v>
      </c>
      <c r="AM63" s="97"/>
      <c r="AN63" s="12">
        <f>'Tab. Plating'!G18</f>
        <v>29700.059999999994</v>
      </c>
      <c r="AO63" s="97"/>
      <c r="AP63" s="104"/>
      <c r="AQ63" s="97"/>
      <c r="AR63" s="11" t="s">
        <v>1</v>
      </c>
      <c r="AS63" s="97"/>
      <c r="AT63" s="12">
        <f>'Tab. Plating'!C18</f>
        <v>10260</v>
      </c>
      <c r="AW63" s="32"/>
      <c r="AX63" s="97"/>
      <c r="AY63" s="11" t="s">
        <v>14</v>
      </c>
      <c r="AZ63" s="97"/>
      <c r="BA63" s="12">
        <f>'Service Machining'!J18</f>
        <v>47690.5985</v>
      </c>
      <c r="BB63" s="97"/>
      <c r="BC63" s="104"/>
      <c r="BD63" s="97"/>
      <c r="BE63" s="11" t="s">
        <v>1</v>
      </c>
      <c r="BF63" s="97"/>
      <c r="BG63" s="12">
        <f>'Service Machining'!B18</f>
        <v>33089.5</v>
      </c>
      <c r="BH63" s="97"/>
      <c r="BJ63" s="32"/>
      <c r="BK63" s="97"/>
      <c r="BL63" s="11" t="s">
        <v>14</v>
      </c>
      <c r="BM63" s="97"/>
      <c r="BN63" s="12" t="e">
        <f>#REF!</f>
        <v>#REF!</v>
      </c>
      <c r="BO63" s="97"/>
      <c r="BP63" s="104"/>
      <c r="BQ63" s="97"/>
      <c r="BR63" s="11" t="s">
        <v>1</v>
      </c>
      <c r="BS63" s="97"/>
      <c r="BT63" s="12" t="e">
        <f>#REF!</f>
        <v>#REF!</v>
      </c>
    </row>
    <row r="64" spans="4:73" ht="5.0999999999999996" customHeight="1" x14ac:dyDescent="0.3">
      <c r="G64" s="97"/>
      <c r="H64" s="97"/>
      <c r="I64" s="97"/>
      <c r="J64" s="97"/>
      <c r="K64" s="97"/>
      <c r="L64" s="97"/>
      <c r="M64" s="97"/>
      <c r="N64" s="97"/>
      <c r="O64" s="97"/>
      <c r="W64" s="97"/>
      <c r="X64" s="97"/>
      <c r="Y64" s="97"/>
      <c r="Z64" s="97"/>
      <c r="AA64" s="97"/>
      <c r="AB64" s="97"/>
      <c r="AC64" s="97"/>
      <c r="AD64" s="97"/>
      <c r="AE64" s="97"/>
      <c r="AI64" s="94"/>
      <c r="AJ64" s="94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</row>
    <row r="65" spans="4:72" x14ac:dyDescent="0.3">
      <c r="E65" s="55"/>
      <c r="G65" s="11" t="s">
        <v>33</v>
      </c>
      <c r="H65" s="97"/>
      <c r="I65" s="12">
        <f>'Tab. Welding'!I18</f>
        <v>280834.79538461543</v>
      </c>
      <c r="J65" s="97"/>
      <c r="K65" s="99"/>
      <c r="L65" s="97"/>
      <c r="M65" s="11" t="s">
        <v>2</v>
      </c>
      <c r="N65" s="97"/>
      <c r="O65" s="12">
        <f>'Tab. Welding'!F18</f>
        <v>149870</v>
      </c>
      <c r="P65" s="12"/>
      <c r="U65" s="55"/>
      <c r="W65" s="11" t="s">
        <v>34</v>
      </c>
      <c r="X65" s="97"/>
      <c r="Y65" s="12">
        <f>'Tab. Assembly'!J18</f>
        <v>65986.499999999971</v>
      </c>
      <c r="Z65" s="97"/>
      <c r="AA65" s="99"/>
      <c r="AB65" s="97"/>
      <c r="AC65" s="11" t="s">
        <v>2</v>
      </c>
      <c r="AD65" s="97"/>
      <c r="AE65" s="12">
        <f>'Tab. Assembly'!F18</f>
        <v>15350</v>
      </c>
      <c r="AI65" s="94"/>
      <c r="AJ65" s="94"/>
      <c r="AK65" s="97"/>
      <c r="AL65" s="11"/>
      <c r="AM65" s="97"/>
      <c r="AN65" s="12"/>
      <c r="AO65" s="97"/>
      <c r="AP65" s="99"/>
      <c r="AQ65" s="97"/>
      <c r="AR65" s="11" t="s">
        <v>2</v>
      </c>
      <c r="AS65" s="97"/>
      <c r="AT65" s="12">
        <f>'Tab. Plating'!F18</f>
        <v>13788</v>
      </c>
      <c r="AX65" s="97"/>
      <c r="AY65" s="11"/>
      <c r="AZ65" s="97"/>
      <c r="BA65" s="12"/>
      <c r="BB65" s="97"/>
      <c r="BC65" s="99"/>
      <c r="BD65" s="97"/>
      <c r="BE65" s="11" t="s">
        <v>2</v>
      </c>
      <c r="BF65" s="97"/>
      <c r="BG65" s="12">
        <f>'Service Machining'!D18</f>
        <v>7950</v>
      </c>
      <c r="BH65" s="97"/>
      <c r="BK65" s="97"/>
      <c r="BL65" s="11"/>
      <c r="BM65" s="97"/>
      <c r="BN65" s="12"/>
      <c r="BO65" s="97"/>
      <c r="BP65" s="99"/>
      <c r="BQ65" s="97"/>
      <c r="BR65" s="11" t="s">
        <v>2</v>
      </c>
      <c r="BS65" s="97"/>
      <c r="BT65" s="12">
        <f>'Tab. Machining'!AR30</f>
        <v>0</v>
      </c>
    </row>
    <row r="66" spans="4:72" ht="5.0999999999999996" customHeight="1" x14ac:dyDescent="0.3">
      <c r="G66" s="97"/>
      <c r="H66" s="97"/>
      <c r="I66" s="97"/>
      <c r="J66" s="97"/>
      <c r="K66" s="97"/>
      <c r="L66" s="97"/>
      <c r="M66" s="97"/>
      <c r="N66" s="97"/>
      <c r="O66" s="97"/>
      <c r="W66" s="94"/>
      <c r="X66" s="94"/>
      <c r="Y66" s="94"/>
      <c r="Z66" s="94"/>
      <c r="AA66" s="94"/>
      <c r="AB66" s="94"/>
      <c r="AC66" s="94"/>
      <c r="AD66" s="94"/>
      <c r="AE66" s="94"/>
      <c r="AI66" s="94"/>
      <c r="AJ66" s="94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X66" s="97"/>
      <c r="AY66" s="11"/>
      <c r="AZ66" s="97"/>
      <c r="BA66" s="12"/>
      <c r="BB66" s="97"/>
      <c r="BC66" s="97"/>
      <c r="BD66" s="97"/>
      <c r="BE66" s="11"/>
      <c r="BF66" s="97"/>
      <c r="BG66" s="12" t="s">
        <v>60</v>
      </c>
      <c r="BH66" s="97"/>
      <c r="BK66" s="97"/>
      <c r="BL66" s="11"/>
      <c r="BM66" s="97"/>
      <c r="BN66" s="12"/>
      <c r="BO66" s="97"/>
      <c r="BP66" s="97"/>
      <c r="BQ66" s="97"/>
      <c r="BR66" s="11"/>
      <c r="BS66" s="97"/>
      <c r="BT66" s="12"/>
    </row>
    <row r="67" spans="4:72" x14ac:dyDescent="0.3">
      <c r="E67" s="56"/>
      <c r="G67" s="11" t="s">
        <v>34</v>
      </c>
      <c r="H67" s="97"/>
      <c r="I67" s="12">
        <f>'Tab. Welding'!M18</f>
        <v>601854.11684210529</v>
      </c>
      <c r="J67" s="97"/>
      <c r="K67" s="97"/>
      <c r="L67" s="97"/>
      <c r="M67" s="11"/>
      <c r="N67" s="97"/>
      <c r="O67" s="12"/>
      <c r="P67" s="12"/>
      <c r="W67" s="11"/>
      <c r="Y67" s="12"/>
      <c r="AA67" s="100"/>
      <c r="AB67" s="97"/>
      <c r="AC67" s="11" t="s">
        <v>45</v>
      </c>
      <c r="AD67" s="97"/>
      <c r="AE67" s="12">
        <f>'Tab. Assembly'!E18</f>
        <v>1400</v>
      </c>
      <c r="AK67" s="97"/>
      <c r="AL67" s="11"/>
      <c r="AM67" s="97"/>
      <c r="AN67" s="12"/>
      <c r="AO67" s="97"/>
      <c r="AP67" s="97"/>
      <c r="AQ67" s="97"/>
      <c r="AR67" s="11"/>
      <c r="AS67" s="97"/>
      <c r="AT67" s="12"/>
      <c r="AX67" s="97"/>
      <c r="AY67" s="97"/>
      <c r="AZ67" s="97"/>
      <c r="BA67" s="97"/>
      <c r="BB67" s="97"/>
      <c r="BC67" s="100"/>
      <c r="BD67" s="97"/>
      <c r="BE67" s="11" t="s">
        <v>45</v>
      </c>
      <c r="BF67" s="97"/>
      <c r="BG67" s="12">
        <f>'Service Machining'!C18</f>
        <v>2300</v>
      </c>
      <c r="BH67" s="97"/>
      <c r="BK67" s="97"/>
      <c r="BL67" s="97"/>
      <c r="BM67" s="97"/>
      <c r="BN67" s="97"/>
      <c r="BO67" s="97"/>
      <c r="BP67" s="100"/>
      <c r="BQ67" s="97"/>
      <c r="BR67" s="11" t="s">
        <v>45</v>
      </c>
      <c r="BS67" s="97"/>
      <c r="BT67" s="12">
        <f>'Service Machining'!Q18</f>
        <v>0</v>
      </c>
    </row>
    <row r="68" spans="4:72" ht="5.0999999999999996" customHeight="1" x14ac:dyDescent="0.3">
      <c r="G68" s="11"/>
      <c r="I68" s="12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</row>
    <row r="69" spans="4:72" ht="5.0999999999999996" customHeight="1" x14ac:dyDescent="0.3"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K69" s="97"/>
      <c r="BL69" s="97"/>
      <c r="BM69" s="97"/>
      <c r="BN69" s="97"/>
      <c r="BO69" s="97"/>
      <c r="BP69" s="97"/>
      <c r="BQ69" s="97"/>
      <c r="BR69" s="97"/>
      <c r="BS69" s="97"/>
      <c r="BT69" s="97"/>
    </row>
    <row r="70" spans="4:72" x14ac:dyDescent="0.3"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</row>
    <row r="83" spans="19:19" x14ac:dyDescent="0.3">
      <c r="S83"/>
    </row>
    <row r="84" spans="19:19" x14ac:dyDescent="0.3">
      <c r="S84"/>
    </row>
    <row r="85" spans="19:19" x14ac:dyDescent="0.3">
      <c r="S85"/>
    </row>
    <row r="86" spans="19:19" x14ac:dyDescent="0.3">
      <c r="S86"/>
    </row>
    <row r="87" spans="19:19" x14ac:dyDescent="0.3">
      <c r="S87"/>
    </row>
    <row r="88" spans="19:19" x14ac:dyDescent="0.3">
      <c r="S88"/>
    </row>
    <row r="89" spans="19:19" x14ac:dyDescent="0.3">
      <c r="S89"/>
    </row>
    <row r="90" spans="19:19" x14ac:dyDescent="0.3">
      <c r="S90"/>
    </row>
    <row r="91" spans="19:19" x14ac:dyDescent="0.3">
      <c r="S91"/>
    </row>
    <row r="92" spans="19:19" x14ac:dyDescent="0.3">
      <c r="S92"/>
    </row>
    <row r="93" spans="19:19" x14ac:dyDescent="0.3">
      <c r="S93"/>
    </row>
    <row r="94" spans="19:19" x14ac:dyDescent="0.3">
      <c r="S94"/>
    </row>
    <row r="95" spans="19:19" x14ac:dyDescent="0.3">
      <c r="S95"/>
    </row>
    <row r="96" spans="19:19" x14ac:dyDescent="0.3">
      <c r="S96"/>
    </row>
    <row r="97" spans="19:36" x14ac:dyDescent="0.3">
      <c r="S97"/>
    </row>
    <row r="98" spans="19:36" x14ac:dyDescent="0.3">
      <c r="S98"/>
    </row>
    <row r="99" spans="19:36" x14ac:dyDescent="0.3">
      <c r="S99"/>
    </row>
    <row r="102" spans="19:36" x14ac:dyDescent="0.3">
      <c r="S102"/>
      <c r="AJ102" s="11"/>
    </row>
  </sheetData>
  <mergeCells count="21">
    <mergeCell ref="T61:AG61"/>
    <mergeCell ref="D49:Q49"/>
    <mergeCell ref="D61:Q61"/>
    <mergeCell ref="AV49:BG49"/>
    <mergeCell ref="AV61:BG61"/>
    <mergeCell ref="BI61:BT61"/>
    <mergeCell ref="BI49:BU49"/>
    <mergeCell ref="C2:AS3"/>
    <mergeCell ref="AI49:AT49"/>
    <mergeCell ref="C5:C25"/>
    <mergeCell ref="C27:C47"/>
    <mergeCell ref="S5:S25"/>
    <mergeCell ref="S27:S47"/>
    <mergeCell ref="S49:AG49"/>
    <mergeCell ref="BH5:BH25"/>
    <mergeCell ref="AU5:AU25"/>
    <mergeCell ref="AU27:AU47"/>
    <mergeCell ref="BU5:BU24"/>
    <mergeCell ref="BH28:BH48"/>
    <mergeCell ref="BU28:BU48"/>
    <mergeCell ref="AI61:AT6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04D1-B98B-45BA-A431-B0CB67FE913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pageSetUpPr fitToPage="1"/>
  </sheetPr>
  <dimension ref="A1:U26"/>
  <sheetViews>
    <sheetView zoomScale="70" zoomScaleNormal="70" workbookViewId="0">
      <selection activeCell="J45" sqref="J45"/>
    </sheetView>
  </sheetViews>
  <sheetFormatPr defaultColWidth="11.5" defaultRowHeight="15" x14ac:dyDescent="0.25"/>
  <cols>
    <col min="1" max="1" width="16.69921875" style="34" customWidth="1"/>
    <col min="2" max="2" width="40.69921875" style="34" customWidth="1"/>
    <col min="3" max="14" width="11.5" style="34"/>
    <col min="15" max="21" width="11.5" style="34" customWidth="1"/>
    <col min="22" max="16384" width="11.5" style="34"/>
  </cols>
  <sheetData>
    <row r="1" spans="1:21" ht="15.6" x14ac:dyDescent="0.3">
      <c r="A1" s="44" t="s">
        <v>25</v>
      </c>
      <c r="B1" s="44" t="s">
        <v>26</v>
      </c>
      <c r="C1" s="44" t="s">
        <v>30</v>
      </c>
      <c r="D1" s="43">
        <v>42826</v>
      </c>
      <c r="E1" s="43">
        <v>42856</v>
      </c>
      <c r="F1" s="43">
        <v>42887</v>
      </c>
      <c r="G1" s="43">
        <v>42917</v>
      </c>
      <c r="H1" s="43">
        <v>42948</v>
      </c>
      <c r="I1" s="43">
        <v>42979</v>
      </c>
      <c r="J1" s="43">
        <v>43009</v>
      </c>
      <c r="K1" s="43">
        <v>43040</v>
      </c>
      <c r="L1" s="43">
        <v>43070</v>
      </c>
      <c r="M1" s="43">
        <v>43101</v>
      </c>
      <c r="N1" s="43">
        <v>43132</v>
      </c>
      <c r="O1" s="43">
        <v>43160</v>
      </c>
      <c r="P1" s="43">
        <v>43191</v>
      </c>
      <c r="Q1" s="43">
        <v>43221</v>
      </c>
      <c r="R1" s="43">
        <v>43252</v>
      </c>
      <c r="S1" s="43">
        <v>43282</v>
      </c>
      <c r="T1" s="43">
        <v>43313</v>
      </c>
      <c r="U1" s="43">
        <v>43344</v>
      </c>
    </row>
    <row r="2" spans="1:21" x14ac:dyDescent="0.25">
      <c r="A2" s="42"/>
      <c r="B2" s="42"/>
      <c r="C2" s="42" t="s">
        <v>24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x14ac:dyDescent="0.25">
      <c r="A3" s="40"/>
      <c r="B3" s="40"/>
      <c r="C3" s="40" t="s">
        <v>23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4" spans="1:21" x14ac:dyDescent="0.25">
      <c r="A4" s="38"/>
      <c r="B4" s="38"/>
      <c r="C4" s="38" t="s">
        <v>22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x14ac:dyDescent="0.25">
      <c r="A5" s="42"/>
      <c r="B5" s="42"/>
      <c r="C5" s="42" t="s">
        <v>24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</row>
    <row r="6" spans="1:21" x14ac:dyDescent="0.25">
      <c r="A6" s="40"/>
      <c r="B6" s="40"/>
      <c r="C6" s="40" t="s">
        <v>23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</row>
    <row r="7" spans="1:21" x14ac:dyDescent="0.25">
      <c r="A7" s="38"/>
      <c r="B7" s="38"/>
      <c r="C7" s="38" t="s">
        <v>22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x14ac:dyDescent="0.25">
      <c r="A8" s="42"/>
      <c r="B8" s="42"/>
      <c r="C8" s="42" t="s">
        <v>24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1" x14ac:dyDescent="0.25">
      <c r="A9" s="40"/>
      <c r="B9" s="40"/>
      <c r="C9" s="40" t="s">
        <v>23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x14ac:dyDescent="0.25">
      <c r="A10" s="38"/>
      <c r="B10" s="38"/>
      <c r="C10" s="38" t="s">
        <v>22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x14ac:dyDescent="0.25">
      <c r="A11" s="42"/>
      <c r="B11" s="42"/>
      <c r="C11" s="42" t="s">
        <v>24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spans="1:21" x14ac:dyDescent="0.25">
      <c r="A12" s="40"/>
      <c r="B12" s="40"/>
      <c r="C12" s="40" t="s">
        <v>23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spans="1:21" x14ac:dyDescent="0.25">
      <c r="A13" s="38"/>
      <c r="B13" s="38"/>
      <c r="C13" s="38" t="s">
        <v>22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  <row r="14" spans="1:21" x14ac:dyDescent="0.25">
      <c r="A14" s="42"/>
      <c r="B14" s="42"/>
      <c r="C14" s="42" t="s">
        <v>24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spans="1:21" x14ac:dyDescent="0.25">
      <c r="A15" s="40"/>
      <c r="B15" s="40"/>
      <c r="C15" s="40" t="s">
        <v>23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1" x14ac:dyDescent="0.25">
      <c r="A16" s="38"/>
      <c r="B16" s="38"/>
      <c r="C16" s="38" t="s">
        <v>22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 spans="1:21" x14ac:dyDescent="0.25">
      <c r="A17" s="42"/>
      <c r="B17" s="42"/>
      <c r="C17" s="42" t="s">
        <v>24</v>
      </c>
      <c r="D17" s="41"/>
      <c r="E17" s="41"/>
      <c r="F17" s="41"/>
      <c r="G17" s="41"/>
      <c r="H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</row>
    <row r="18" spans="1:21" x14ac:dyDescent="0.25">
      <c r="A18" s="40"/>
      <c r="B18" s="40"/>
      <c r="C18" s="40" t="s">
        <v>23</v>
      </c>
      <c r="D18" s="39"/>
      <c r="E18" s="39"/>
      <c r="F18" s="39"/>
      <c r="G18" s="39"/>
      <c r="H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x14ac:dyDescent="0.25">
      <c r="A19" s="38"/>
      <c r="B19" s="38"/>
      <c r="C19" s="38" t="s">
        <v>22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</row>
    <row r="20" spans="1:21" x14ac:dyDescent="0.25">
      <c r="A20" s="42"/>
      <c r="B20" s="42"/>
      <c r="C20" s="42" t="s">
        <v>24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</row>
    <row r="21" spans="1:21" x14ac:dyDescent="0.25">
      <c r="A21" s="40"/>
      <c r="B21" s="40"/>
      <c r="C21" s="40" t="s">
        <v>23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1" x14ac:dyDescent="0.25">
      <c r="A22" s="38"/>
      <c r="B22" s="38"/>
      <c r="C22" s="38" t="s">
        <v>22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</row>
    <row r="24" spans="1:21" ht="15.6" x14ac:dyDescent="0.3">
      <c r="C24" s="36" t="s">
        <v>29</v>
      </c>
      <c r="D24" s="35">
        <f>SUMIF($C$2:$C$22,RIGHT($C24,2),D$2:D$22)</f>
        <v>0</v>
      </c>
      <c r="E24" s="35">
        <f t="shared" ref="E24:U26" si="0">SUMIF($C$2:$C$22,RIGHT($C24,2),E$2:E$22)</f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0"/>
        <v>0</v>
      </c>
      <c r="O24" s="35">
        <f t="shared" si="0"/>
        <v>0</v>
      </c>
      <c r="P24" s="35">
        <f t="shared" si="0"/>
        <v>0</v>
      </c>
      <c r="Q24" s="35">
        <f t="shared" si="0"/>
        <v>0</v>
      </c>
      <c r="R24" s="35">
        <f t="shared" si="0"/>
        <v>0</v>
      </c>
      <c r="S24" s="35">
        <f t="shared" si="0"/>
        <v>0</v>
      </c>
      <c r="T24" s="35">
        <f t="shared" si="0"/>
        <v>0</v>
      </c>
      <c r="U24" s="35">
        <f t="shared" si="0"/>
        <v>0</v>
      </c>
    </row>
    <row r="25" spans="1:21" ht="15.6" x14ac:dyDescent="0.3">
      <c r="C25" s="36" t="s">
        <v>27</v>
      </c>
      <c r="D25" s="35">
        <f t="shared" ref="D25:D26" si="1">SUMIF($C$2:$C$22,RIGHT($C25,2),D$2:D$22)</f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0"/>
        <v>0</v>
      </c>
      <c r="O25" s="35">
        <f t="shared" si="0"/>
        <v>0</v>
      </c>
      <c r="P25" s="35">
        <f t="shared" si="0"/>
        <v>0</v>
      </c>
      <c r="Q25" s="35">
        <f t="shared" si="0"/>
        <v>0</v>
      </c>
      <c r="R25" s="35">
        <f t="shared" si="0"/>
        <v>0</v>
      </c>
      <c r="S25" s="35">
        <f t="shared" si="0"/>
        <v>0</v>
      </c>
      <c r="T25" s="35">
        <f t="shared" si="0"/>
        <v>0</v>
      </c>
      <c r="U25" s="35">
        <f t="shared" si="0"/>
        <v>0</v>
      </c>
    </row>
    <row r="26" spans="1:21" ht="15.6" x14ac:dyDescent="0.3">
      <c r="C26" s="36" t="s">
        <v>28</v>
      </c>
      <c r="D26" s="35">
        <f t="shared" si="1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0"/>
        <v>0</v>
      </c>
      <c r="O26" s="35">
        <f t="shared" si="0"/>
        <v>0</v>
      </c>
      <c r="P26" s="35">
        <f t="shared" si="0"/>
        <v>0</v>
      </c>
      <c r="Q26" s="35">
        <f t="shared" si="0"/>
        <v>0</v>
      </c>
      <c r="R26" s="35">
        <f t="shared" si="0"/>
        <v>0</v>
      </c>
      <c r="S26" s="35">
        <f t="shared" si="0"/>
        <v>0</v>
      </c>
      <c r="T26" s="35">
        <f t="shared" si="0"/>
        <v>0</v>
      </c>
      <c r="U26" s="35">
        <f t="shared" si="0"/>
        <v>0</v>
      </c>
    </row>
  </sheetData>
  <printOptions horizontalCentered="1"/>
  <pageMargins left="0.25" right="0.25" top="0.75" bottom="0.75" header="0.3" footer="0.3"/>
  <pageSetup paperSize="8" scale="6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Y26"/>
  <sheetViews>
    <sheetView zoomScale="70" zoomScaleNormal="70" workbookViewId="0">
      <selection activeCell="J45" sqref="J45"/>
    </sheetView>
  </sheetViews>
  <sheetFormatPr defaultColWidth="11.5" defaultRowHeight="15" x14ac:dyDescent="0.25"/>
  <cols>
    <col min="1" max="1" width="16.69921875" style="34" customWidth="1"/>
    <col min="2" max="2" width="40.69921875" style="34" customWidth="1"/>
    <col min="3" max="11" width="11.5" style="34" customWidth="1"/>
    <col min="12" max="16384" width="11.5" style="34"/>
  </cols>
  <sheetData>
    <row r="1" spans="1:25" ht="16.5" customHeight="1" x14ac:dyDescent="0.3">
      <c r="A1" s="44" t="s">
        <v>25</v>
      </c>
      <c r="B1" s="44" t="s">
        <v>26</v>
      </c>
      <c r="C1" s="44" t="s">
        <v>30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52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x14ac:dyDescent="0.25">
      <c r="A2" s="42"/>
      <c r="B2" s="51"/>
      <c r="C2" s="42" t="s">
        <v>24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50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x14ac:dyDescent="0.25">
      <c r="A3" s="40"/>
      <c r="C3" s="40" t="s">
        <v>23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x14ac:dyDescent="0.25">
      <c r="A4" s="38"/>
      <c r="B4" s="38"/>
      <c r="C4" s="38" t="s">
        <v>22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48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x14ac:dyDescent="0.25">
      <c r="A5" s="42"/>
      <c r="B5" s="51"/>
      <c r="C5" s="42" t="s">
        <v>24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50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x14ac:dyDescent="0.25">
      <c r="A6" s="40"/>
      <c r="C6" s="40" t="s">
        <v>23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4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1:25" x14ac:dyDescent="0.25">
      <c r="A7" s="38"/>
      <c r="B7" s="38"/>
      <c r="C7" s="38" t="s">
        <v>22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48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x14ac:dyDescent="0.25">
      <c r="A8" s="42"/>
      <c r="B8" s="51"/>
      <c r="C8" s="42" t="s">
        <v>24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50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x14ac:dyDescent="0.25">
      <c r="A9" s="40"/>
      <c r="C9" s="40" t="s">
        <v>23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4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spans="1:25" x14ac:dyDescent="0.25">
      <c r="A10" s="38"/>
      <c r="B10" s="38"/>
      <c r="C10" s="38" t="s">
        <v>22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48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42"/>
      <c r="B11" s="51"/>
      <c r="C11" s="42" t="s">
        <v>24</v>
      </c>
      <c r="D11" s="41"/>
      <c r="E11" s="41"/>
      <c r="F11" s="41"/>
      <c r="G11" s="41"/>
      <c r="H11" s="41"/>
      <c r="I11" s="41"/>
      <c r="K11" s="41"/>
      <c r="L11" s="41"/>
      <c r="M11" s="41"/>
      <c r="N11" s="50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x14ac:dyDescent="0.25">
      <c r="A12" s="40"/>
      <c r="C12" s="40" t="s">
        <v>23</v>
      </c>
      <c r="D12" s="39"/>
      <c r="E12" s="39"/>
      <c r="F12" s="39"/>
      <c r="G12" s="39"/>
      <c r="H12" s="39"/>
      <c r="I12" s="39"/>
      <c r="K12" s="39"/>
      <c r="L12" s="39"/>
      <c r="M12" s="39"/>
      <c r="N12" s="4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spans="1:25" x14ac:dyDescent="0.25">
      <c r="A13" s="38"/>
      <c r="B13" s="38"/>
      <c r="C13" s="38" t="s">
        <v>22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8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42"/>
      <c r="B14" s="51"/>
      <c r="C14" s="42" t="s">
        <v>24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5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x14ac:dyDescent="0.25">
      <c r="A15" s="40"/>
      <c r="C15" s="40" t="s">
        <v>23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spans="1:25" x14ac:dyDescent="0.25">
      <c r="A16" s="38"/>
      <c r="B16" s="38"/>
      <c r="C16" s="38" t="s">
        <v>22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48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42"/>
      <c r="B17" s="51"/>
      <c r="C17" s="42" t="s">
        <v>24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50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x14ac:dyDescent="0.25">
      <c r="A18" s="40"/>
      <c r="C18" s="40" t="s">
        <v>23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x14ac:dyDescent="0.25">
      <c r="A19" s="38"/>
      <c r="B19" s="38"/>
      <c r="C19" s="38" t="s">
        <v>22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48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42"/>
      <c r="B20" s="51"/>
      <c r="C20" s="42" t="s">
        <v>24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50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x14ac:dyDescent="0.25">
      <c r="A21" s="40"/>
      <c r="C21" s="40" t="s">
        <v>23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x14ac:dyDescent="0.25">
      <c r="A22" s="38"/>
      <c r="B22" s="38"/>
      <c r="C22" s="38" t="s">
        <v>22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48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x14ac:dyDescent="0.25"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spans="1:25" ht="15.6" x14ac:dyDescent="0.3">
      <c r="C24" s="36" t="s">
        <v>29</v>
      </c>
      <c r="D24" s="35">
        <f>SUMIF($C$2:$C$22,RIGHT($C24,2),D$2:D$22)</f>
        <v>0</v>
      </c>
      <c r="E24" s="35">
        <f t="shared" ref="E24:Y26" si="0">SUMIF($C$2:$C$22,RIGHT($C24,2),E$2:E$22)</f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45">
        <f t="shared" si="0"/>
        <v>0</v>
      </c>
      <c r="O24" s="35">
        <f t="shared" si="0"/>
        <v>0</v>
      </c>
      <c r="P24" s="35">
        <f t="shared" si="0"/>
        <v>0</v>
      </c>
      <c r="Q24" s="35">
        <f t="shared" si="0"/>
        <v>0</v>
      </c>
      <c r="R24" s="35">
        <f t="shared" si="0"/>
        <v>0</v>
      </c>
      <c r="S24" s="35">
        <f t="shared" si="0"/>
        <v>0</v>
      </c>
      <c r="T24" s="35">
        <f t="shared" si="0"/>
        <v>0</v>
      </c>
      <c r="U24" s="35">
        <f t="shared" si="0"/>
        <v>0</v>
      </c>
      <c r="V24" s="35">
        <f t="shared" si="0"/>
        <v>0</v>
      </c>
      <c r="W24" s="35">
        <f t="shared" si="0"/>
        <v>0</v>
      </c>
      <c r="X24" s="35">
        <f t="shared" si="0"/>
        <v>0</v>
      </c>
      <c r="Y24" s="35">
        <f t="shared" si="0"/>
        <v>0</v>
      </c>
    </row>
    <row r="25" spans="1:25" ht="15.6" x14ac:dyDescent="0.3">
      <c r="C25" s="36" t="s">
        <v>27</v>
      </c>
      <c r="D25" s="35">
        <f t="shared" ref="D25:D26" si="1">SUMIF($C$2:$C$22,RIGHT($C25,2),D$2:D$22)</f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45">
        <f t="shared" si="0"/>
        <v>0</v>
      </c>
      <c r="O25" s="35">
        <f t="shared" si="0"/>
        <v>0</v>
      </c>
      <c r="P25" s="35">
        <f t="shared" si="0"/>
        <v>0</v>
      </c>
      <c r="Q25" s="35">
        <f t="shared" si="0"/>
        <v>0</v>
      </c>
      <c r="R25" s="35">
        <f t="shared" si="0"/>
        <v>0</v>
      </c>
      <c r="S25" s="35">
        <f t="shared" si="0"/>
        <v>0</v>
      </c>
      <c r="T25" s="35">
        <f t="shared" si="0"/>
        <v>0</v>
      </c>
      <c r="U25" s="35">
        <f t="shared" si="0"/>
        <v>0</v>
      </c>
      <c r="V25" s="35">
        <f t="shared" si="0"/>
        <v>0</v>
      </c>
      <c r="W25" s="35">
        <f t="shared" si="0"/>
        <v>0</v>
      </c>
      <c r="X25" s="35">
        <f t="shared" si="0"/>
        <v>0</v>
      </c>
      <c r="Y25" s="35">
        <f t="shared" si="0"/>
        <v>0</v>
      </c>
    </row>
    <row r="26" spans="1:25" ht="15.6" x14ac:dyDescent="0.3">
      <c r="C26" s="36" t="s">
        <v>28</v>
      </c>
      <c r="D26" s="35">
        <f t="shared" si="1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45">
        <f t="shared" si="0"/>
        <v>0</v>
      </c>
      <c r="O26" s="35">
        <f t="shared" si="0"/>
        <v>0</v>
      </c>
      <c r="P26" s="35">
        <f t="shared" si="0"/>
        <v>0</v>
      </c>
      <c r="Q26" s="35">
        <f t="shared" si="0"/>
        <v>0</v>
      </c>
      <c r="R26" s="35">
        <f t="shared" si="0"/>
        <v>0</v>
      </c>
      <c r="S26" s="35">
        <f t="shared" si="0"/>
        <v>0</v>
      </c>
      <c r="T26" s="35">
        <f t="shared" si="0"/>
        <v>0</v>
      </c>
      <c r="U26" s="35">
        <f t="shared" si="0"/>
        <v>0</v>
      </c>
      <c r="V26" s="35">
        <f t="shared" si="0"/>
        <v>0</v>
      </c>
      <c r="W26" s="35">
        <f t="shared" si="0"/>
        <v>0</v>
      </c>
      <c r="X26" s="35">
        <f t="shared" si="0"/>
        <v>0</v>
      </c>
      <c r="Y26" s="35">
        <f t="shared" si="0"/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5AABF2ACB4B4F9882781004AB792A" ma:contentTypeVersion="0" ma:contentTypeDescription="Create a new document." ma:contentTypeScope="" ma:versionID="33a31420521356e424790efafa46681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27174-65C8-48F1-BB31-9070A5D67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6A5CBE-443C-4FA1-8EE7-04896C67D206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51EAFD5-6280-466B-9DCB-671E7574AB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Tab. Welding</vt:lpstr>
      <vt:lpstr>Tab. Machining</vt:lpstr>
      <vt:lpstr>Tab. Assembly</vt:lpstr>
      <vt:lpstr>Service Machining</vt:lpstr>
      <vt:lpstr>Tab. RR</vt:lpstr>
      <vt:lpstr>Tab. Plating</vt:lpstr>
      <vt:lpstr>Tab. Production</vt:lpstr>
      <vt:lpstr>Charts</vt:lpstr>
      <vt:lpstr>Sheet1</vt:lpstr>
      <vt:lpstr>Orders not planned</vt:lpstr>
      <vt:lpstr>LOI not planned</vt:lpstr>
      <vt:lpstr>Charts!Print_Area</vt:lpstr>
      <vt:lpstr>'Tab. Assembly'!Print_Area</vt:lpstr>
      <vt:lpstr>'Tab. Machining'!Print_Area</vt:lpstr>
      <vt:lpstr>'Tab. Production'!Print_Area</vt:lpstr>
      <vt:lpstr>'Tab. RR'!Print_Area</vt:lpstr>
      <vt:lpstr>'Tab. Welding'!Print_Area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Schiller</dc:creator>
  <cp:lastModifiedBy>Bibhudendra Nayak</cp:lastModifiedBy>
  <cp:lastPrinted>2017-09-07T05:29:09Z</cp:lastPrinted>
  <dcterms:created xsi:type="dcterms:W3CDTF">1999-09-06T12:25:28Z</dcterms:created>
  <dcterms:modified xsi:type="dcterms:W3CDTF">2026-07-23T11:15:56Z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0x010100A4E5AABF2ACB4B4F9882781004AB792A</vt:lpwstr>
  </property>
</Properties>
</file>